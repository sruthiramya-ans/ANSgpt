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SruthiRamya\Documents\Sruthi\ANSgpt\PDF Plot Automation\lpile file folder\"/>
    </mc:Choice>
  </mc:AlternateContent>
  <xr:revisionPtr revIDLastSave="0" documentId="13_ncr:1_{570220A7-D612-4A0E-8244-C683FD83F763}" xr6:coauthVersionLast="47" xr6:coauthVersionMax="47" xr10:uidLastSave="{00000000-0000-0000-0000-000000000000}"/>
  <bookViews>
    <workbookView xWindow="-108" yWindow="-108" windowWidth="24792" windowHeight="14856" tabRatio="521" activeTab="5" xr2:uid="{4AC36A37-7787-40E3-9E10-1B518967B6C7}"/>
  </bookViews>
  <sheets>
    <sheet name="Dashboard" sheetId="11" r:id="rId1"/>
    <sheet name="Soil Zones" sheetId="43" r:id="rId2"/>
    <sheet name="TOPLs" sheetId="51" r:id="rId3"/>
    <sheet name="AG" sheetId="2" r:id="rId4"/>
    <sheet name="AM" sheetId="17" r:id="rId5"/>
    <sheet name="Soil Axial" sheetId="35" r:id="rId6"/>
    <sheet name="Fixity Results" sheetId="50" r:id="rId7"/>
    <sheet name="Batch Results" sheetId="40" r:id="rId8"/>
    <sheet name="Pile Menu" sheetId="52" r:id="rId9"/>
    <sheet name="Pile Section Data-Moment-Fillet" sheetId="12" state="hidden" r:id="rId10"/>
    <sheet name="Shape Database" sheetId="46" r:id="rId11"/>
    <sheet name="Settings" sheetId="44" r:id="rId12"/>
    <sheet name="RevLog" sheetId="39" r:id="rId13"/>
  </sheets>
  <functionGroups builtInGroupCount="19"/>
  <definedNames>
    <definedName name="_xlnm._FilterDatabase" localSheetId="7" hidden="1">'Batch Results'!$A$6:$X$678</definedName>
    <definedName name="_xlnm._FilterDatabase" localSheetId="10" hidden="1">'Shape Database'!$A$1:$AN$292</definedName>
    <definedName name="AG.tensile">AG!$H$35</definedName>
    <definedName name="AG.yield">AG!$H$34</definedName>
    <definedName name="AISC.wShapes">'Shape Database'!$A$2:$A$292</definedName>
    <definedName name="AM.tensile">AM!$H$35</definedName>
    <definedName name="AM.yield">AM!$H$34</definedName>
    <definedName name="Batch.Data">'Batch Results'!$A$7:$AE$1048576</definedName>
    <definedName name="Batch.ImportedTF">'Batch Results'!$D$1</definedName>
    <definedName name="BSIPbPageSetupChartSize" hidden="1">1</definedName>
    <definedName name="BSIPbPageSetupChartSize_0" hidden="1">-2146826246</definedName>
    <definedName name="BSIPbPageSetupDraftQuality" hidden="1">1</definedName>
    <definedName name="BSIPbPageSetupDraftQuality_0" hidden="1">0</definedName>
    <definedName name="BSIPbPageSetupDrawingColor" hidden="1">1</definedName>
    <definedName name="BSIPbPageSetupDrawingColor_0" hidden="1">0</definedName>
    <definedName name="BSIPbPageSetupFitToPagesTall" hidden="1">1</definedName>
    <definedName name="BSIPbPageSetupFitToPagesTall_0" hidden="1">1</definedName>
    <definedName name="BSIPbPageSetupFitToPagesWide" hidden="1">1</definedName>
    <definedName name="BSIPbPageSetupFitToPagesWide_0" hidden="1">1</definedName>
    <definedName name="BSIPbPageSetupMediaName" hidden="1">1</definedName>
    <definedName name="BSIPbPageSetupMediaName_0" hidden="1">"Tabloid (11 x 17 in)"</definedName>
    <definedName name="BSIPbPageSetupPageOrientation" hidden="1">1</definedName>
    <definedName name="BSIPbPageSetupPageOrientation_0" hidden="1">2</definedName>
    <definedName name="BSIPbPageSetupPaperHeight" hidden="1">1</definedName>
    <definedName name="BSIPbPageSetupPaperHeight_0" hidden="1">1224</definedName>
    <definedName name="BSIPbPageSetupPaperMarginBottom" hidden="1">1</definedName>
    <definedName name="BSIPbPageSetupPaperMarginBottom_0" hidden="1">54</definedName>
    <definedName name="BSIPbPageSetupPaperMarginFooter" hidden="1">1</definedName>
    <definedName name="BSIPbPageSetupPaperMarginFooter_0" hidden="1">21.6</definedName>
    <definedName name="BSIPbPageSetupPaperMarginHeader" hidden="1">1</definedName>
    <definedName name="BSIPbPageSetupPaperMarginHeader_0" hidden="1">21.6</definedName>
    <definedName name="BSIPbPageSetupPaperMarginLeft" hidden="1">1</definedName>
    <definedName name="BSIPbPageSetupPaperMarginLeft_0" hidden="1">50.4</definedName>
    <definedName name="BSIPbPageSetupPaperMarginRight" hidden="1">1</definedName>
    <definedName name="BSIPbPageSetupPaperMarginRight_0" hidden="1">50.4</definedName>
    <definedName name="BSIPbPageSetupPaperMarginTop" hidden="1">1</definedName>
    <definedName name="BSIPbPageSetupPaperMarginTop_0" hidden="1">54</definedName>
    <definedName name="BSIPbPageSetupPaperWidth" hidden="1">1</definedName>
    <definedName name="BSIPbPageSetupPaperWidth_0" hidden="1">792</definedName>
    <definedName name="BSIPbPageSetupPlotSizeType" hidden="1">1</definedName>
    <definedName name="BSIPbPageSetupPlotSizeType_0" hidden="1">1</definedName>
    <definedName name="BSIPbPageSetupPrintCellErrors" hidden="1">1</definedName>
    <definedName name="BSIPbPageSetupPrintCellErrors_0" hidden="1">0</definedName>
    <definedName name="BSIPbPageSetupPrintComments" hidden="1">1</definedName>
    <definedName name="BSIPbPageSetupPrintComments_0" hidden="1">-4142</definedName>
    <definedName name="BSIPbPageSetupPrintGridlines" hidden="1">1</definedName>
    <definedName name="BSIPbPageSetupPrintGridlines_0" hidden="1">0</definedName>
    <definedName name="BSIPbPageSetupUseStandardMargins" hidden="1">1</definedName>
    <definedName name="BSIPbPageSetupUseStandardMargins_0" hidden="1">1</definedName>
    <definedName name="BSIPbPageSetupUseZoom" hidden="1">1</definedName>
    <definedName name="BSIPbPageSetupUseZoom_0" hidden="1">1</definedName>
    <definedName name="BSIPbPageSetupZoom" hidden="1">1</definedName>
    <definedName name="BSIPbPageSetupZoom_0" hidden="1">65</definedName>
    <definedName name="BSIPlots" hidden="1">1</definedName>
    <definedName name="BSIPlots_0" hidden="1">"54þ54þ50.4þ50.4þ21.6þ21.6þ1þ1þ65þ1þ1þ2þ0þ0þ0þ-4142þ0þ-2146826246þ1þTabloid (11 x 17 in)þ792þ1224"</definedName>
    <definedName name="BSIWhichPageSetup" hidden="1">1</definedName>
    <definedName name="BSIWhichPageSetup_0" hidden="1">"1þ"</definedName>
    <definedName name="Corr.ATM">Dashboard!$I$13</definedName>
    <definedName name="Corr.Soil">Dashboard!$J$13</definedName>
    <definedName name="CorrMem.Area.AG">Dashboard!$F$25</definedName>
    <definedName name="CorrMem.Area.BG">Dashboard!$E$25</definedName>
    <definedName name="CorrMem.Depth.AG">Dashboard!$F$26</definedName>
    <definedName name="CorrMem.Depth.BG">Dashboard!$E$26</definedName>
    <definedName name="CorrMem.Flange_t.AG">Dashboard!$F$29</definedName>
    <definedName name="CorrMem.Flange_t.BG">Dashboard!$E$29</definedName>
    <definedName name="CorrMem.Ix.AG">Dashboard!$F$31</definedName>
    <definedName name="CorrMem.Ix.BG">Dashboard!$E$31</definedName>
    <definedName name="CorrMem.Iy.AG">Dashboard!$F$35</definedName>
    <definedName name="CorrMem.Iy.BG">Dashboard!$E$35</definedName>
    <definedName name="CorrMem.Web_t.AG">Dashboard!$F$27</definedName>
    <definedName name="CorrMem.Web_t.BG">Dashboard!$E$27</definedName>
    <definedName name="CorrMem.Width.AG">Dashboard!$F$28</definedName>
    <definedName name="CorrMem.Width.BG">Dashboard!$E$28</definedName>
    <definedName name="COTT">Dashboard!$K$16</definedName>
    <definedName name="defaultShapes">Settings!$D$6:$D$23</definedName>
    <definedName name="Defl.Limit.Grade">Dashboard!#REF!</definedName>
    <definedName name="Defl.Limit.Head">Dashboard!#REF!</definedName>
    <definedName name="ExternalData_1" localSheetId="9" hidden="1">'Pile Section Data-Moment-Fillet'!$A$8:$M$242</definedName>
    <definedName name="firstScourD">'Soil Zones'!$B$3</definedName>
    <definedName name="firstScourZn">'Soil Zones'!$B$2</definedName>
    <definedName name="firstSoilZn">'Soil Zones'!$A$6:$L$17</definedName>
    <definedName name="firstSoilZone">'Soil Zones'!$A$6:$L$16</definedName>
    <definedName name="Fixity.Results">'Fixity Results'!$A$7:$K$107</definedName>
    <definedName name="Layer.Bot">Dashboard!$D$55:$D$64</definedName>
    <definedName name="Layer.Cohesion">Dashboard!$J$55:$J$64</definedName>
    <definedName name="Layer.E60">Dashboard!$M$55:$M$64</definedName>
    <definedName name="Layer.FrAngle">Dashboard!$K$55:$K$64</definedName>
    <definedName name="Layer.k">Dashboard!$L$55:$L$64</definedName>
    <definedName name="Layer.Material">Dashboard!$H$55:$H$64</definedName>
    <definedName name="Layer.Top">Dashboard!$C$55:$C$64</definedName>
    <definedName name="Layer.uWt">Dashboard!$I$55:$I$64</definedName>
    <definedName name="Load.AGM">Dashboard!$K$18</definedName>
    <definedName name="Load.AGM.Weak">Dashboard!$M$18</definedName>
    <definedName name="Load.AGMweak">Dashboard!$M$18</definedName>
    <definedName name="Load.AGS">Dashboard!$K$19</definedName>
    <definedName name="Load.AGS.Weak">Dashboard!$M$19</definedName>
    <definedName name="Load.AGSweak">Dashboard!$M$19</definedName>
    <definedName name="Load.AMM">Dashboard!$K$20</definedName>
    <definedName name="Load.AMM.Weak">Dashboard!$M$20</definedName>
    <definedName name="Lpile.Deflection">Dashboard!$Z:$Z</definedName>
    <definedName name="Lpile.Deflection.Weak">Dashboard!$AK:$AK</definedName>
    <definedName name="Lpile.Depth">Dashboard!$Y:$Y</definedName>
    <definedName name="LPile.Depth.Weak">Dashboard!$AJ:$AJ</definedName>
    <definedName name="LPILE.Folder">Settings!$B$3</definedName>
    <definedName name="Lpile.Moment">Dashboard!$AA:$AA</definedName>
    <definedName name="LPile.Moment.Weak">Dashboard!$AL:$AL</definedName>
    <definedName name="Lpile.Name">Dashboard!$H$7</definedName>
    <definedName name="lpile.output">Dashboard!$Y$3</definedName>
    <definedName name="lpile.output.weak">Dashboard!$AJ$3</definedName>
    <definedName name="lpile.output2">Dashboard!$Y$3:$AH$202</definedName>
    <definedName name="lpile.output2.weak">Dashboard!$AJ$3:$AS$202</definedName>
    <definedName name="Lpile.PreName">Dashboard!#REF!</definedName>
    <definedName name="Lpile.Shear">Dashboard!$AB:$AB</definedName>
    <definedName name="Lpile.Shear.Weak">Dashboard!$AM:$AM</definedName>
    <definedName name="LPile.Slope">Dashboard!$AC:$AC</definedName>
    <definedName name="Lpile.Slope.Weak">Dashboard!$AN:$AN</definedName>
    <definedName name="LPile.Weak">Dashboard!$AL:$AL</definedName>
    <definedName name="Menu.Full">'Pile Menu'!$A$7:$Q$206</definedName>
    <definedName name="Pile.Embed">Dashboard!$F$9</definedName>
    <definedName name="Pile.Fu">Dashboard!$F$6</definedName>
    <definedName name="Pile.Fy">Dashboard!$F$5</definedName>
    <definedName name="Pile.Galv">Dashboard!$F$7</definedName>
    <definedName name="Pile.Length">Dashboard!$F$11</definedName>
    <definedName name="Pile.Life">Dashboard!$F$10</definedName>
    <definedName name="Pile.Reveal">Dashboard!$F$8</definedName>
    <definedName name="Pile.Shape">Dashboard!$F$4</definedName>
    <definedName name="Pile.Type">Dashboard!$D$15</definedName>
    <definedName name="_xlnm.Print_Area" localSheetId="3">AG!$A$2:$K$183</definedName>
    <definedName name="_xlnm.Print_Area" localSheetId="4">AM!$A$2:$K$184</definedName>
    <definedName name="_xlnm.Print_Area" localSheetId="0">Dashboard!$A$1:$X$65</definedName>
    <definedName name="_xlnm.Print_Area" localSheetId="10">'Shape Database'!#REF!</definedName>
    <definedName name="_xlnm.Print_Area" localSheetId="5">'Soil Axial'!$A$1:$D$83</definedName>
    <definedName name="_xlnm.Print_Titles" localSheetId="10">'Shape Database'!#REF!</definedName>
    <definedName name="Project.Name">Dashboard!$C$2</definedName>
    <definedName name="py.depth_below_pile_head">Dashboard!$E$69:$E$78</definedName>
    <definedName name="py.p_mult">Dashboard!$F$69:$F$78</definedName>
    <definedName name="py.y_mult">Dashboard!$G$69:$G$78</definedName>
    <definedName name="py_layer_count">Dashboard!$D$79</definedName>
    <definedName name="Scour.Zone">Dashboard!$D$43</definedName>
    <definedName name="scourZonesCt">'Soil Zones'!$B$1</definedName>
    <definedName name="Settings.axis">Settings!$I$13</definedName>
    <definedName name="Settings.BatchOptions">Settings!$J$6:$O$56</definedName>
    <definedName name="Settings.BatchReady">Settings!$O$4</definedName>
    <definedName name="Settings.FixityDepth">Settings!$B$6</definedName>
    <definedName name="Settings.Galv">Settings!$E$6:$E$15</definedName>
    <definedName name="Settings.GalvList">Settings!$J$6:$J$56</definedName>
    <definedName name="Settings.GeoList">Settings!$K$6:$K$56</definedName>
    <definedName name="Settings.GradeDefl">Settings!$B$7</definedName>
    <definedName name="Settings.HeadDefl">Settings!$B$8</definedName>
    <definedName name="Settings.intEmbed">Settings!$I$11</definedName>
    <definedName name="Settings.maxEmbed">Settings!$I$9</definedName>
    <definedName name="Settings.minEmbed">Settings!$I$7</definedName>
    <definedName name="Settings.Reveal">Settings!$F$6:$F$15</definedName>
    <definedName name="Settings.ScourList">Settings!$L$6:$L$56</definedName>
    <definedName name="Settings.Shapes">Settings!$D$6:$D$25</definedName>
    <definedName name="Settings.ShapesList">Settings!$N$6:$N$56</definedName>
    <definedName name="Settings.Steel">Settings!$G$6:$G$15</definedName>
    <definedName name="Settings.SteelList">Settings!$M$6:$M$56</definedName>
    <definedName name="Settings.TypesList">Settings!$O$6:$O$56</definedName>
    <definedName name="Settings.Waitlist">Settings!$Q$6:$Q$16</definedName>
    <definedName name="Shape.Database">Settings!$B$2</definedName>
    <definedName name="Shapes.Table">'Shape Database'!$A:$AN</definedName>
    <definedName name="Soil.AxialResult">Dashboard!$I$27</definedName>
    <definedName name="Soil.Groundwater">Dashboard!$D$50</definedName>
    <definedName name="Soil.Ignore">Dashboard!$D$48</definedName>
    <definedName name="Soil.Scour">Dashboard!$D$44</definedName>
    <definedName name="Soil.Zone">Dashboard!$D$52</definedName>
    <definedName name="soilZonesCt">'Soil Zones'!$B$5</definedName>
    <definedName name="solver_adj" localSheetId="0" hidden="1">Dashboard!$F$4</definedName>
    <definedName name="solver_eng" localSheetId="0" hidden="1">1</definedName>
    <definedName name="solver_neg" localSheetId="0" hidden="1">1</definedName>
    <definedName name="solver_num" localSheetId="0" hidden="1">0</definedName>
    <definedName name="solver_opt" localSheetId="0" hidden="1">Dashboard!$I$25</definedName>
    <definedName name="solver_typ" localSheetId="0" hidden="1">3</definedName>
    <definedName name="solver_val" localSheetId="0" hidden="1">1</definedName>
    <definedName name="solver_ver" localSheetId="0" hidden="1">3</definedName>
    <definedName name="Steel.AGresult">Dashboard!$I$25</definedName>
    <definedName name="Steel.AMresult">Dashboard!$I$26</definedName>
    <definedName name="TOPL.Axial">Dashboard!$Q$21</definedName>
    <definedName name="TOPL.data">TOPLs!$A$5:$I$34</definedName>
    <definedName name="TOPL.filepath">TOPLs!$E$1</definedName>
    <definedName name="TOPL.import.TF">TOPLs!$C$1</definedName>
    <definedName name="TOPL.M_external">Dashboard!$Q$18</definedName>
    <definedName name="TOPL.M_external_weak">Dashboard!$T$18</definedName>
    <definedName name="TOPL.Moment">Dashboard!$Q$20</definedName>
    <definedName name="TOPL.Moment.Weak">Dashboard!$T$20</definedName>
    <definedName name="TOPL.selected.sMu">Dashboard!$F$17</definedName>
    <definedName name="TOPL.selected.sPu">Dashboard!$F$18</definedName>
    <definedName name="TOPL.selected.sTu">Dashboard!$F$19</definedName>
    <definedName name="TOPL.selected.sVu">Dashboard!$F$16</definedName>
    <definedName name="TOPL.selected.wD">Dashboard!$F$20</definedName>
    <definedName name="TOPL.selected.wDE">Dashboard!$F$22</definedName>
    <definedName name="TOPL.selected.wE">Dashboard!$F$21</definedName>
    <definedName name="TOPL.Shear">Dashboard!$Q$19</definedName>
    <definedName name="TOPL.Shear.Weak">Dashboard!$T$19</definedName>
    <definedName name="TT.Offset">Dashboard!$K$15</definedName>
    <definedName name="uWater">Dashboard!$D$51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44" l="1" a="1"/>
  <c r="F6" i="44" s="1"/>
  <c r="AL374" i="12"/>
  <c r="AI374" i="12"/>
  <c r="AG374" i="12"/>
  <c r="AF374" i="12"/>
  <c r="AA374" i="12"/>
  <c r="Z374" i="12"/>
  <c r="Y374" i="12"/>
  <c r="X374" i="12"/>
  <c r="W374" i="12"/>
  <c r="AY242" i="12"/>
  <c r="AX242" i="12"/>
  <c r="AA242" i="12"/>
  <c r="Z242" i="12"/>
  <c r="W242" i="12"/>
  <c r="X242" i="12" s="1"/>
  <c r="Y242" i="12" s="1"/>
  <c r="P242" i="12"/>
  <c r="O242" i="12"/>
  <c r="K242" i="12"/>
  <c r="AO242" i="12" s="1"/>
  <c r="J242" i="12"/>
  <c r="AF242" i="12" s="1"/>
  <c r="AY241" i="12"/>
  <c r="AX241" i="12"/>
  <c r="AA241" i="12"/>
  <c r="Z241" i="12"/>
  <c r="W241" i="12"/>
  <c r="X241" i="12" s="1"/>
  <c r="Y241" i="12" s="1"/>
  <c r="P241" i="12"/>
  <c r="O241" i="12"/>
  <c r="K241" i="12"/>
  <c r="AO241" i="12" s="1"/>
  <c r="AW241" i="12" s="1"/>
  <c r="J241" i="12"/>
  <c r="AF241" i="12" s="1"/>
  <c r="AY240" i="12"/>
  <c r="AX240" i="12"/>
  <c r="AA240" i="12"/>
  <c r="Z240" i="12"/>
  <c r="W240" i="12"/>
  <c r="X240" i="12" s="1"/>
  <c r="Y240" i="12" s="1"/>
  <c r="P240" i="12"/>
  <c r="O240" i="12"/>
  <c r="K240" i="12"/>
  <c r="AO240" i="12" s="1"/>
  <c r="J240" i="12"/>
  <c r="AF240" i="12" s="1"/>
  <c r="AU240" i="12" s="1"/>
  <c r="AY239" i="12"/>
  <c r="AX239" i="12"/>
  <c r="AA239" i="12"/>
  <c r="Z239" i="12"/>
  <c r="X239" i="12"/>
  <c r="Y239" i="12" s="1"/>
  <c r="W239" i="12"/>
  <c r="P239" i="12"/>
  <c r="O239" i="12"/>
  <c r="K239" i="12"/>
  <c r="AO239" i="12" s="1"/>
  <c r="J239" i="12"/>
  <c r="AF239" i="12" s="1"/>
  <c r="AU239" i="12" s="1"/>
  <c r="AY238" i="12"/>
  <c r="AX238" i="12"/>
  <c r="AA238" i="12"/>
  <c r="Z238" i="12"/>
  <c r="W238" i="12"/>
  <c r="X238" i="12" s="1"/>
  <c r="Y238" i="12" s="1"/>
  <c r="P238" i="12"/>
  <c r="O238" i="12"/>
  <c r="K238" i="12"/>
  <c r="AO238" i="12" s="1"/>
  <c r="J238" i="12"/>
  <c r="AF238" i="12" s="1"/>
  <c r="AY237" i="12"/>
  <c r="AX237" i="12"/>
  <c r="AA237" i="12"/>
  <c r="Z237" i="12"/>
  <c r="W237" i="12"/>
  <c r="X237" i="12" s="1"/>
  <c r="Y237" i="12" s="1"/>
  <c r="P237" i="12"/>
  <c r="O237" i="12"/>
  <c r="K237" i="12"/>
  <c r="AO237" i="12" s="1"/>
  <c r="J237" i="12"/>
  <c r="AF237" i="12" s="1"/>
  <c r="AY236" i="12"/>
  <c r="AX236" i="12"/>
  <c r="AA236" i="12"/>
  <c r="Z236" i="12"/>
  <c r="W236" i="12"/>
  <c r="X236" i="12" s="1"/>
  <c r="Y236" i="12" s="1"/>
  <c r="P236" i="12"/>
  <c r="O236" i="12"/>
  <c r="K236" i="12"/>
  <c r="AO236" i="12" s="1"/>
  <c r="AW236" i="12" s="1"/>
  <c r="J236" i="12"/>
  <c r="AF236" i="12" s="1"/>
  <c r="AY235" i="12"/>
  <c r="AX235" i="12"/>
  <c r="AA235" i="12"/>
  <c r="Z235" i="12"/>
  <c r="W235" i="12"/>
  <c r="X235" i="12" s="1"/>
  <c r="Y235" i="12" s="1"/>
  <c r="P235" i="12"/>
  <c r="O235" i="12"/>
  <c r="K235" i="12"/>
  <c r="AO235" i="12" s="1"/>
  <c r="J235" i="12"/>
  <c r="AF235" i="12" s="1"/>
  <c r="AY234" i="12"/>
  <c r="AX234" i="12"/>
  <c r="AA234" i="12"/>
  <c r="Z234" i="12"/>
  <c r="W234" i="12"/>
  <c r="X234" i="12" s="1"/>
  <c r="Y234" i="12" s="1"/>
  <c r="P234" i="12"/>
  <c r="O234" i="12"/>
  <c r="K234" i="12"/>
  <c r="AO234" i="12" s="1"/>
  <c r="J234" i="12"/>
  <c r="AF234" i="12" s="1"/>
  <c r="AU234" i="12" s="1"/>
  <c r="AY233" i="12"/>
  <c r="AX233" i="12"/>
  <c r="AA233" i="12"/>
  <c r="Z233" i="12"/>
  <c r="W233" i="12"/>
  <c r="X233" i="12" s="1"/>
  <c r="Y233" i="12" s="1"/>
  <c r="P233" i="12"/>
  <c r="O233" i="12"/>
  <c r="K233" i="12"/>
  <c r="AO233" i="12" s="1"/>
  <c r="AW233" i="12" s="1"/>
  <c r="J233" i="12"/>
  <c r="AF233" i="12" s="1"/>
  <c r="AY232" i="12"/>
  <c r="AX232" i="12"/>
  <c r="AA232" i="12"/>
  <c r="Z232" i="12"/>
  <c r="W232" i="12"/>
  <c r="X232" i="12" s="1"/>
  <c r="Y232" i="12" s="1"/>
  <c r="P232" i="12"/>
  <c r="O232" i="12"/>
  <c r="K232" i="12"/>
  <c r="AO232" i="12" s="1"/>
  <c r="AW232" i="12" s="1"/>
  <c r="J232" i="12"/>
  <c r="AF232" i="12" s="1"/>
  <c r="AY231" i="12"/>
  <c r="AX231" i="12"/>
  <c r="AA231" i="12"/>
  <c r="Z231" i="12"/>
  <c r="W231" i="12"/>
  <c r="X231" i="12" s="1"/>
  <c r="Y231" i="12" s="1"/>
  <c r="P231" i="12"/>
  <c r="O231" i="12"/>
  <c r="K231" i="12"/>
  <c r="AO231" i="12" s="1"/>
  <c r="J231" i="12"/>
  <c r="AF231" i="12" s="1"/>
  <c r="AY230" i="12"/>
  <c r="AX230" i="12"/>
  <c r="AA230" i="12"/>
  <c r="Z230" i="12"/>
  <c r="W230" i="12"/>
  <c r="X230" i="12" s="1"/>
  <c r="Y230" i="12" s="1"/>
  <c r="P230" i="12"/>
  <c r="O230" i="12"/>
  <c r="K230" i="12"/>
  <c r="AO230" i="12" s="1"/>
  <c r="AW230" i="12" s="1"/>
  <c r="J230" i="12"/>
  <c r="AF230" i="12" s="1"/>
  <c r="AY229" i="12"/>
  <c r="AX229" i="12"/>
  <c r="AA229" i="12"/>
  <c r="Z229" i="12"/>
  <c r="W229" i="12"/>
  <c r="X229" i="12" s="1"/>
  <c r="Y229" i="12" s="1"/>
  <c r="P229" i="12"/>
  <c r="O229" i="12"/>
  <c r="K229" i="12"/>
  <c r="AO229" i="12" s="1"/>
  <c r="AW229" i="12" s="1"/>
  <c r="J229" i="12"/>
  <c r="AF229" i="12" s="1"/>
  <c r="AY228" i="12"/>
  <c r="AX228" i="12"/>
  <c r="AA228" i="12"/>
  <c r="Z228" i="12"/>
  <c r="W228" i="12"/>
  <c r="X228" i="12" s="1"/>
  <c r="Y228" i="12" s="1"/>
  <c r="P228" i="12"/>
  <c r="O228" i="12"/>
  <c r="K228" i="12"/>
  <c r="AO228" i="12" s="1"/>
  <c r="J228" i="12"/>
  <c r="AF228" i="12" s="1"/>
  <c r="AU228" i="12" s="1"/>
  <c r="AY227" i="12"/>
  <c r="AX227" i="12"/>
  <c r="AA227" i="12"/>
  <c r="Z227" i="12"/>
  <c r="W227" i="12"/>
  <c r="X227" i="12" s="1"/>
  <c r="Y227" i="12" s="1"/>
  <c r="P227" i="12"/>
  <c r="O227" i="12"/>
  <c r="K227" i="12"/>
  <c r="AO227" i="12" s="1"/>
  <c r="AW227" i="12" s="1"/>
  <c r="J227" i="12"/>
  <c r="AF227" i="12" s="1"/>
  <c r="AU227" i="12" s="1"/>
  <c r="AY226" i="12"/>
  <c r="AX226" i="12"/>
  <c r="AA226" i="12"/>
  <c r="Z226" i="12"/>
  <c r="W226" i="12"/>
  <c r="X226" i="12" s="1"/>
  <c r="Y226" i="12" s="1"/>
  <c r="P226" i="12"/>
  <c r="O226" i="12"/>
  <c r="K226" i="12"/>
  <c r="AO226" i="12" s="1"/>
  <c r="AW226" i="12" s="1"/>
  <c r="J226" i="12"/>
  <c r="AF226" i="12" s="1"/>
  <c r="AU226" i="12" s="1"/>
  <c r="AY225" i="12"/>
  <c r="AX225" i="12"/>
  <c r="AA225" i="12"/>
  <c r="Z225" i="12"/>
  <c r="W225" i="12"/>
  <c r="X225" i="12" s="1"/>
  <c r="Y225" i="12" s="1"/>
  <c r="P225" i="12"/>
  <c r="O225" i="12"/>
  <c r="K225" i="12"/>
  <c r="AO225" i="12" s="1"/>
  <c r="J225" i="12"/>
  <c r="AF225" i="12" s="1"/>
  <c r="AY224" i="12"/>
  <c r="AX224" i="12"/>
  <c r="AA224" i="12"/>
  <c r="Z224" i="12"/>
  <c r="W224" i="12"/>
  <c r="X224" i="12" s="1"/>
  <c r="Y224" i="12" s="1"/>
  <c r="P224" i="12"/>
  <c r="O224" i="12"/>
  <c r="K224" i="12"/>
  <c r="AO224" i="12" s="1"/>
  <c r="AW224" i="12" s="1"/>
  <c r="J224" i="12"/>
  <c r="AF224" i="12" s="1"/>
  <c r="AU224" i="12" s="1"/>
  <c r="AY223" i="12"/>
  <c r="AX223" i="12"/>
  <c r="AF223" i="12"/>
  <c r="AU223" i="12" s="1"/>
  <c r="AA223" i="12"/>
  <c r="Z223" i="12"/>
  <c r="W223" i="12"/>
  <c r="X223" i="12" s="1"/>
  <c r="Y223" i="12" s="1"/>
  <c r="P223" i="12"/>
  <c r="O223" i="12"/>
  <c r="K223" i="12"/>
  <c r="AO223" i="12" s="1"/>
  <c r="J223" i="12"/>
  <c r="AY222" i="12"/>
  <c r="AX222" i="12"/>
  <c r="AA222" i="12"/>
  <c r="Z222" i="12"/>
  <c r="W222" i="12"/>
  <c r="X222" i="12" s="1"/>
  <c r="Y222" i="12" s="1"/>
  <c r="P222" i="12"/>
  <c r="O222" i="12"/>
  <c r="K222" i="12"/>
  <c r="AO222" i="12" s="1"/>
  <c r="J222" i="12"/>
  <c r="AF222" i="12" s="1"/>
  <c r="AU222" i="12" s="1"/>
  <c r="AY221" i="12"/>
  <c r="AX221" i="12"/>
  <c r="AA221" i="12"/>
  <c r="Z221" i="12"/>
  <c r="W221" i="12"/>
  <c r="X221" i="12" s="1"/>
  <c r="Y221" i="12" s="1"/>
  <c r="P221" i="12"/>
  <c r="O221" i="12"/>
  <c r="K221" i="12"/>
  <c r="AO221" i="12" s="1"/>
  <c r="J221" i="12"/>
  <c r="AF221" i="12" s="1"/>
  <c r="AU221" i="12" s="1"/>
  <c r="AY220" i="12"/>
  <c r="AX220" i="12"/>
  <c r="AA220" i="12"/>
  <c r="Z220" i="12"/>
  <c r="W220" i="12"/>
  <c r="X220" i="12" s="1"/>
  <c r="Y220" i="12" s="1"/>
  <c r="P220" i="12"/>
  <c r="O220" i="12"/>
  <c r="K220" i="12"/>
  <c r="AO220" i="12" s="1"/>
  <c r="J220" i="12"/>
  <c r="AF220" i="12" s="1"/>
  <c r="AU220" i="12" s="1"/>
  <c r="AY219" i="12"/>
  <c r="AX219" i="12"/>
  <c r="AA219" i="12"/>
  <c r="Z219" i="12"/>
  <c r="W219" i="12"/>
  <c r="X219" i="12" s="1"/>
  <c r="Y219" i="12" s="1"/>
  <c r="P219" i="12"/>
  <c r="O219" i="12"/>
  <c r="K219" i="12"/>
  <c r="AO219" i="12" s="1"/>
  <c r="AW219" i="12" s="1"/>
  <c r="J219" i="12"/>
  <c r="AF219" i="12" s="1"/>
  <c r="AY218" i="12"/>
  <c r="AX218" i="12"/>
  <c r="AA218" i="12"/>
  <c r="Z218" i="12"/>
  <c r="W218" i="12"/>
  <c r="X218" i="12" s="1"/>
  <c r="Y218" i="12" s="1"/>
  <c r="P218" i="12"/>
  <c r="O218" i="12"/>
  <c r="K218" i="12"/>
  <c r="AO218" i="12" s="1"/>
  <c r="AW218" i="12" s="1"/>
  <c r="J218" i="12"/>
  <c r="AF218" i="12" s="1"/>
  <c r="AY217" i="12"/>
  <c r="AX217" i="12"/>
  <c r="AA217" i="12"/>
  <c r="Z217" i="12"/>
  <c r="W217" i="12"/>
  <c r="X217" i="12" s="1"/>
  <c r="Y217" i="12" s="1"/>
  <c r="P217" i="12"/>
  <c r="O217" i="12"/>
  <c r="K217" i="12"/>
  <c r="AO217" i="12" s="1"/>
  <c r="J217" i="12"/>
  <c r="AF217" i="12" s="1"/>
  <c r="AU217" i="12" s="1"/>
  <c r="AY216" i="12"/>
  <c r="AX216" i="12"/>
  <c r="AA216" i="12"/>
  <c r="Z216" i="12"/>
  <c r="W216" i="12"/>
  <c r="X216" i="12" s="1"/>
  <c r="Y216" i="12" s="1"/>
  <c r="P216" i="12"/>
  <c r="O216" i="12"/>
  <c r="K216" i="12"/>
  <c r="AO216" i="12" s="1"/>
  <c r="AW216" i="12" s="1"/>
  <c r="J216" i="12"/>
  <c r="AF216" i="12" s="1"/>
  <c r="AU216" i="12" s="1"/>
  <c r="AY215" i="12"/>
  <c r="AX215" i="12"/>
  <c r="AA215" i="12"/>
  <c r="Z215" i="12"/>
  <c r="W215" i="12"/>
  <c r="X215" i="12" s="1"/>
  <c r="Y215" i="12" s="1"/>
  <c r="P215" i="12"/>
  <c r="O215" i="12"/>
  <c r="K215" i="12"/>
  <c r="AO215" i="12" s="1"/>
  <c r="J215" i="12"/>
  <c r="AF215" i="12" s="1"/>
  <c r="AU215" i="12" s="1"/>
  <c r="AY214" i="12"/>
  <c r="AX214" i="12"/>
  <c r="AA214" i="12"/>
  <c r="Z214" i="12"/>
  <c r="W214" i="12"/>
  <c r="X214" i="12" s="1"/>
  <c r="Y214" i="12" s="1"/>
  <c r="P214" i="12"/>
  <c r="O214" i="12"/>
  <c r="K214" i="12"/>
  <c r="AO214" i="12" s="1"/>
  <c r="AW214" i="12" s="1"/>
  <c r="J214" i="12"/>
  <c r="AF214" i="12" s="1"/>
  <c r="AU214" i="12" s="1"/>
  <c r="AY213" i="12"/>
  <c r="AX213" i="12"/>
  <c r="AA213" i="12"/>
  <c r="Z213" i="12"/>
  <c r="W213" i="12"/>
  <c r="X213" i="12" s="1"/>
  <c r="Y213" i="12" s="1"/>
  <c r="P213" i="12"/>
  <c r="O213" i="12"/>
  <c r="K213" i="12"/>
  <c r="AO213" i="12" s="1"/>
  <c r="AW213" i="12" s="1"/>
  <c r="J213" i="12"/>
  <c r="AF213" i="12" s="1"/>
  <c r="AU213" i="12" s="1"/>
  <c r="AY212" i="12"/>
  <c r="AX212" i="12"/>
  <c r="AA212" i="12"/>
  <c r="Z212" i="12"/>
  <c r="W212" i="12"/>
  <c r="X212" i="12" s="1"/>
  <c r="Y212" i="12" s="1"/>
  <c r="P212" i="12"/>
  <c r="O212" i="12"/>
  <c r="K212" i="12"/>
  <c r="AO212" i="12" s="1"/>
  <c r="J212" i="12"/>
  <c r="AF212" i="12" s="1"/>
  <c r="AU212" i="12" s="1"/>
  <c r="AY211" i="12"/>
  <c r="AX211" i="12"/>
  <c r="AA211" i="12"/>
  <c r="Z211" i="12"/>
  <c r="W211" i="12"/>
  <c r="X211" i="12" s="1"/>
  <c r="Y211" i="12" s="1"/>
  <c r="P211" i="12"/>
  <c r="O211" i="12"/>
  <c r="K211" i="12"/>
  <c r="AO211" i="12" s="1"/>
  <c r="AW211" i="12" s="1"/>
  <c r="J211" i="12"/>
  <c r="AF211" i="12" s="1"/>
  <c r="AU211" i="12" s="1"/>
  <c r="AY210" i="12"/>
  <c r="AX210" i="12"/>
  <c r="AA210" i="12"/>
  <c r="Z210" i="12"/>
  <c r="W210" i="12"/>
  <c r="X210" i="12" s="1"/>
  <c r="Y210" i="12" s="1"/>
  <c r="P210" i="12"/>
  <c r="O210" i="12"/>
  <c r="K210" i="12"/>
  <c r="AO210" i="12" s="1"/>
  <c r="AW210" i="12" s="1"/>
  <c r="J210" i="12"/>
  <c r="AF210" i="12" s="1"/>
  <c r="AU210" i="12" s="1"/>
  <c r="AY209" i="12"/>
  <c r="AX209" i="12"/>
  <c r="AA209" i="12"/>
  <c r="Z209" i="12"/>
  <c r="W209" i="12"/>
  <c r="X209" i="12" s="1"/>
  <c r="Y209" i="12" s="1"/>
  <c r="P209" i="12"/>
  <c r="O209" i="12"/>
  <c r="K209" i="12"/>
  <c r="AO209" i="12" s="1"/>
  <c r="J209" i="12"/>
  <c r="AF209" i="12" s="1"/>
  <c r="AY208" i="12"/>
  <c r="AX208" i="12"/>
  <c r="AA208" i="12"/>
  <c r="Z208" i="12"/>
  <c r="W208" i="12"/>
  <c r="X208" i="12" s="1"/>
  <c r="Y208" i="12" s="1"/>
  <c r="P208" i="12"/>
  <c r="O208" i="12"/>
  <c r="K208" i="12"/>
  <c r="AO208" i="12" s="1"/>
  <c r="J208" i="12"/>
  <c r="AF208" i="12" s="1"/>
  <c r="AU208" i="12" s="1"/>
  <c r="AY207" i="12"/>
  <c r="AX207" i="12"/>
  <c r="AA207" i="12"/>
  <c r="Z207" i="12"/>
  <c r="W207" i="12"/>
  <c r="X207" i="12" s="1"/>
  <c r="Y207" i="12" s="1"/>
  <c r="P207" i="12"/>
  <c r="O207" i="12"/>
  <c r="K207" i="12"/>
  <c r="AO207" i="12" s="1"/>
  <c r="AW207" i="12" s="1"/>
  <c r="J207" i="12"/>
  <c r="AF207" i="12" s="1"/>
  <c r="AU207" i="12" s="1"/>
  <c r="AY206" i="12"/>
  <c r="AX206" i="12"/>
  <c r="AA206" i="12"/>
  <c r="Z206" i="12"/>
  <c r="W206" i="12"/>
  <c r="X206" i="12" s="1"/>
  <c r="Y206" i="12" s="1"/>
  <c r="P206" i="12"/>
  <c r="O206" i="12"/>
  <c r="K206" i="12"/>
  <c r="AO206" i="12" s="1"/>
  <c r="J206" i="12"/>
  <c r="AF206" i="12" s="1"/>
  <c r="AU206" i="12" s="1"/>
  <c r="AY205" i="12"/>
  <c r="AX205" i="12"/>
  <c r="AA205" i="12"/>
  <c r="Z205" i="12"/>
  <c r="W205" i="12"/>
  <c r="X205" i="12" s="1"/>
  <c r="Y205" i="12" s="1"/>
  <c r="P205" i="12"/>
  <c r="O205" i="12"/>
  <c r="K205" i="12"/>
  <c r="AO205" i="12" s="1"/>
  <c r="AW205" i="12" s="1"/>
  <c r="J205" i="12"/>
  <c r="AF205" i="12" s="1"/>
  <c r="AU205" i="12" s="1"/>
  <c r="AY204" i="12"/>
  <c r="AX204" i="12"/>
  <c r="AA204" i="12"/>
  <c r="Z204" i="12"/>
  <c r="W204" i="12"/>
  <c r="X204" i="12" s="1"/>
  <c r="Y204" i="12" s="1"/>
  <c r="P204" i="12"/>
  <c r="O204" i="12"/>
  <c r="K204" i="12"/>
  <c r="AO204" i="12" s="1"/>
  <c r="J204" i="12"/>
  <c r="AF204" i="12" s="1"/>
  <c r="AU204" i="12" s="1"/>
  <c r="AY203" i="12"/>
  <c r="AX203" i="12"/>
  <c r="AA203" i="12"/>
  <c r="Z203" i="12"/>
  <c r="W203" i="12"/>
  <c r="X203" i="12" s="1"/>
  <c r="Y203" i="12" s="1"/>
  <c r="P203" i="12"/>
  <c r="O203" i="12"/>
  <c r="K203" i="12"/>
  <c r="AO203" i="12" s="1"/>
  <c r="J203" i="12"/>
  <c r="AF203" i="12" s="1"/>
  <c r="AY202" i="12"/>
  <c r="AX202" i="12"/>
  <c r="AA202" i="12"/>
  <c r="Z202" i="12"/>
  <c r="W202" i="12"/>
  <c r="X202" i="12" s="1"/>
  <c r="Y202" i="12" s="1"/>
  <c r="P202" i="12"/>
  <c r="O202" i="12"/>
  <c r="K202" i="12"/>
  <c r="AO202" i="12" s="1"/>
  <c r="AW202" i="12" s="1"/>
  <c r="J202" i="12"/>
  <c r="AF202" i="12" s="1"/>
  <c r="AY201" i="12"/>
  <c r="AX201" i="12"/>
  <c r="AA201" i="12"/>
  <c r="Z201" i="12"/>
  <c r="W201" i="12"/>
  <c r="X201" i="12" s="1"/>
  <c r="Y201" i="12" s="1"/>
  <c r="P201" i="12"/>
  <c r="O201" i="12"/>
  <c r="K201" i="12"/>
  <c r="AO201" i="12" s="1"/>
  <c r="AW201" i="12" s="1"/>
  <c r="J201" i="12"/>
  <c r="AF201" i="12" s="1"/>
  <c r="AU201" i="12" s="1"/>
  <c r="AY200" i="12"/>
  <c r="AX200" i="12"/>
  <c r="AA200" i="12"/>
  <c r="Z200" i="12"/>
  <c r="W200" i="12"/>
  <c r="X200" i="12" s="1"/>
  <c r="Y200" i="12" s="1"/>
  <c r="P200" i="12"/>
  <c r="O200" i="12"/>
  <c r="K200" i="12"/>
  <c r="AO200" i="12" s="1"/>
  <c r="J200" i="12"/>
  <c r="AF200" i="12" s="1"/>
  <c r="AU200" i="12" s="1"/>
  <c r="AY199" i="12"/>
  <c r="AX199" i="12"/>
  <c r="AA199" i="12"/>
  <c r="Z199" i="12"/>
  <c r="W199" i="12"/>
  <c r="X199" i="12" s="1"/>
  <c r="Y199" i="12" s="1"/>
  <c r="P199" i="12"/>
  <c r="O199" i="12"/>
  <c r="K199" i="12"/>
  <c r="AO199" i="12" s="1"/>
  <c r="J199" i="12"/>
  <c r="AF199" i="12" s="1"/>
  <c r="AY198" i="12"/>
  <c r="AX198" i="12"/>
  <c r="AA198" i="12"/>
  <c r="Z198" i="12"/>
  <c r="W198" i="12"/>
  <c r="X198" i="12" s="1"/>
  <c r="Y198" i="12" s="1"/>
  <c r="P198" i="12"/>
  <c r="O198" i="12"/>
  <c r="K198" i="12"/>
  <c r="AO198" i="12" s="1"/>
  <c r="AW198" i="12" s="1"/>
  <c r="J198" i="12"/>
  <c r="AF198" i="12" s="1"/>
  <c r="AY197" i="12"/>
  <c r="AX197" i="12"/>
  <c r="AA197" i="12"/>
  <c r="Z197" i="12"/>
  <c r="W197" i="12"/>
  <c r="X197" i="12" s="1"/>
  <c r="Y197" i="12" s="1"/>
  <c r="P197" i="12"/>
  <c r="O197" i="12"/>
  <c r="K197" i="12"/>
  <c r="AO197" i="12" s="1"/>
  <c r="AW197" i="12" s="1"/>
  <c r="J197" i="12"/>
  <c r="AF197" i="12" s="1"/>
  <c r="AY196" i="12"/>
  <c r="AX196" i="12"/>
  <c r="AA196" i="12"/>
  <c r="Z196" i="12"/>
  <c r="W196" i="12"/>
  <c r="X196" i="12" s="1"/>
  <c r="Y196" i="12" s="1"/>
  <c r="P196" i="12"/>
  <c r="O196" i="12"/>
  <c r="K196" i="12"/>
  <c r="AO196" i="12" s="1"/>
  <c r="J196" i="12"/>
  <c r="AF196" i="12" s="1"/>
  <c r="AU196" i="12" s="1"/>
  <c r="AY195" i="12"/>
  <c r="AX195" i="12"/>
  <c r="AA195" i="12"/>
  <c r="Z195" i="12"/>
  <c r="W195" i="12"/>
  <c r="X195" i="12" s="1"/>
  <c r="Y195" i="12" s="1"/>
  <c r="P195" i="12"/>
  <c r="O195" i="12"/>
  <c r="K195" i="12"/>
  <c r="AO195" i="12" s="1"/>
  <c r="AW195" i="12" s="1"/>
  <c r="J195" i="12"/>
  <c r="AF195" i="12" s="1"/>
  <c r="AY194" i="12"/>
  <c r="AX194" i="12"/>
  <c r="AA194" i="12"/>
  <c r="Z194" i="12"/>
  <c r="W194" i="12"/>
  <c r="X194" i="12" s="1"/>
  <c r="Y194" i="12" s="1"/>
  <c r="P194" i="12"/>
  <c r="O194" i="12"/>
  <c r="K194" i="12"/>
  <c r="AO194" i="12" s="1"/>
  <c r="J194" i="12"/>
  <c r="AF194" i="12" s="1"/>
  <c r="AU194" i="12" s="1"/>
  <c r="AY193" i="12"/>
  <c r="AX193" i="12"/>
  <c r="AA193" i="12"/>
  <c r="Z193" i="12"/>
  <c r="W193" i="12"/>
  <c r="X193" i="12" s="1"/>
  <c r="Y193" i="12" s="1"/>
  <c r="P193" i="12"/>
  <c r="O193" i="12"/>
  <c r="K193" i="12"/>
  <c r="AO193" i="12" s="1"/>
  <c r="J193" i="12"/>
  <c r="AF193" i="12" s="1"/>
  <c r="AY192" i="12"/>
  <c r="AX192" i="12"/>
  <c r="AA192" i="12"/>
  <c r="Z192" i="12"/>
  <c r="W192" i="12"/>
  <c r="X192" i="12" s="1"/>
  <c r="Y192" i="12" s="1"/>
  <c r="P192" i="12"/>
  <c r="O192" i="12"/>
  <c r="K192" i="12"/>
  <c r="AO192" i="12" s="1"/>
  <c r="J192" i="12"/>
  <c r="AF192" i="12" s="1"/>
  <c r="AU192" i="12" s="1"/>
  <c r="AY191" i="12"/>
  <c r="AX191" i="12"/>
  <c r="AA191" i="12"/>
  <c r="Z191" i="12"/>
  <c r="W191" i="12"/>
  <c r="X191" i="12" s="1"/>
  <c r="Y191" i="12" s="1"/>
  <c r="P191" i="12"/>
  <c r="O191" i="12"/>
  <c r="K191" i="12"/>
  <c r="AO191" i="12" s="1"/>
  <c r="AW191" i="12" s="1"/>
  <c r="J191" i="12"/>
  <c r="AF191" i="12" s="1"/>
  <c r="AU191" i="12" s="1"/>
  <c r="AY190" i="12"/>
  <c r="AX190" i="12"/>
  <c r="AA190" i="12"/>
  <c r="Z190" i="12"/>
  <c r="W190" i="12"/>
  <c r="X190" i="12" s="1"/>
  <c r="Y190" i="12" s="1"/>
  <c r="P190" i="12"/>
  <c r="O190" i="12"/>
  <c r="K190" i="12"/>
  <c r="AO190" i="12" s="1"/>
  <c r="J190" i="12"/>
  <c r="AF190" i="12" s="1"/>
  <c r="AU190" i="12" s="1"/>
  <c r="AY189" i="12"/>
  <c r="AX189" i="12"/>
  <c r="AA189" i="12"/>
  <c r="Z189" i="12"/>
  <c r="W189" i="12"/>
  <c r="X189" i="12" s="1"/>
  <c r="Y189" i="12" s="1"/>
  <c r="P189" i="12"/>
  <c r="O189" i="12"/>
  <c r="K189" i="12"/>
  <c r="AO189" i="12" s="1"/>
  <c r="AW189" i="12" s="1"/>
  <c r="J189" i="12"/>
  <c r="AF189" i="12" s="1"/>
  <c r="AY188" i="12"/>
  <c r="AX188" i="12"/>
  <c r="AA188" i="12"/>
  <c r="Z188" i="12"/>
  <c r="W188" i="12"/>
  <c r="X188" i="12" s="1"/>
  <c r="Y188" i="12" s="1"/>
  <c r="P188" i="12"/>
  <c r="O188" i="12"/>
  <c r="K188" i="12"/>
  <c r="AO188" i="12" s="1"/>
  <c r="AW188" i="12" s="1"/>
  <c r="J188" i="12"/>
  <c r="AF188" i="12" s="1"/>
  <c r="AU188" i="12" s="1"/>
  <c r="AY187" i="12"/>
  <c r="AX187" i="12"/>
  <c r="AA187" i="12"/>
  <c r="Z187" i="12"/>
  <c r="W187" i="12"/>
  <c r="X187" i="12" s="1"/>
  <c r="Y187" i="12" s="1"/>
  <c r="P187" i="12"/>
  <c r="O187" i="12"/>
  <c r="K187" i="12"/>
  <c r="AO187" i="12" s="1"/>
  <c r="AW187" i="12" s="1"/>
  <c r="J187" i="12"/>
  <c r="AF187" i="12" s="1"/>
  <c r="AU187" i="12" s="1"/>
  <c r="AY186" i="12"/>
  <c r="AX186" i="12"/>
  <c r="AA186" i="12"/>
  <c r="Z186" i="12"/>
  <c r="W186" i="12"/>
  <c r="X186" i="12" s="1"/>
  <c r="Y186" i="12" s="1"/>
  <c r="P186" i="12"/>
  <c r="O186" i="12"/>
  <c r="K186" i="12"/>
  <c r="AO186" i="12" s="1"/>
  <c r="J186" i="12"/>
  <c r="AF186" i="12" s="1"/>
  <c r="AU186" i="12" s="1"/>
  <c r="AY185" i="12"/>
  <c r="AX185" i="12"/>
  <c r="AA185" i="12"/>
  <c r="Z185" i="12"/>
  <c r="W185" i="12"/>
  <c r="X185" i="12" s="1"/>
  <c r="Y185" i="12" s="1"/>
  <c r="P185" i="12"/>
  <c r="O185" i="12"/>
  <c r="K185" i="12"/>
  <c r="AO185" i="12" s="1"/>
  <c r="J185" i="12"/>
  <c r="AF185" i="12" s="1"/>
  <c r="AY184" i="12"/>
  <c r="AX184" i="12"/>
  <c r="AA184" i="12"/>
  <c r="Z184" i="12"/>
  <c r="W184" i="12"/>
  <c r="X184" i="12" s="1"/>
  <c r="Y184" i="12" s="1"/>
  <c r="P184" i="12"/>
  <c r="O184" i="12"/>
  <c r="K184" i="12"/>
  <c r="AO184" i="12" s="1"/>
  <c r="AW184" i="12" s="1"/>
  <c r="J184" i="12"/>
  <c r="AF184" i="12" s="1"/>
  <c r="AU184" i="12" s="1"/>
  <c r="AY183" i="12"/>
  <c r="AX183" i="12"/>
  <c r="AA183" i="12"/>
  <c r="Z183" i="12"/>
  <c r="W183" i="12"/>
  <c r="X183" i="12" s="1"/>
  <c r="Y183" i="12" s="1"/>
  <c r="P183" i="12"/>
  <c r="O183" i="12"/>
  <c r="K183" i="12"/>
  <c r="AO183" i="12" s="1"/>
  <c r="J183" i="12"/>
  <c r="AF183" i="12" s="1"/>
  <c r="AU183" i="12" s="1"/>
  <c r="AY182" i="12"/>
  <c r="AX182" i="12"/>
  <c r="AA182" i="12"/>
  <c r="Z182" i="12"/>
  <c r="W182" i="12"/>
  <c r="X182" i="12" s="1"/>
  <c r="Y182" i="12" s="1"/>
  <c r="P182" i="12"/>
  <c r="O182" i="12"/>
  <c r="K182" i="12"/>
  <c r="AO182" i="12" s="1"/>
  <c r="AW182" i="12" s="1"/>
  <c r="J182" i="12"/>
  <c r="AF182" i="12" s="1"/>
  <c r="AY181" i="12"/>
  <c r="AX181" i="12"/>
  <c r="AA181" i="12"/>
  <c r="Z181" i="12"/>
  <c r="W181" i="12"/>
  <c r="X181" i="12" s="1"/>
  <c r="Y181" i="12" s="1"/>
  <c r="P181" i="12"/>
  <c r="O181" i="12"/>
  <c r="K181" i="12"/>
  <c r="AO181" i="12" s="1"/>
  <c r="AW181" i="12" s="1"/>
  <c r="J181" i="12"/>
  <c r="AF181" i="12" s="1"/>
  <c r="AY180" i="12"/>
  <c r="AX180" i="12"/>
  <c r="AA180" i="12"/>
  <c r="Z180" i="12"/>
  <c r="W180" i="12"/>
  <c r="X180" i="12" s="1"/>
  <c r="Y180" i="12" s="1"/>
  <c r="P180" i="12"/>
  <c r="O180" i="12"/>
  <c r="K180" i="12"/>
  <c r="AO180" i="12" s="1"/>
  <c r="J180" i="12"/>
  <c r="AF180" i="12" s="1"/>
  <c r="AU180" i="12" s="1"/>
  <c r="AY179" i="12"/>
  <c r="AX179" i="12"/>
  <c r="AA179" i="12"/>
  <c r="Z179" i="12"/>
  <c r="W179" i="12"/>
  <c r="X179" i="12" s="1"/>
  <c r="Y179" i="12" s="1"/>
  <c r="P179" i="12"/>
  <c r="O179" i="12"/>
  <c r="K179" i="12"/>
  <c r="AO179" i="12" s="1"/>
  <c r="J179" i="12"/>
  <c r="AF179" i="12" s="1"/>
  <c r="AY178" i="12"/>
  <c r="AX178" i="12"/>
  <c r="AA178" i="12"/>
  <c r="Z178" i="12"/>
  <c r="W178" i="12"/>
  <c r="X178" i="12" s="1"/>
  <c r="Y178" i="12" s="1"/>
  <c r="P178" i="12"/>
  <c r="O178" i="12"/>
  <c r="K178" i="12"/>
  <c r="AO178" i="12" s="1"/>
  <c r="J178" i="12"/>
  <c r="AF178" i="12" s="1"/>
  <c r="AU178" i="12" s="1"/>
  <c r="AY177" i="12"/>
  <c r="AX177" i="12"/>
  <c r="AA177" i="12"/>
  <c r="Z177" i="12"/>
  <c r="W177" i="12"/>
  <c r="X177" i="12" s="1"/>
  <c r="Y177" i="12" s="1"/>
  <c r="P177" i="12"/>
  <c r="O177" i="12"/>
  <c r="K177" i="12"/>
  <c r="AO177" i="12" s="1"/>
  <c r="J177" i="12"/>
  <c r="AF177" i="12" s="1"/>
  <c r="AU177" i="12" s="1"/>
  <c r="AY176" i="12"/>
  <c r="AX176" i="12"/>
  <c r="AA176" i="12"/>
  <c r="Z176" i="12"/>
  <c r="W176" i="12"/>
  <c r="X176" i="12" s="1"/>
  <c r="Y176" i="12" s="1"/>
  <c r="P176" i="12"/>
  <c r="O176" i="12"/>
  <c r="K176" i="12"/>
  <c r="AO176" i="12" s="1"/>
  <c r="J176" i="12"/>
  <c r="AF176" i="12" s="1"/>
  <c r="AY175" i="12"/>
  <c r="AX175" i="12"/>
  <c r="AA175" i="12"/>
  <c r="Z175" i="12"/>
  <c r="W175" i="12"/>
  <c r="X175" i="12" s="1"/>
  <c r="Y175" i="12" s="1"/>
  <c r="P175" i="12"/>
  <c r="O175" i="12"/>
  <c r="K175" i="12"/>
  <c r="AO175" i="12" s="1"/>
  <c r="J175" i="12"/>
  <c r="AF175" i="12" s="1"/>
  <c r="AU175" i="12" s="1"/>
  <c r="AY174" i="12"/>
  <c r="AX174" i="12"/>
  <c r="AA174" i="12"/>
  <c r="Z174" i="12"/>
  <c r="W174" i="12"/>
  <c r="X174" i="12" s="1"/>
  <c r="Y174" i="12" s="1"/>
  <c r="P174" i="12"/>
  <c r="O174" i="12"/>
  <c r="K174" i="12"/>
  <c r="AO174" i="12" s="1"/>
  <c r="AW174" i="12" s="1"/>
  <c r="J174" i="12"/>
  <c r="AF174" i="12" s="1"/>
  <c r="AU174" i="12" s="1"/>
  <c r="AY173" i="12"/>
  <c r="AX173" i="12"/>
  <c r="AA173" i="12"/>
  <c r="Z173" i="12"/>
  <c r="W173" i="12"/>
  <c r="X173" i="12" s="1"/>
  <c r="Y173" i="12" s="1"/>
  <c r="P173" i="12"/>
  <c r="O173" i="12"/>
  <c r="K173" i="12"/>
  <c r="AO173" i="12" s="1"/>
  <c r="AW173" i="12" s="1"/>
  <c r="J173" i="12"/>
  <c r="AF173" i="12" s="1"/>
  <c r="AU173" i="12" s="1"/>
  <c r="AY172" i="12"/>
  <c r="AX172" i="12"/>
  <c r="AA172" i="12"/>
  <c r="Z172" i="12"/>
  <c r="W172" i="12"/>
  <c r="X172" i="12" s="1"/>
  <c r="Y172" i="12" s="1"/>
  <c r="P172" i="12"/>
  <c r="O172" i="12"/>
  <c r="K172" i="12"/>
  <c r="AO172" i="12" s="1"/>
  <c r="AW172" i="12" s="1"/>
  <c r="J172" i="12"/>
  <c r="AF172" i="12" s="1"/>
  <c r="AY171" i="12"/>
  <c r="AX171" i="12"/>
  <c r="AA171" i="12"/>
  <c r="Z171" i="12"/>
  <c r="W171" i="12"/>
  <c r="X171" i="12" s="1"/>
  <c r="Y171" i="12" s="1"/>
  <c r="P171" i="12"/>
  <c r="O171" i="12"/>
  <c r="K171" i="12"/>
  <c r="AO171" i="12" s="1"/>
  <c r="J171" i="12"/>
  <c r="AF171" i="12" s="1"/>
  <c r="AY170" i="12"/>
  <c r="AX170" i="12"/>
  <c r="AA170" i="12"/>
  <c r="Z170" i="12"/>
  <c r="W170" i="12"/>
  <c r="X170" i="12" s="1"/>
  <c r="Y170" i="12" s="1"/>
  <c r="P170" i="12"/>
  <c r="O170" i="12"/>
  <c r="K170" i="12"/>
  <c r="AO170" i="12" s="1"/>
  <c r="J170" i="12"/>
  <c r="AF170" i="12" s="1"/>
  <c r="AY169" i="12"/>
  <c r="AX169" i="12"/>
  <c r="AA169" i="12"/>
  <c r="Z169" i="12"/>
  <c r="W169" i="12"/>
  <c r="X169" i="12" s="1"/>
  <c r="Y169" i="12" s="1"/>
  <c r="P169" i="12"/>
  <c r="O169" i="12"/>
  <c r="K169" i="12"/>
  <c r="AO169" i="12" s="1"/>
  <c r="J169" i="12"/>
  <c r="AF169" i="12" s="1"/>
  <c r="AY168" i="12"/>
  <c r="AX168" i="12"/>
  <c r="AA168" i="12"/>
  <c r="Z168" i="12"/>
  <c r="W168" i="12"/>
  <c r="X168" i="12" s="1"/>
  <c r="Y168" i="12" s="1"/>
  <c r="P168" i="12"/>
  <c r="O168" i="12"/>
  <c r="K168" i="12"/>
  <c r="AO168" i="12" s="1"/>
  <c r="J168" i="12"/>
  <c r="AF168" i="12" s="1"/>
  <c r="AY167" i="12"/>
  <c r="AX167" i="12"/>
  <c r="AA167" i="12"/>
  <c r="Z167" i="12"/>
  <c r="W167" i="12"/>
  <c r="X167" i="12" s="1"/>
  <c r="Y167" i="12" s="1"/>
  <c r="P167" i="12"/>
  <c r="O167" i="12"/>
  <c r="K167" i="12"/>
  <c r="AO167" i="12" s="1"/>
  <c r="AW167" i="12" s="1"/>
  <c r="J167" i="12"/>
  <c r="AF167" i="12" s="1"/>
  <c r="AU167" i="12" s="1"/>
  <c r="AY166" i="12"/>
  <c r="AX166" i="12"/>
  <c r="AA166" i="12"/>
  <c r="Z166" i="12"/>
  <c r="W166" i="12"/>
  <c r="X166" i="12" s="1"/>
  <c r="Y166" i="12" s="1"/>
  <c r="P166" i="12"/>
  <c r="O166" i="12"/>
  <c r="K166" i="12"/>
  <c r="AO166" i="12" s="1"/>
  <c r="J166" i="12"/>
  <c r="AF166" i="12" s="1"/>
  <c r="AU166" i="12" s="1"/>
  <c r="AY165" i="12"/>
  <c r="AX165" i="12"/>
  <c r="AA165" i="12"/>
  <c r="Z165" i="12"/>
  <c r="W165" i="12"/>
  <c r="X165" i="12" s="1"/>
  <c r="Y165" i="12" s="1"/>
  <c r="P165" i="12"/>
  <c r="O165" i="12"/>
  <c r="K165" i="12"/>
  <c r="AO165" i="12" s="1"/>
  <c r="J165" i="12"/>
  <c r="AF165" i="12" s="1"/>
  <c r="AU165" i="12" s="1"/>
  <c r="AY164" i="12"/>
  <c r="AX164" i="12"/>
  <c r="AA164" i="12"/>
  <c r="Z164" i="12"/>
  <c r="W164" i="12"/>
  <c r="X164" i="12" s="1"/>
  <c r="Y164" i="12" s="1"/>
  <c r="P164" i="12"/>
  <c r="O164" i="12"/>
  <c r="K164" i="12"/>
  <c r="AO164" i="12" s="1"/>
  <c r="J164" i="12"/>
  <c r="AF164" i="12" s="1"/>
  <c r="AY163" i="12"/>
  <c r="AX163" i="12"/>
  <c r="AA163" i="12"/>
  <c r="Z163" i="12"/>
  <c r="W163" i="12"/>
  <c r="X163" i="12" s="1"/>
  <c r="Y163" i="12" s="1"/>
  <c r="P163" i="12"/>
  <c r="O163" i="12"/>
  <c r="K163" i="12"/>
  <c r="AO163" i="12" s="1"/>
  <c r="AW163" i="12" s="1"/>
  <c r="J163" i="12"/>
  <c r="AF163" i="12" s="1"/>
  <c r="AY162" i="12"/>
  <c r="AX162" i="12"/>
  <c r="AA162" i="12"/>
  <c r="Z162" i="12"/>
  <c r="W162" i="12"/>
  <c r="X162" i="12" s="1"/>
  <c r="Y162" i="12" s="1"/>
  <c r="P162" i="12"/>
  <c r="O162" i="12"/>
  <c r="K162" i="12"/>
  <c r="AO162" i="12" s="1"/>
  <c r="AW162" i="12" s="1"/>
  <c r="J162" i="12"/>
  <c r="AF162" i="12" s="1"/>
  <c r="AU162" i="12" s="1"/>
  <c r="AY161" i="12"/>
  <c r="AX161" i="12"/>
  <c r="AA161" i="12"/>
  <c r="Z161" i="12"/>
  <c r="W161" i="12"/>
  <c r="X161" i="12" s="1"/>
  <c r="Y161" i="12" s="1"/>
  <c r="P161" i="12"/>
  <c r="O161" i="12"/>
  <c r="K161" i="12"/>
  <c r="AO161" i="12" s="1"/>
  <c r="AW161" i="12" s="1"/>
  <c r="J161" i="12"/>
  <c r="AF161" i="12" s="1"/>
  <c r="AU161" i="12" s="1"/>
  <c r="AY160" i="12"/>
  <c r="AX160" i="12"/>
  <c r="AA160" i="12"/>
  <c r="Z160" i="12"/>
  <c r="W160" i="12"/>
  <c r="X160" i="12" s="1"/>
  <c r="Y160" i="12" s="1"/>
  <c r="P160" i="12"/>
  <c r="O160" i="12"/>
  <c r="K160" i="12"/>
  <c r="AO160" i="12" s="1"/>
  <c r="J160" i="12"/>
  <c r="AF160" i="12" s="1"/>
  <c r="AY159" i="12"/>
  <c r="AX159" i="12"/>
  <c r="AO159" i="12"/>
  <c r="AA159" i="12"/>
  <c r="Z159" i="12"/>
  <c r="W159" i="12"/>
  <c r="X159" i="12" s="1"/>
  <c r="Y159" i="12" s="1"/>
  <c r="P159" i="12"/>
  <c r="O159" i="12"/>
  <c r="K159" i="12"/>
  <c r="J159" i="12"/>
  <c r="AF159" i="12" s="1"/>
  <c r="AY158" i="12"/>
  <c r="AX158" i="12"/>
  <c r="AA158" i="12"/>
  <c r="Z158" i="12"/>
  <c r="W158" i="12"/>
  <c r="X158" i="12" s="1"/>
  <c r="Y158" i="12" s="1"/>
  <c r="P158" i="12"/>
  <c r="O158" i="12"/>
  <c r="K158" i="12"/>
  <c r="AO158" i="12" s="1"/>
  <c r="AW158" i="12" s="1"/>
  <c r="J158" i="12"/>
  <c r="AF158" i="12" s="1"/>
  <c r="AU158" i="12" s="1"/>
  <c r="AY157" i="12"/>
  <c r="AX157" i="12"/>
  <c r="AU157" i="12"/>
  <c r="AA157" i="12"/>
  <c r="Z157" i="12"/>
  <c r="W157" i="12"/>
  <c r="X157" i="12" s="1"/>
  <c r="Y157" i="12" s="1"/>
  <c r="P157" i="12"/>
  <c r="O157" i="12"/>
  <c r="K157" i="12"/>
  <c r="AO157" i="12" s="1"/>
  <c r="J157" i="12"/>
  <c r="AF157" i="12" s="1"/>
  <c r="AY156" i="12"/>
  <c r="AX156" i="12"/>
  <c r="AA156" i="12"/>
  <c r="Z156" i="12"/>
  <c r="W156" i="12"/>
  <c r="X156" i="12" s="1"/>
  <c r="Y156" i="12" s="1"/>
  <c r="P156" i="12"/>
  <c r="O156" i="12"/>
  <c r="K156" i="12"/>
  <c r="AO156" i="12" s="1"/>
  <c r="AW156" i="12" s="1"/>
  <c r="J156" i="12"/>
  <c r="AF156" i="12" s="1"/>
  <c r="AU156" i="12" s="1"/>
  <c r="AY155" i="12"/>
  <c r="AX155" i="12"/>
  <c r="AA155" i="12"/>
  <c r="Z155" i="12"/>
  <c r="W155" i="12"/>
  <c r="X155" i="12" s="1"/>
  <c r="Y155" i="12" s="1"/>
  <c r="P155" i="12"/>
  <c r="O155" i="12"/>
  <c r="K155" i="12"/>
  <c r="AO155" i="12" s="1"/>
  <c r="AW155" i="12" s="1"/>
  <c r="J155" i="12"/>
  <c r="AF155" i="12" s="1"/>
  <c r="AY154" i="12"/>
  <c r="AX154" i="12"/>
  <c r="AA154" i="12"/>
  <c r="Z154" i="12"/>
  <c r="W154" i="12"/>
  <c r="X154" i="12" s="1"/>
  <c r="Y154" i="12" s="1"/>
  <c r="P154" i="12"/>
  <c r="O154" i="12"/>
  <c r="K154" i="12"/>
  <c r="AO154" i="12" s="1"/>
  <c r="AW154" i="12" s="1"/>
  <c r="J154" i="12"/>
  <c r="AF154" i="12" s="1"/>
  <c r="AU154" i="12" s="1"/>
  <c r="AY153" i="12"/>
  <c r="AX153" i="12"/>
  <c r="AA153" i="12"/>
  <c r="Z153" i="12"/>
  <c r="W153" i="12"/>
  <c r="X153" i="12" s="1"/>
  <c r="Y153" i="12" s="1"/>
  <c r="P153" i="12"/>
  <c r="O153" i="12"/>
  <c r="K153" i="12"/>
  <c r="AO153" i="12" s="1"/>
  <c r="J153" i="12"/>
  <c r="AF153" i="12" s="1"/>
  <c r="AY152" i="12"/>
  <c r="AX152" i="12"/>
  <c r="AA152" i="12"/>
  <c r="Z152" i="12"/>
  <c r="W152" i="12"/>
  <c r="X152" i="12" s="1"/>
  <c r="Y152" i="12" s="1"/>
  <c r="P152" i="12"/>
  <c r="O152" i="12"/>
  <c r="K152" i="12"/>
  <c r="AO152" i="12" s="1"/>
  <c r="J152" i="12"/>
  <c r="AF152" i="12" s="1"/>
  <c r="AY151" i="12"/>
  <c r="AX151" i="12"/>
  <c r="AA151" i="12"/>
  <c r="Z151" i="12"/>
  <c r="W151" i="12"/>
  <c r="X151" i="12" s="1"/>
  <c r="Y151" i="12" s="1"/>
  <c r="P151" i="12"/>
  <c r="O151" i="12"/>
  <c r="K151" i="12"/>
  <c r="AO151" i="12" s="1"/>
  <c r="AW151" i="12" s="1"/>
  <c r="J151" i="12"/>
  <c r="AF151" i="12" s="1"/>
  <c r="AU151" i="12" s="1"/>
  <c r="AY150" i="12"/>
  <c r="AX150" i="12"/>
  <c r="AA150" i="12"/>
  <c r="Z150" i="12"/>
  <c r="W150" i="12"/>
  <c r="X150" i="12" s="1"/>
  <c r="Y150" i="12" s="1"/>
  <c r="P150" i="12"/>
  <c r="O150" i="12"/>
  <c r="K150" i="12"/>
  <c r="AO150" i="12" s="1"/>
  <c r="AW150" i="12" s="1"/>
  <c r="J150" i="12"/>
  <c r="AF150" i="12" s="1"/>
  <c r="AU150" i="12" s="1"/>
  <c r="AY149" i="12"/>
  <c r="AX149" i="12"/>
  <c r="AA149" i="12"/>
  <c r="Z149" i="12"/>
  <c r="W149" i="12"/>
  <c r="X149" i="12" s="1"/>
  <c r="Y149" i="12" s="1"/>
  <c r="P149" i="12"/>
  <c r="O149" i="12"/>
  <c r="K149" i="12"/>
  <c r="AO149" i="12" s="1"/>
  <c r="J149" i="12"/>
  <c r="AF149" i="12" s="1"/>
  <c r="AU149" i="12" s="1"/>
  <c r="AY148" i="12"/>
  <c r="AX148" i="12"/>
  <c r="AA148" i="12"/>
  <c r="Z148" i="12"/>
  <c r="W148" i="12"/>
  <c r="X148" i="12" s="1"/>
  <c r="Y148" i="12" s="1"/>
  <c r="P148" i="12"/>
  <c r="O148" i="12"/>
  <c r="K148" i="12"/>
  <c r="AO148" i="12" s="1"/>
  <c r="J148" i="12"/>
  <c r="AF148" i="12" s="1"/>
  <c r="AY147" i="12"/>
  <c r="AX147" i="12"/>
  <c r="AA147" i="12"/>
  <c r="Z147" i="12"/>
  <c r="W147" i="12"/>
  <c r="X147" i="12" s="1"/>
  <c r="Y147" i="12" s="1"/>
  <c r="P147" i="12"/>
  <c r="O147" i="12"/>
  <c r="K147" i="12"/>
  <c r="AO147" i="12" s="1"/>
  <c r="AW147" i="12" s="1"/>
  <c r="J147" i="12"/>
  <c r="AF147" i="12" s="1"/>
  <c r="AU147" i="12" s="1"/>
  <c r="AY146" i="12"/>
  <c r="AX146" i="12"/>
  <c r="AA146" i="12"/>
  <c r="Z146" i="12"/>
  <c r="W146" i="12"/>
  <c r="X146" i="12" s="1"/>
  <c r="Y146" i="12" s="1"/>
  <c r="P146" i="12"/>
  <c r="O146" i="12"/>
  <c r="K146" i="12"/>
  <c r="AO146" i="12" s="1"/>
  <c r="J146" i="12"/>
  <c r="AF146" i="12" s="1"/>
  <c r="AY145" i="12"/>
  <c r="AX145" i="12"/>
  <c r="AA145" i="12"/>
  <c r="Z145" i="12"/>
  <c r="W145" i="12"/>
  <c r="X145" i="12" s="1"/>
  <c r="Y145" i="12" s="1"/>
  <c r="P145" i="12"/>
  <c r="O145" i="12"/>
  <c r="K145" i="12"/>
  <c r="AO145" i="12" s="1"/>
  <c r="J145" i="12"/>
  <c r="AF145" i="12" s="1"/>
  <c r="AU145" i="12" s="1"/>
  <c r="AY144" i="12"/>
  <c r="AX144" i="12"/>
  <c r="AA144" i="12"/>
  <c r="Z144" i="12"/>
  <c r="W144" i="12"/>
  <c r="X144" i="12" s="1"/>
  <c r="Y144" i="12" s="1"/>
  <c r="P144" i="12"/>
  <c r="O144" i="12"/>
  <c r="K144" i="12"/>
  <c r="AO144" i="12" s="1"/>
  <c r="AW144" i="12" s="1"/>
  <c r="J144" i="12"/>
  <c r="AF144" i="12" s="1"/>
  <c r="AU144" i="12" s="1"/>
  <c r="AY143" i="12"/>
  <c r="AX143" i="12"/>
  <c r="AA143" i="12"/>
  <c r="Z143" i="12"/>
  <c r="W143" i="12"/>
  <c r="X143" i="12" s="1"/>
  <c r="Y143" i="12" s="1"/>
  <c r="P143" i="12"/>
  <c r="O143" i="12"/>
  <c r="K143" i="12"/>
  <c r="AO143" i="12" s="1"/>
  <c r="J143" i="12"/>
  <c r="AF143" i="12" s="1"/>
  <c r="AU143" i="12" s="1"/>
  <c r="AY142" i="12"/>
  <c r="AX142" i="12"/>
  <c r="AA142" i="12"/>
  <c r="Z142" i="12"/>
  <c r="X142" i="12"/>
  <c r="Y142" i="12" s="1"/>
  <c r="W142" i="12"/>
  <c r="P142" i="12"/>
  <c r="O142" i="12"/>
  <c r="K142" i="12"/>
  <c r="AO142" i="12" s="1"/>
  <c r="AW142" i="12" s="1"/>
  <c r="J142" i="12"/>
  <c r="AF142" i="12" s="1"/>
  <c r="AU142" i="12" s="1"/>
  <c r="AY141" i="12"/>
  <c r="AX141" i="12"/>
  <c r="AA141" i="12"/>
  <c r="Z141" i="12"/>
  <c r="W141" i="12"/>
  <c r="X141" i="12" s="1"/>
  <c r="Y141" i="12" s="1"/>
  <c r="P141" i="12"/>
  <c r="O141" i="12"/>
  <c r="K141" i="12"/>
  <c r="AO141" i="12" s="1"/>
  <c r="AW141" i="12" s="1"/>
  <c r="J141" i="12"/>
  <c r="AF141" i="12" s="1"/>
  <c r="AU141" i="12" s="1"/>
  <c r="AY140" i="12"/>
  <c r="AX140" i="12"/>
  <c r="AA140" i="12"/>
  <c r="Z140" i="12"/>
  <c r="W140" i="12"/>
  <c r="X140" i="12" s="1"/>
  <c r="Y140" i="12" s="1"/>
  <c r="P140" i="12"/>
  <c r="O140" i="12"/>
  <c r="K140" i="12"/>
  <c r="AO140" i="12" s="1"/>
  <c r="J140" i="12"/>
  <c r="AF140" i="12" s="1"/>
  <c r="AY139" i="12"/>
  <c r="AX139" i="12"/>
  <c r="AA139" i="12"/>
  <c r="Z139" i="12"/>
  <c r="W139" i="12"/>
  <c r="X139" i="12" s="1"/>
  <c r="Y139" i="12" s="1"/>
  <c r="P139" i="12"/>
  <c r="O139" i="12"/>
  <c r="K139" i="12"/>
  <c r="AO139" i="12" s="1"/>
  <c r="AW139" i="12" s="1"/>
  <c r="J139" i="12"/>
  <c r="AF139" i="12" s="1"/>
  <c r="AU139" i="12" s="1"/>
  <c r="AY138" i="12"/>
  <c r="AX138" i="12"/>
  <c r="AW138" i="12"/>
  <c r="AA138" i="12"/>
  <c r="Z138" i="12"/>
  <c r="W138" i="12"/>
  <c r="X138" i="12" s="1"/>
  <c r="Y138" i="12" s="1"/>
  <c r="P138" i="12"/>
  <c r="O138" i="12"/>
  <c r="K138" i="12"/>
  <c r="AO138" i="12" s="1"/>
  <c r="J138" i="12"/>
  <c r="AF138" i="12" s="1"/>
  <c r="AU138" i="12" s="1"/>
  <c r="AY137" i="12"/>
  <c r="AX137" i="12"/>
  <c r="AA137" i="12"/>
  <c r="Z137" i="12"/>
  <c r="W137" i="12"/>
  <c r="X137" i="12" s="1"/>
  <c r="Y137" i="12" s="1"/>
  <c r="P137" i="12"/>
  <c r="O137" i="12"/>
  <c r="K137" i="12"/>
  <c r="AO137" i="12" s="1"/>
  <c r="AW137" i="12" s="1"/>
  <c r="J137" i="12"/>
  <c r="AF137" i="12" s="1"/>
  <c r="AY136" i="12"/>
  <c r="AX136" i="12"/>
  <c r="AF136" i="12"/>
  <c r="AU136" i="12" s="1"/>
  <c r="AA136" i="12"/>
  <c r="Z136" i="12"/>
  <c r="W136" i="12"/>
  <c r="X136" i="12" s="1"/>
  <c r="Y136" i="12" s="1"/>
  <c r="P136" i="12"/>
  <c r="O136" i="12"/>
  <c r="K136" i="12"/>
  <c r="AO136" i="12" s="1"/>
  <c r="J136" i="12"/>
  <c r="AY135" i="12"/>
  <c r="AX135" i="12"/>
  <c r="AA135" i="12"/>
  <c r="Z135" i="12"/>
  <c r="W135" i="12"/>
  <c r="X135" i="12" s="1"/>
  <c r="Y135" i="12" s="1"/>
  <c r="P135" i="12"/>
  <c r="O135" i="12"/>
  <c r="K135" i="12"/>
  <c r="AO135" i="12" s="1"/>
  <c r="AW135" i="12" s="1"/>
  <c r="J135" i="12"/>
  <c r="AF135" i="12" s="1"/>
  <c r="AU135" i="12" s="1"/>
  <c r="AY134" i="12"/>
  <c r="AX134" i="12"/>
  <c r="AA134" i="12"/>
  <c r="Z134" i="12"/>
  <c r="W134" i="12"/>
  <c r="X134" i="12" s="1"/>
  <c r="Y134" i="12" s="1"/>
  <c r="P134" i="12"/>
  <c r="O134" i="12"/>
  <c r="K134" i="12"/>
  <c r="AO134" i="12" s="1"/>
  <c r="J134" i="12"/>
  <c r="AF134" i="12" s="1"/>
  <c r="AY133" i="12"/>
  <c r="AX133" i="12"/>
  <c r="AA133" i="12"/>
  <c r="Z133" i="12"/>
  <c r="W133" i="12"/>
  <c r="X133" i="12" s="1"/>
  <c r="Y133" i="12" s="1"/>
  <c r="P133" i="12"/>
  <c r="O133" i="12"/>
  <c r="K133" i="12"/>
  <c r="AO133" i="12" s="1"/>
  <c r="AW133" i="12" s="1"/>
  <c r="J133" i="12"/>
  <c r="AF133" i="12" s="1"/>
  <c r="AU133" i="12" s="1"/>
  <c r="AY132" i="12"/>
  <c r="AX132" i="12"/>
  <c r="AA132" i="12"/>
  <c r="Z132" i="12"/>
  <c r="W132" i="12"/>
  <c r="X132" i="12" s="1"/>
  <c r="Y132" i="12" s="1"/>
  <c r="P132" i="12"/>
  <c r="O132" i="12"/>
  <c r="K132" i="12"/>
  <c r="AO132" i="12" s="1"/>
  <c r="AW132" i="12" s="1"/>
  <c r="J132" i="12"/>
  <c r="AF132" i="12" s="1"/>
  <c r="AY131" i="12"/>
  <c r="AX131" i="12"/>
  <c r="AO131" i="12"/>
  <c r="AW131" i="12" s="1"/>
  <c r="AA131" i="12"/>
  <c r="Z131" i="12"/>
  <c r="W131" i="12"/>
  <c r="X131" i="12" s="1"/>
  <c r="Y131" i="12" s="1"/>
  <c r="P131" i="12"/>
  <c r="O131" i="12"/>
  <c r="K131" i="12"/>
  <c r="J131" i="12"/>
  <c r="AF131" i="12" s="1"/>
  <c r="AY130" i="12"/>
  <c r="AX130" i="12"/>
  <c r="AA130" i="12"/>
  <c r="Z130" i="12"/>
  <c r="W130" i="12"/>
  <c r="X130" i="12" s="1"/>
  <c r="Y130" i="12" s="1"/>
  <c r="P130" i="12"/>
  <c r="O130" i="12"/>
  <c r="K130" i="12"/>
  <c r="AO130" i="12" s="1"/>
  <c r="J130" i="12"/>
  <c r="AF130" i="12" s="1"/>
  <c r="AY129" i="12"/>
  <c r="AX129" i="12"/>
  <c r="AA129" i="12"/>
  <c r="Z129" i="12"/>
  <c r="W129" i="12"/>
  <c r="X129" i="12" s="1"/>
  <c r="Y129" i="12" s="1"/>
  <c r="P129" i="12"/>
  <c r="O129" i="12"/>
  <c r="K129" i="12"/>
  <c r="AO129" i="12" s="1"/>
  <c r="J129" i="12"/>
  <c r="AF129" i="12" s="1"/>
  <c r="AU129" i="12" s="1"/>
  <c r="AY128" i="12"/>
  <c r="AX128" i="12"/>
  <c r="AA128" i="12"/>
  <c r="Z128" i="12"/>
  <c r="W128" i="12"/>
  <c r="X128" i="12" s="1"/>
  <c r="Y128" i="12" s="1"/>
  <c r="P128" i="12"/>
  <c r="O128" i="12"/>
  <c r="K128" i="12"/>
  <c r="AO128" i="12" s="1"/>
  <c r="J128" i="12"/>
  <c r="AF128" i="12" s="1"/>
  <c r="AY127" i="12"/>
  <c r="AX127" i="12"/>
  <c r="AA127" i="12"/>
  <c r="Z127" i="12"/>
  <c r="W127" i="12"/>
  <c r="X127" i="12" s="1"/>
  <c r="Y127" i="12" s="1"/>
  <c r="P127" i="12"/>
  <c r="O127" i="12"/>
  <c r="K127" i="12"/>
  <c r="AO127" i="12" s="1"/>
  <c r="AW127" i="12" s="1"/>
  <c r="J127" i="12"/>
  <c r="AF127" i="12" s="1"/>
  <c r="AU127" i="12" s="1"/>
  <c r="AY125" i="12"/>
  <c r="AX125" i="12"/>
  <c r="AA125" i="12"/>
  <c r="Z125" i="12"/>
  <c r="W125" i="12"/>
  <c r="X125" i="12" s="1"/>
  <c r="Y125" i="12" s="1"/>
  <c r="P125" i="12"/>
  <c r="O125" i="12"/>
  <c r="K125" i="12"/>
  <c r="AO125" i="12" s="1"/>
  <c r="AW125" i="12" s="1"/>
  <c r="J125" i="12"/>
  <c r="AF125" i="12" s="1"/>
  <c r="AY124" i="12"/>
  <c r="AX124" i="12"/>
  <c r="AA124" i="12"/>
  <c r="Z124" i="12"/>
  <c r="W124" i="12"/>
  <c r="X124" i="12" s="1"/>
  <c r="Y124" i="12" s="1"/>
  <c r="P124" i="12"/>
  <c r="O124" i="12"/>
  <c r="K124" i="12"/>
  <c r="AO124" i="12" s="1"/>
  <c r="J124" i="12"/>
  <c r="AF124" i="12" s="1"/>
  <c r="AY122" i="12"/>
  <c r="AX122" i="12"/>
  <c r="AA122" i="12"/>
  <c r="Z122" i="12"/>
  <c r="W122" i="12"/>
  <c r="X122" i="12" s="1"/>
  <c r="Y122" i="12" s="1"/>
  <c r="P122" i="12"/>
  <c r="O122" i="12"/>
  <c r="K122" i="12"/>
  <c r="AO122" i="12" s="1"/>
  <c r="J122" i="12"/>
  <c r="AF122" i="12" s="1"/>
  <c r="AY120" i="12"/>
  <c r="AX120" i="12"/>
  <c r="AA120" i="12"/>
  <c r="Z120" i="12"/>
  <c r="W120" i="12"/>
  <c r="X120" i="12" s="1"/>
  <c r="Y120" i="12" s="1"/>
  <c r="P120" i="12"/>
  <c r="O120" i="12"/>
  <c r="K120" i="12"/>
  <c r="AO120" i="12" s="1"/>
  <c r="AW120" i="12" s="1"/>
  <c r="J120" i="12"/>
  <c r="AF120" i="12" s="1"/>
  <c r="AY119" i="12"/>
  <c r="AX119" i="12"/>
  <c r="AA119" i="12"/>
  <c r="Z119" i="12"/>
  <c r="W119" i="12"/>
  <c r="X119" i="12" s="1"/>
  <c r="Y119" i="12" s="1"/>
  <c r="P119" i="12"/>
  <c r="O119" i="12"/>
  <c r="K119" i="12"/>
  <c r="AO119" i="12" s="1"/>
  <c r="J119" i="12"/>
  <c r="AF119" i="12" s="1"/>
  <c r="AU119" i="12" s="1"/>
  <c r="AY117" i="12"/>
  <c r="AX117" i="12"/>
  <c r="AA117" i="12"/>
  <c r="Z117" i="12"/>
  <c r="W117" i="12"/>
  <c r="X117" i="12" s="1"/>
  <c r="Y117" i="12" s="1"/>
  <c r="P117" i="12"/>
  <c r="O117" i="12"/>
  <c r="K117" i="12"/>
  <c r="AO117" i="12" s="1"/>
  <c r="J117" i="12"/>
  <c r="AF117" i="12" s="1"/>
  <c r="AY116" i="12"/>
  <c r="AX116" i="12"/>
  <c r="AA116" i="12"/>
  <c r="Z116" i="12"/>
  <c r="W116" i="12"/>
  <c r="X116" i="12" s="1"/>
  <c r="Y116" i="12" s="1"/>
  <c r="P116" i="12"/>
  <c r="O116" i="12"/>
  <c r="K116" i="12"/>
  <c r="AO116" i="12" s="1"/>
  <c r="AW116" i="12" s="1"/>
  <c r="J116" i="12"/>
  <c r="AF116" i="12" s="1"/>
  <c r="AU116" i="12" s="1"/>
  <c r="AY113" i="12"/>
  <c r="AX113" i="12"/>
  <c r="AA113" i="12"/>
  <c r="Z113" i="12"/>
  <c r="W113" i="12"/>
  <c r="X113" i="12" s="1"/>
  <c r="Y113" i="12" s="1"/>
  <c r="P113" i="12"/>
  <c r="O113" i="12"/>
  <c r="K113" i="12"/>
  <c r="AO113" i="12" s="1"/>
  <c r="AW113" i="12" s="1"/>
  <c r="J113" i="12"/>
  <c r="AF113" i="12" s="1"/>
  <c r="AU113" i="12" s="1"/>
  <c r="AY110" i="12"/>
  <c r="AX110" i="12"/>
  <c r="AA110" i="12"/>
  <c r="Z110" i="12"/>
  <c r="W110" i="12"/>
  <c r="X110" i="12" s="1"/>
  <c r="Y110" i="12" s="1"/>
  <c r="P110" i="12"/>
  <c r="O110" i="12"/>
  <c r="K110" i="12"/>
  <c r="AO110" i="12" s="1"/>
  <c r="J110" i="12"/>
  <c r="AF110" i="12" s="1"/>
  <c r="AU110" i="12" s="1"/>
  <c r="AY107" i="12"/>
  <c r="AX107" i="12"/>
  <c r="AA107" i="12"/>
  <c r="Z107" i="12"/>
  <c r="W107" i="12"/>
  <c r="X107" i="12" s="1"/>
  <c r="Y107" i="12" s="1"/>
  <c r="P107" i="12"/>
  <c r="O107" i="12"/>
  <c r="K107" i="12"/>
  <c r="AO107" i="12" s="1"/>
  <c r="AW107" i="12" s="1"/>
  <c r="J107" i="12"/>
  <c r="AF107" i="12" s="1"/>
  <c r="AU107" i="12" s="1"/>
  <c r="AY104" i="12"/>
  <c r="AX104" i="12"/>
  <c r="AA104" i="12"/>
  <c r="Z104" i="12"/>
  <c r="W104" i="12"/>
  <c r="X104" i="12" s="1"/>
  <c r="Y104" i="12" s="1"/>
  <c r="P104" i="12"/>
  <c r="O104" i="12"/>
  <c r="K104" i="12"/>
  <c r="AO104" i="12" s="1"/>
  <c r="AW104" i="12" s="1"/>
  <c r="J104" i="12"/>
  <c r="AF104" i="12" s="1"/>
  <c r="BC103" i="12"/>
  <c r="AY101" i="12"/>
  <c r="AX101" i="12"/>
  <c r="AA101" i="12"/>
  <c r="Z101" i="12"/>
  <c r="W101" i="12"/>
  <c r="X101" i="12" s="1"/>
  <c r="Y101" i="12" s="1"/>
  <c r="P101" i="12"/>
  <c r="O101" i="12"/>
  <c r="K101" i="12"/>
  <c r="AO101" i="12" s="1"/>
  <c r="J101" i="12"/>
  <c r="AF101" i="12" s="1"/>
  <c r="AY98" i="12"/>
  <c r="AX98" i="12"/>
  <c r="AA98" i="12"/>
  <c r="Z98" i="12"/>
  <c r="W98" i="12"/>
  <c r="X98" i="12" s="1"/>
  <c r="Y98" i="12" s="1"/>
  <c r="P98" i="12"/>
  <c r="O98" i="12"/>
  <c r="K98" i="12"/>
  <c r="AO98" i="12" s="1"/>
  <c r="J98" i="12"/>
  <c r="AF98" i="12" s="1"/>
  <c r="AY95" i="12"/>
  <c r="AX95" i="12"/>
  <c r="AA95" i="12"/>
  <c r="Z95" i="12"/>
  <c r="W95" i="12"/>
  <c r="X95" i="12" s="1"/>
  <c r="Y95" i="12" s="1"/>
  <c r="P95" i="12"/>
  <c r="O95" i="12"/>
  <c r="K95" i="12"/>
  <c r="AO95" i="12" s="1"/>
  <c r="AW95" i="12" s="1"/>
  <c r="J95" i="12"/>
  <c r="AF95" i="12" s="1"/>
  <c r="AU95" i="12" s="1"/>
  <c r="AY92" i="12"/>
  <c r="AX92" i="12"/>
  <c r="AW92" i="12"/>
  <c r="AA92" i="12"/>
  <c r="Z92" i="12"/>
  <c r="W92" i="12"/>
  <c r="X92" i="12" s="1"/>
  <c r="Y92" i="12" s="1"/>
  <c r="P92" i="12"/>
  <c r="O92" i="12"/>
  <c r="K92" i="12"/>
  <c r="AO92" i="12" s="1"/>
  <c r="J92" i="12"/>
  <c r="AF92" i="12" s="1"/>
  <c r="AY89" i="12"/>
  <c r="AX89" i="12"/>
  <c r="AA89" i="12"/>
  <c r="Z89" i="12"/>
  <c r="W89" i="12"/>
  <c r="X89" i="12" s="1"/>
  <c r="Y89" i="12" s="1"/>
  <c r="P89" i="12"/>
  <c r="O89" i="12"/>
  <c r="K89" i="12"/>
  <c r="AO89" i="12" s="1"/>
  <c r="J89" i="12"/>
  <c r="AF89" i="12" s="1"/>
  <c r="AY88" i="12"/>
  <c r="AX88" i="12"/>
  <c r="AA88" i="12"/>
  <c r="Z88" i="12"/>
  <c r="W88" i="12"/>
  <c r="X88" i="12" s="1"/>
  <c r="Y88" i="12" s="1"/>
  <c r="P88" i="12"/>
  <c r="O88" i="12"/>
  <c r="K88" i="12"/>
  <c r="AO88" i="12" s="1"/>
  <c r="J88" i="12"/>
  <c r="AF88" i="12" s="1"/>
  <c r="AY87" i="12"/>
  <c r="AX87" i="12"/>
  <c r="AA87" i="12"/>
  <c r="Z87" i="12"/>
  <c r="W87" i="12"/>
  <c r="X87" i="12" s="1"/>
  <c r="Y87" i="12" s="1"/>
  <c r="P87" i="12"/>
  <c r="O87" i="12"/>
  <c r="K87" i="12"/>
  <c r="AO87" i="12" s="1"/>
  <c r="J87" i="12"/>
  <c r="AF87" i="12" s="1"/>
  <c r="AY86" i="12"/>
  <c r="AX86" i="12"/>
  <c r="AF86" i="12"/>
  <c r="AU86" i="12" s="1"/>
  <c r="AA86" i="12"/>
  <c r="Z86" i="12"/>
  <c r="W86" i="12"/>
  <c r="X86" i="12" s="1"/>
  <c r="Y86" i="12" s="1"/>
  <c r="P86" i="12"/>
  <c r="O86" i="12"/>
  <c r="K86" i="12"/>
  <c r="AO86" i="12" s="1"/>
  <c r="J86" i="12"/>
  <c r="AY83" i="12"/>
  <c r="AA83" i="12"/>
  <c r="Z83" i="12"/>
  <c r="W83" i="12"/>
  <c r="X83" i="12" s="1"/>
  <c r="P83" i="12"/>
  <c r="O83" i="12"/>
  <c r="M83" i="12"/>
  <c r="L83" i="12"/>
  <c r="K83" i="12"/>
  <c r="J83" i="12"/>
  <c r="AF83" i="12" s="1"/>
  <c r="AU83" i="12" s="1"/>
  <c r="AO82" i="12"/>
  <c r="AW82" i="12" s="1"/>
  <c r="AF82" i="12"/>
  <c r="P82" i="12"/>
  <c r="O82" i="12"/>
  <c r="E82" i="12"/>
  <c r="D82" i="12"/>
  <c r="C82" i="12"/>
  <c r="AA82" i="12" s="1"/>
  <c r="B82" i="12"/>
  <c r="AO81" i="12"/>
  <c r="AW81" i="12" s="1"/>
  <c r="AF81" i="12"/>
  <c r="AU81" i="12" s="1"/>
  <c r="P81" i="12"/>
  <c r="O81" i="12"/>
  <c r="AY80" i="12"/>
  <c r="AO80" i="12"/>
  <c r="AW80" i="12" s="1"/>
  <c r="AF80" i="12"/>
  <c r="AU80" i="12" s="1"/>
  <c r="AA80" i="12"/>
  <c r="Z80" i="12"/>
  <c r="W80" i="12"/>
  <c r="X80" i="12" s="1"/>
  <c r="Y80" i="12" s="1"/>
  <c r="P80" i="12"/>
  <c r="O80" i="12"/>
  <c r="AO79" i="12"/>
  <c r="AW79" i="12" s="1"/>
  <c r="AF79" i="12"/>
  <c r="AU79" i="12" s="1"/>
  <c r="P79" i="12"/>
  <c r="O79" i="12"/>
  <c r="E79" i="12"/>
  <c r="D79" i="12"/>
  <c r="C79" i="12"/>
  <c r="B79" i="12"/>
  <c r="AO78" i="12"/>
  <c r="AF78" i="12"/>
  <c r="AU78" i="12" s="1"/>
  <c r="P78" i="12"/>
  <c r="O78" i="12"/>
  <c r="AY77" i="12"/>
  <c r="AO77" i="12"/>
  <c r="AF77" i="12"/>
  <c r="AA77" i="12"/>
  <c r="Z77" i="12"/>
  <c r="W77" i="12"/>
  <c r="X77" i="12" s="1"/>
  <c r="Y77" i="12" s="1"/>
  <c r="P77" i="12"/>
  <c r="O77" i="12"/>
  <c r="AO76" i="12"/>
  <c r="AW76" i="12" s="1"/>
  <c r="AF76" i="12"/>
  <c r="P76" i="12"/>
  <c r="O76" i="12"/>
  <c r="E76" i="12"/>
  <c r="D76" i="12"/>
  <c r="C76" i="12"/>
  <c r="B76" i="12"/>
  <c r="AO75" i="12"/>
  <c r="AW75" i="12" s="1"/>
  <c r="AF75" i="12"/>
  <c r="AU75" i="12" s="1"/>
  <c r="P75" i="12"/>
  <c r="O75" i="12"/>
  <c r="AY74" i="12"/>
  <c r="AO74" i="12"/>
  <c r="AW74" i="12" s="1"/>
  <c r="AF74" i="12"/>
  <c r="AU74" i="12" s="1"/>
  <c r="AA74" i="12"/>
  <c r="Z74" i="12"/>
  <c r="W74" i="12"/>
  <c r="X74" i="12" s="1"/>
  <c r="Y74" i="12" s="1"/>
  <c r="P74" i="12"/>
  <c r="O74" i="12"/>
  <c r="AO73" i="12"/>
  <c r="AW73" i="12" s="1"/>
  <c r="AF73" i="12"/>
  <c r="AU73" i="12" s="1"/>
  <c r="P73" i="12"/>
  <c r="O73" i="12"/>
  <c r="E73" i="12"/>
  <c r="D73" i="12"/>
  <c r="C73" i="12"/>
  <c r="B73" i="12"/>
  <c r="AO72" i="12"/>
  <c r="AW72" i="12" s="1"/>
  <c r="AF72" i="12"/>
  <c r="P72" i="12"/>
  <c r="O72" i="12"/>
  <c r="AY71" i="12"/>
  <c r="AO71" i="12"/>
  <c r="AW71" i="12" s="1"/>
  <c r="AF71" i="12"/>
  <c r="AU71" i="12" s="1"/>
  <c r="AA71" i="12"/>
  <c r="AH71" i="12" s="1"/>
  <c r="Z71" i="12"/>
  <c r="W71" i="12"/>
  <c r="X71" i="12" s="1"/>
  <c r="Y71" i="12" s="1"/>
  <c r="P71" i="12"/>
  <c r="O71" i="12"/>
  <c r="AO70" i="12"/>
  <c r="AW70" i="12" s="1"/>
  <c r="AF70" i="12"/>
  <c r="AU70" i="12" s="1"/>
  <c r="P70" i="12"/>
  <c r="O70" i="12"/>
  <c r="E70" i="12"/>
  <c r="D70" i="12"/>
  <c r="C70" i="12"/>
  <c r="B70" i="12"/>
  <c r="AO69" i="12"/>
  <c r="AF69" i="12"/>
  <c r="P69" i="12"/>
  <c r="O69" i="12"/>
  <c r="AY68" i="12"/>
  <c r="AO68" i="12"/>
  <c r="AF68" i="12"/>
  <c r="AA68" i="12"/>
  <c r="Z68" i="12"/>
  <c r="W68" i="12"/>
  <c r="X68" i="12" s="1"/>
  <c r="Y68" i="12" s="1"/>
  <c r="P68" i="12"/>
  <c r="O68" i="12"/>
  <c r="AU67" i="12"/>
  <c r="AO67" i="12"/>
  <c r="AW67" i="12" s="1"/>
  <c r="AF67" i="12"/>
  <c r="P67" i="12"/>
  <c r="O67" i="12"/>
  <c r="E67" i="12"/>
  <c r="D67" i="12"/>
  <c r="C67" i="12"/>
  <c r="B67" i="12"/>
  <c r="AO66" i="12"/>
  <c r="AW66" i="12" s="1"/>
  <c r="AF66" i="12"/>
  <c r="AU66" i="12" s="1"/>
  <c r="P66" i="12"/>
  <c r="O66" i="12"/>
  <c r="AY65" i="12"/>
  <c r="AO65" i="12"/>
  <c r="AW65" i="12" s="1"/>
  <c r="AF65" i="12"/>
  <c r="AA65" i="12"/>
  <c r="Z65" i="12"/>
  <c r="W65" i="12"/>
  <c r="X65" i="12" s="1"/>
  <c r="Y65" i="12" s="1"/>
  <c r="P65" i="12"/>
  <c r="O65" i="12"/>
  <c r="AU64" i="12"/>
  <c r="AO64" i="12"/>
  <c r="AW64" i="12" s="1"/>
  <c r="AF64" i="12"/>
  <c r="P64" i="12"/>
  <c r="O64" i="12"/>
  <c r="E64" i="12"/>
  <c r="D64" i="12"/>
  <c r="C64" i="12"/>
  <c r="B64" i="12"/>
  <c r="AO63" i="12"/>
  <c r="AW63" i="12" s="1"/>
  <c r="AF63" i="12"/>
  <c r="AU63" i="12" s="1"/>
  <c r="P63" i="12"/>
  <c r="O63" i="12"/>
  <c r="AY62" i="12"/>
  <c r="AO62" i="12"/>
  <c r="AW62" i="12" s="1"/>
  <c r="AF62" i="12"/>
  <c r="AU62" i="12" s="1"/>
  <c r="AA62" i="12"/>
  <c r="Z62" i="12"/>
  <c r="W62" i="12"/>
  <c r="X62" i="12" s="1"/>
  <c r="Y62" i="12" s="1"/>
  <c r="P62" i="12"/>
  <c r="O62" i="12"/>
  <c r="AU61" i="12"/>
  <c r="AO61" i="12"/>
  <c r="AW61" i="12" s="1"/>
  <c r="AF61" i="12"/>
  <c r="P61" i="12"/>
  <c r="O61" i="12"/>
  <c r="E61" i="12"/>
  <c r="D61" i="12"/>
  <c r="C61" i="12"/>
  <c r="B61" i="12"/>
  <c r="AO60" i="12"/>
  <c r="AW60" i="12" s="1"/>
  <c r="AF60" i="12"/>
  <c r="P60" i="12"/>
  <c r="O60" i="12"/>
  <c r="AY59" i="12"/>
  <c r="AO59" i="12"/>
  <c r="AW59" i="12" s="1"/>
  <c r="AF59" i="12"/>
  <c r="AU59" i="12" s="1"/>
  <c r="AA59" i="12"/>
  <c r="Z59" i="12"/>
  <c r="W59" i="12"/>
  <c r="X59" i="12" s="1"/>
  <c r="Y59" i="12" s="1"/>
  <c r="P59" i="12"/>
  <c r="O59" i="12"/>
  <c r="AO58" i="12"/>
  <c r="AF58" i="12"/>
  <c r="P58" i="12"/>
  <c r="O58" i="12"/>
  <c r="E58" i="12"/>
  <c r="D58" i="12"/>
  <c r="C58" i="12"/>
  <c r="B58" i="12"/>
  <c r="AO57" i="12"/>
  <c r="AW57" i="12" s="1"/>
  <c r="AF57" i="12"/>
  <c r="AU57" i="12" s="1"/>
  <c r="P57" i="12"/>
  <c r="O57" i="12"/>
  <c r="AY56" i="12"/>
  <c r="AO56" i="12"/>
  <c r="AF56" i="12"/>
  <c r="AU56" i="12" s="1"/>
  <c r="AA56" i="12"/>
  <c r="Z56" i="12"/>
  <c r="W56" i="12"/>
  <c r="X56" i="12" s="1"/>
  <c r="Y56" i="12" s="1"/>
  <c r="P56" i="12"/>
  <c r="O56" i="12"/>
  <c r="AU55" i="12"/>
  <c r="AO55" i="12"/>
  <c r="AW55" i="12" s="1"/>
  <c r="AF55" i="12"/>
  <c r="P55" i="12"/>
  <c r="O55" i="12"/>
  <c r="E55" i="12"/>
  <c r="D55" i="12"/>
  <c r="C55" i="12"/>
  <c r="B55" i="12"/>
  <c r="AO54" i="12"/>
  <c r="AW54" i="12" s="1"/>
  <c r="AF54" i="12"/>
  <c r="P54" i="12"/>
  <c r="O54" i="12"/>
  <c r="AY53" i="12"/>
  <c r="AO53" i="12"/>
  <c r="AW53" i="12" s="1"/>
  <c r="AF53" i="12"/>
  <c r="AU53" i="12" s="1"/>
  <c r="AA53" i="12"/>
  <c r="Z53" i="12"/>
  <c r="W53" i="12"/>
  <c r="X53" i="12" s="1"/>
  <c r="Y53" i="12" s="1"/>
  <c r="P53" i="12"/>
  <c r="O53" i="12"/>
  <c r="AO52" i="12"/>
  <c r="AF52" i="12"/>
  <c r="P52" i="12"/>
  <c r="O52" i="12"/>
  <c r="E52" i="12"/>
  <c r="D52" i="12"/>
  <c r="C52" i="12"/>
  <c r="B52" i="12"/>
  <c r="AO51" i="12"/>
  <c r="AW51" i="12" s="1"/>
  <c r="AF51" i="12"/>
  <c r="AU51" i="12" s="1"/>
  <c r="P51" i="12"/>
  <c r="O51" i="12"/>
  <c r="AY50" i="12"/>
  <c r="AO50" i="12"/>
  <c r="AW50" i="12" s="1"/>
  <c r="AF50" i="12"/>
  <c r="AA50" i="12"/>
  <c r="Z50" i="12"/>
  <c r="W50" i="12"/>
  <c r="X50" i="12" s="1"/>
  <c r="Y50" i="12" s="1"/>
  <c r="P50" i="12"/>
  <c r="O50" i="12"/>
  <c r="AY47" i="12"/>
  <c r="AA47" i="12"/>
  <c r="Z47" i="12"/>
  <c r="W47" i="12"/>
  <c r="X47" i="12" s="1"/>
  <c r="P47" i="12"/>
  <c r="O47" i="12"/>
  <c r="M47" i="12"/>
  <c r="L47" i="12"/>
  <c r="K47" i="12"/>
  <c r="J47" i="12"/>
  <c r="AF47" i="12" s="1"/>
  <c r="AY44" i="12"/>
  <c r="AA44" i="12"/>
  <c r="Z44" i="12"/>
  <c r="W44" i="12"/>
  <c r="X44" i="12" s="1"/>
  <c r="Y44" i="12" s="1"/>
  <c r="P44" i="12"/>
  <c r="O44" i="12"/>
  <c r="K44" i="12"/>
  <c r="AO44" i="12" s="1"/>
  <c r="J44" i="12"/>
  <c r="AF44" i="12" s="1"/>
  <c r="AU44" i="12" s="1"/>
  <c r="AY42" i="12"/>
  <c r="AA42" i="12"/>
  <c r="Z42" i="12"/>
  <c r="W42" i="12"/>
  <c r="X42" i="12" s="1"/>
  <c r="Y42" i="12" s="1"/>
  <c r="P42" i="12"/>
  <c r="O42" i="12"/>
  <c r="K42" i="12"/>
  <c r="AO42" i="12" s="1"/>
  <c r="J42" i="12"/>
  <c r="AF42" i="12" s="1"/>
  <c r="AU42" i="12" s="1"/>
  <c r="AY39" i="12"/>
  <c r="AA39" i="12"/>
  <c r="Z39" i="12"/>
  <c r="W39" i="12"/>
  <c r="X39" i="12" s="1"/>
  <c r="Y39" i="12" s="1"/>
  <c r="P39" i="12"/>
  <c r="O39" i="12"/>
  <c r="K39" i="12"/>
  <c r="AO39" i="12" s="1"/>
  <c r="AW39" i="12" s="1"/>
  <c r="J39" i="12"/>
  <c r="AF39" i="12" s="1"/>
  <c r="AY36" i="12"/>
  <c r="AA36" i="12"/>
  <c r="Z36" i="12"/>
  <c r="W36" i="12"/>
  <c r="X36" i="12" s="1"/>
  <c r="Y36" i="12" s="1"/>
  <c r="P36" i="12"/>
  <c r="O36" i="12"/>
  <c r="K36" i="12"/>
  <c r="AO36" i="12" s="1"/>
  <c r="J36" i="12"/>
  <c r="AF36" i="12" s="1"/>
  <c r="AY33" i="12"/>
  <c r="AA33" i="12"/>
  <c r="Z33" i="12"/>
  <c r="W33" i="12"/>
  <c r="X33" i="12" s="1"/>
  <c r="Y33" i="12" s="1"/>
  <c r="P33" i="12"/>
  <c r="O33" i="12"/>
  <c r="K33" i="12"/>
  <c r="AO33" i="12" s="1"/>
  <c r="J33" i="12"/>
  <c r="AF33" i="12" s="1"/>
  <c r="AY30" i="12"/>
  <c r="AA30" i="12"/>
  <c r="Z30" i="12"/>
  <c r="W30" i="12"/>
  <c r="X30" i="12" s="1"/>
  <c r="P30" i="12"/>
  <c r="O30" i="12"/>
  <c r="M30" i="12"/>
  <c r="L30" i="12"/>
  <c r="K30" i="12"/>
  <c r="J30" i="12"/>
  <c r="AF30" i="12" s="1"/>
  <c r="AY27" i="12"/>
  <c r="AA27" i="12"/>
  <c r="Z27" i="12"/>
  <c r="W27" i="12"/>
  <c r="X27" i="12" s="1"/>
  <c r="P27" i="12"/>
  <c r="O27" i="12"/>
  <c r="M27" i="12"/>
  <c r="L27" i="12"/>
  <c r="K27" i="12"/>
  <c r="AO27" i="12" s="1"/>
  <c r="J27" i="12"/>
  <c r="AF27" i="12" s="1"/>
  <c r="AY24" i="12"/>
  <c r="AA24" i="12"/>
  <c r="Z24" i="12"/>
  <c r="W24" i="12"/>
  <c r="X24" i="12" s="1"/>
  <c r="P24" i="12"/>
  <c r="O24" i="12"/>
  <c r="M24" i="12"/>
  <c r="L24" i="12"/>
  <c r="K24" i="12"/>
  <c r="J24" i="12"/>
  <c r="AF24" i="12" s="1"/>
  <c r="C23" i="12"/>
  <c r="AY21" i="12"/>
  <c r="AA21" i="12"/>
  <c r="Z21" i="12"/>
  <c r="W21" i="12"/>
  <c r="X21" i="12" s="1"/>
  <c r="P21" i="12"/>
  <c r="O21" i="12"/>
  <c r="M21" i="12"/>
  <c r="L21" i="12"/>
  <c r="K21" i="12"/>
  <c r="J21" i="12"/>
  <c r="AF21" i="12" s="1"/>
  <c r="AU21" i="12" s="1"/>
  <c r="AY18" i="12"/>
  <c r="AA18" i="12"/>
  <c r="Z18" i="12"/>
  <c r="W18" i="12"/>
  <c r="X18" i="12" s="1"/>
  <c r="P18" i="12"/>
  <c r="O18" i="12"/>
  <c r="M18" i="12"/>
  <c r="L18" i="12"/>
  <c r="K18" i="12"/>
  <c r="J18" i="12"/>
  <c r="AF18" i="12" s="1"/>
  <c r="AU18" i="12" s="1"/>
  <c r="D17" i="12"/>
  <c r="C17" i="12"/>
  <c r="AY15" i="12"/>
  <c r="AO15" i="12"/>
  <c r="AW15" i="12" s="1"/>
  <c r="AA15" i="12"/>
  <c r="Z15" i="12"/>
  <c r="W15" i="12"/>
  <c r="X15" i="12" s="1"/>
  <c r="Y15" i="12" s="1"/>
  <c r="P15" i="12"/>
  <c r="O15" i="12"/>
  <c r="M15" i="12"/>
  <c r="L15" i="12"/>
  <c r="K15" i="12"/>
  <c r="J15" i="12"/>
  <c r="AF15" i="12" s="1"/>
  <c r="AY12" i="12"/>
  <c r="AA12" i="12"/>
  <c r="Z12" i="12"/>
  <c r="W12" i="12"/>
  <c r="X12" i="12" s="1"/>
  <c r="P12" i="12"/>
  <c r="O12" i="12"/>
  <c r="M12" i="12"/>
  <c r="L12" i="12"/>
  <c r="K12" i="12"/>
  <c r="J12" i="12"/>
  <c r="AF12" i="12" s="1"/>
  <c r="E11" i="12"/>
  <c r="D11" i="12"/>
  <c r="C11" i="12"/>
  <c r="AA11" i="12" s="1"/>
  <c r="AE11" i="12" s="1"/>
  <c r="AY9" i="12"/>
  <c r="AF9" i="12"/>
  <c r="AA9" i="12"/>
  <c r="Z9" i="12"/>
  <c r="W9" i="12"/>
  <c r="X9" i="12" s="1"/>
  <c r="Y9" i="12" s="1"/>
  <c r="P9" i="12"/>
  <c r="O9" i="12"/>
  <c r="K9" i="12"/>
  <c r="AO9" i="12" s="1"/>
  <c r="J9" i="12"/>
  <c r="B7" i="12"/>
  <c r="C7" i="12" s="1"/>
  <c r="D7" i="12" s="1"/>
  <c r="E7" i="12" s="1"/>
  <c r="F7" i="12" s="1"/>
  <c r="G7" i="12" s="1"/>
  <c r="H7" i="12" s="1"/>
  <c r="I7" i="12" s="1"/>
  <c r="J7" i="12" s="1"/>
  <c r="K7" i="12" s="1"/>
  <c r="L7" i="12" s="1"/>
  <c r="M7" i="12" s="1"/>
  <c r="N7" i="12" s="1"/>
  <c r="O7" i="12" s="1"/>
  <c r="P7" i="12" s="1"/>
  <c r="Q7" i="12" s="1"/>
  <c r="R7" i="12" s="1"/>
  <c r="S7" i="12" s="1"/>
  <c r="T7" i="12" s="1"/>
  <c r="U7" i="12" s="1"/>
  <c r="V7" i="12" s="1"/>
  <c r="W7" i="12" s="1"/>
  <c r="X7" i="12" s="1"/>
  <c r="Y7" i="12" s="1"/>
  <c r="Z7" i="12" s="1"/>
  <c r="AA7" i="12" s="1"/>
  <c r="AB7" i="12" s="1"/>
  <c r="AC7" i="12" s="1"/>
  <c r="AD7" i="12" s="1"/>
  <c r="AE7" i="12" s="1"/>
  <c r="AF7" i="12" s="1"/>
  <c r="AG7" i="12" s="1"/>
  <c r="AH7" i="12" s="1"/>
  <c r="AI7" i="12" s="1"/>
  <c r="AJ7" i="12" s="1"/>
  <c r="AK7" i="12" s="1"/>
  <c r="AL7" i="12" s="1"/>
  <c r="AM7" i="12" s="1"/>
  <c r="AN7" i="12" s="1"/>
  <c r="AO7" i="12" s="1"/>
  <c r="AP7" i="12" s="1"/>
  <c r="AQ7" i="12" s="1"/>
  <c r="AR7" i="12" s="1"/>
  <c r="AS7" i="12" s="1"/>
  <c r="AT7" i="12" s="1"/>
  <c r="AU7" i="12" s="1"/>
  <c r="AV7" i="12" s="1"/>
  <c r="AW7" i="12" s="1"/>
  <c r="AX7" i="12" s="1"/>
  <c r="AY7" i="12" s="1"/>
  <c r="B6" i="12"/>
  <c r="B5" i="12"/>
  <c r="B4" i="12"/>
  <c r="AB142" i="12" s="1"/>
  <c r="B3" i="12"/>
  <c r="D20" i="12" s="1"/>
  <c r="B1" i="12"/>
  <c r="B31" i="12" s="1"/>
  <c r="L107" i="50"/>
  <c r="L106" i="50"/>
  <c r="L105" i="50"/>
  <c r="L104" i="50"/>
  <c r="L103" i="50"/>
  <c r="L102" i="50"/>
  <c r="L101" i="50"/>
  <c r="L100" i="50"/>
  <c r="L99" i="50"/>
  <c r="L98" i="50"/>
  <c r="L97" i="50"/>
  <c r="L96" i="50"/>
  <c r="L95" i="50"/>
  <c r="L94" i="50"/>
  <c r="L93" i="50"/>
  <c r="L92" i="50"/>
  <c r="L91" i="50"/>
  <c r="L90" i="50"/>
  <c r="L89" i="50"/>
  <c r="L88" i="50"/>
  <c r="L87" i="50"/>
  <c r="L86" i="50"/>
  <c r="L85" i="50"/>
  <c r="L84" i="50"/>
  <c r="L83" i="50"/>
  <c r="L82" i="50"/>
  <c r="L81" i="50"/>
  <c r="L80" i="50"/>
  <c r="L79" i="50"/>
  <c r="L78" i="50"/>
  <c r="L77" i="50"/>
  <c r="L76" i="50"/>
  <c r="L75" i="50"/>
  <c r="L74" i="50"/>
  <c r="L73" i="50"/>
  <c r="L72" i="50"/>
  <c r="L71" i="50"/>
  <c r="L70" i="50"/>
  <c r="L69" i="50"/>
  <c r="L68" i="50"/>
  <c r="L67" i="50"/>
  <c r="L66" i="50"/>
  <c r="L65" i="50"/>
  <c r="L64" i="50"/>
  <c r="L63" i="50"/>
  <c r="L62" i="50"/>
  <c r="L61" i="50"/>
  <c r="L60" i="50"/>
  <c r="L59" i="50"/>
  <c r="L58" i="50"/>
  <c r="L57" i="50"/>
  <c r="L56" i="50"/>
  <c r="L55" i="50"/>
  <c r="L54" i="50"/>
  <c r="L53" i="50"/>
  <c r="L52" i="50"/>
  <c r="L51" i="50"/>
  <c r="L50" i="50"/>
  <c r="L49" i="50"/>
  <c r="L48" i="50"/>
  <c r="L47" i="50"/>
  <c r="L46" i="50"/>
  <c r="L45" i="50"/>
  <c r="L44" i="50"/>
  <c r="L43" i="50"/>
  <c r="L42" i="50"/>
  <c r="L41" i="50"/>
  <c r="L40" i="50"/>
  <c r="L39" i="50"/>
  <c r="L38" i="50"/>
  <c r="L37" i="50"/>
  <c r="L36" i="50"/>
  <c r="L35" i="50"/>
  <c r="L34" i="50"/>
  <c r="L33" i="50"/>
  <c r="L32" i="50"/>
  <c r="L31" i="50"/>
  <c r="L30" i="50"/>
  <c r="L29" i="50"/>
  <c r="L28" i="50"/>
  <c r="L27" i="50"/>
  <c r="L26" i="50"/>
  <c r="L25" i="50"/>
  <c r="L24" i="50"/>
  <c r="L23" i="50"/>
  <c r="L22" i="50"/>
  <c r="L21" i="50"/>
  <c r="L20" i="50"/>
  <c r="L19" i="50"/>
  <c r="L18" i="50"/>
  <c r="L17" i="50"/>
  <c r="L16" i="50"/>
  <c r="L15" i="50"/>
  <c r="L14" i="50"/>
  <c r="L13" i="50"/>
  <c r="L12" i="50"/>
  <c r="L11" i="50"/>
  <c r="L10" i="50"/>
  <c r="L9" i="50"/>
  <c r="L8" i="50"/>
  <c r="L7" i="50"/>
  <c r="D49" i="35"/>
  <c r="B17" i="35"/>
  <c r="B6" i="35"/>
  <c r="H183" i="17"/>
  <c r="H182" i="17"/>
  <c r="H181" i="17"/>
  <c r="H180" i="17"/>
  <c r="H179" i="17"/>
  <c r="H178" i="17"/>
  <c r="H172" i="17"/>
  <c r="C161" i="17"/>
  <c r="C155" i="17"/>
  <c r="H125" i="17"/>
  <c r="H124" i="17"/>
  <c r="H123" i="17"/>
  <c r="H122" i="17"/>
  <c r="H121" i="17"/>
  <c r="H120" i="17"/>
  <c r="H114" i="17"/>
  <c r="C111" i="17"/>
  <c r="C109" i="17"/>
  <c r="C107" i="17"/>
  <c r="B101" i="17"/>
  <c r="B96" i="17"/>
  <c r="C78" i="17"/>
  <c r="C79" i="17" s="1"/>
  <c r="C80" i="17" s="1"/>
  <c r="C81" i="17" s="1"/>
  <c r="C76" i="17"/>
  <c r="H72" i="17"/>
  <c r="H71" i="17"/>
  <c r="C60" i="17"/>
  <c r="B60" i="17"/>
  <c r="B56" i="17"/>
  <c r="H55" i="17"/>
  <c r="B52" i="17"/>
  <c r="H34" i="17"/>
  <c r="H73" i="17" s="1"/>
  <c r="D20" i="17"/>
  <c r="C142" i="17" s="1"/>
  <c r="C20" i="17"/>
  <c r="C124" i="17" s="1"/>
  <c r="C12" i="17"/>
  <c r="C11" i="17"/>
  <c r="D9" i="17"/>
  <c r="H8" i="17"/>
  <c r="H48" i="17" s="1"/>
  <c r="H91" i="17" s="1"/>
  <c r="A3" i="17"/>
  <c r="H183" i="2"/>
  <c r="H182" i="2"/>
  <c r="H181" i="2"/>
  <c r="H180" i="2"/>
  <c r="H179" i="2"/>
  <c r="H178" i="2"/>
  <c r="H125" i="2"/>
  <c r="H124" i="2"/>
  <c r="H123" i="2"/>
  <c r="H122" i="2"/>
  <c r="H121" i="2"/>
  <c r="H120" i="2"/>
  <c r="C111" i="2"/>
  <c r="C109" i="2"/>
  <c r="C76" i="2"/>
  <c r="H72" i="2"/>
  <c r="H173" i="2" s="1"/>
  <c r="H71" i="2"/>
  <c r="H172" i="2" s="1"/>
  <c r="B61" i="2"/>
  <c r="H55" i="2"/>
  <c r="H156" i="2" s="1"/>
  <c r="H34" i="2"/>
  <c r="H73" i="2" s="1"/>
  <c r="D22" i="2"/>
  <c r="C161" i="2" s="1"/>
  <c r="C22" i="2"/>
  <c r="C155" i="2" s="1"/>
  <c r="D20" i="2"/>
  <c r="C142" i="2" s="1"/>
  <c r="C20" i="2"/>
  <c r="C124" i="2" s="1"/>
  <c r="C11" i="2"/>
  <c r="C13" i="2" s="1"/>
  <c r="C77" i="2" s="1"/>
  <c r="H8" i="2"/>
  <c r="H48" i="2" s="1"/>
  <c r="H91" i="2" s="1"/>
  <c r="A3" i="2"/>
  <c r="P11" i="43"/>
  <c r="P10" i="43"/>
  <c r="P9" i="43"/>
  <c r="P8" i="43"/>
  <c r="P7" i="43"/>
  <c r="P6" i="43"/>
  <c r="P5" i="43"/>
  <c r="P4" i="43"/>
  <c r="P3" i="43"/>
  <c r="P2" i="43"/>
  <c r="AT202" i="11"/>
  <c r="AI202" i="11"/>
  <c r="AT201" i="11"/>
  <c r="AI201" i="11"/>
  <c r="AT200" i="11"/>
  <c r="AI200" i="11"/>
  <c r="AT199" i="11"/>
  <c r="AI199" i="11"/>
  <c r="AT198" i="11"/>
  <c r="AI198" i="11"/>
  <c r="AT197" i="11"/>
  <c r="AI197" i="11"/>
  <c r="AT196" i="11"/>
  <c r="AI196" i="11"/>
  <c r="AT195" i="11"/>
  <c r="AI195" i="11"/>
  <c r="AT194" i="11"/>
  <c r="AI194" i="11"/>
  <c r="AT193" i="11"/>
  <c r="AI193" i="11"/>
  <c r="AT192" i="11"/>
  <c r="AI192" i="11"/>
  <c r="AT191" i="11"/>
  <c r="AI191" i="11"/>
  <c r="AT190" i="11"/>
  <c r="AI190" i="11"/>
  <c r="AT189" i="11"/>
  <c r="AI189" i="11"/>
  <c r="AT188" i="11"/>
  <c r="AI188" i="11"/>
  <c r="AT187" i="11"/>
  <c r="AI187" i="11"/>
  <c r="AT186" i="11"/>
  <c r="AI186" i="11"/>
  <c r="AT185" i="11"/>
  <c r="AI185" i="11"/>
  <c r="AT184" i="11"/>
  <c r="AI184" i="11"/>
  <c r="AT183" i="11"/>
  <c r="AI183" i="11"/>
  <c r="AT182" i="11"/>
  <c r="AI182" i="11"/>
  <c r="AT181" i="11"/>
  <c r="AI181" i="11"/>
  <c r="AT180" i="11"/>
  <c r="AI180" i="11"/>
  <c r="AT179" i="11"/>
  <c r="AI179" i="11"/>
  <c r="AT178" i="11"/>
  <c r="AI178" i="11"/>
  <c r="AT177" i="11"/>
  <c r="AI177" i="11"/>
  <c r="AT176" i="11"/>
  <c r="AI176" i="11"/>
  <c r="AT175" i="11"/>
  <c r="AI175" i="11"/>
  <c r="AT174" i="11"/>
  <c r="AI174" i="11"/>
  <c r="AT173" i="11"/>
  <c r="AI173" i="11"/>
  <c r="AT172" i="11"/>
  <c r="AI172" i="11"/>
  <c r="AT171" i="11"/>
  <c r="AI171" i="11"/>
  <c r="AT170" i="11"/>
  <c r="AI170" i="11"/>
  <c r="AT169" i="11"/>
  <c r="AI169" i="11"/>
  <c r="AT168" i="11"/>
  <c r="AI168" i="11"/>
  <c r="AT167" i="11"/>
  <c r="AI167" i="11"/>
  <c r="AT166" i="11"/>
  <c r="AI166" i="11"/>
  <c r="AT165" i="11"/>
  <c r="AI165" i="11"/>
  <c r="AT164" i="11"/>
  <c r="AI164" i="11"/>
  <c r="AT163" i="11"/>
  <c r="AI163" i="11"/>
  <c r="AT162" i="11"/>
  <c r="AI162" i="11"/>
  <c r="AT161" i="11"/>
  <c r="AI161" i="11"/>
  <c r="AT160" i="11"/>
  <c r="AI160" i="11"/>
  <c r="AT159" i="11"/>
  <c r="AI159" i="11"/>
  <c r="AT158" i="11"/>
  <c r="AI158" i="11"/>
  <c r="AT157" i="11"/>
  <c r="AI157" i="11"/>
  <c r="AT156" i="11"/>
  <c r="AI156" i="11"/>
  <c r="AT155" i="11"/>
  <c r="AI155" i="11"/>
  <c r="AT154" i="11"/>
  <c r="AI154" i="11"/>
  <c r="AT153" i="11"/>
  <c r="AI153" i="11"/>
  <c r="AT152" i="11"/>
  <c r="AI152" i="11"/>
  <c r="AT151" i="11"/>
  <c r="AI151" i="11"/>
  <c r="AT150" i="11"/>
  <c r="AI150" i="11"/>
  <c r="AT149" i="11"/>
  <c r="AI149" i="11"/>
  <c r="AT148" i="11"/>
  <c r="AI148" i="11"/>
  <c r="AT147" i="11"/>
  <c r="AI147" i="11"/>
  <c r="AT146" i="11"/>
  <c r="AI146" i="11"/>
  <c r="AT145" i="11"/>
  <c r="AI145" i="11"/>
  <c r="AT144" i="11"/>
  <c r="AI144" i="11"/>
  <c r="AT143" i="11"/>
  <c r="AI143" i="11"/>
  <c r="AT142" i="11"/>
  <c r="AI142" i="11"/>
  <c r="AT141" i="11"/>
  <c r="AI141" i="11"/>
  <c r="AT140" i="11"/>
  <c r="AI140" i="11"/>
  <c r="AT139" i="11"/>
  <c r="AI139" i="11"/>
  <c r="AT138" i="11"/>
  <c r="AI138" i="11"/>
  <c r="AT137" i="11"/>
  <c r="AI137" i="11"/>
  <c r="AT136" i="11"/>
  <c r="AI136" i="11"/>
  <c r="AT135" i="11"/>
  <c r="AI135" i="11"/>
  <c r="AT134" i="11"/>
  <c r="AI134" i="11"/>
  <c r="AT133" i="11"/>
  <c r="AI133" i="11"/>
  <c r="AT132" i="11"/>
  <c r="AI132" i="11"/>
  <c r="AT131" i="11"/>
  <c r="AI131" i="11"/>
  <c r="AT130" i="11"/>
  <c r="AI130" i="11"/>
  <c r="AT129" i="11"/>
  <c r="AI129" i="11"/>
  <c r="AT128" i="11"/>
  <c r="AI128" i="11"/>
  <c r="AT127" i="11"/>
  <c r="AI127" i="11"/>
  <c r="AT126" i="11"/>
  <c r="AI126" i="11"/>
  <c r="AT125" i="11"/>
  <c r="AI125" i="11"/>
  <c r="AT124" i="11"/>
  <c r="AI124" i="11"/>
  <c r="AT123" i="11"/>
  <c r="AI123" i="11"/>
  <c r="AT122" i="11"/>
  <c r="AI122" i="11"/>
  <c r="AT121" i="11"/>
  <c r="AI121" i="11"/>
  <c r="AT120" i="11"/>
  <c r="AI120" i="11"/>
  <c r="AT119" i="11"/>
  <c r="AI119" i="11"/>
  <c r="AT118" i="11"/>
  <c r="AI118" i="11"/>
  <c r="AT117" i="11"/>
  <c r="AI117" i="11"/>
  <c r="AT116" i="11"/>
  <c r="AI116" i="11"/>
  <c r="AT115" i="11"/>
  <c r="AI115" i="11"/>
  <c r="AT114" i="11"/>
  <c r="AI114" i="11"/>
  <c r="AT113" i="11"/>
  <c r="AI113" i="11"/>
  <c r="AT112" i="11"/>
  <c r="AI112" i="11"/>
  <c r="AT111" i="11"/>
  <c r="AI111" i="11"/>
  <c r="AT110" i="11"/>
  <c r="AI110" i="11"/>
  <c r="AT109" i="11"/>
  <c r="AI109" i="11"/>
  <c r="AT108" i="11"/>
  <c r="AI108" i="11"/>
  <c r="AT107" i="11"/>
  <c r="AI107" i="11"/>
  <c r="AT106" i="11"/>
  <c r="AI106" i="11"/>
  <c r="AT105" i="11"/>
  <c r="AI105" i="11"/>
  <c r="AT104" i="11"/>
  <c r="AI104" i="11"/>
  <c r="AT103" i="11"/>
  <c r="AI103" i="11"/>
  <c r="AT102" i="11"/>
  <c r="AI102" i="11"/>
  <c r="AT101" i="11"/>
  <c r="AI101" i="11"/>
  <c r="AT100" i="11"/>
  <c r="AI100" i="11"/>
  <c r="AT99" i="11"/>
  <c r="AI99" i="11"/>
  <c r="AT98" i="11"/>
  <c r="AI98" i="11"/>
  <c r="AT97" i="11"/>
  <c r="AI97" i="11"/>
  <c r="AT96" i="11"/>
  <c r="AI96" i="11"/>
  <c r="AT95" i="11"/>
  <c r="AI95" i="11"/>
  <c r="AT94" i="11"/>
  <c r="AI94" i="11"/>
  <c r="AT93" i="11"/>
  <c r="AI93" i="11"/>
  <c r="AT92" i="11"/>
  <c r="AI92" i="11"/>
  <c r="AT91" i="11"/>
  <c r="AI91" i="11"/>
  <c r="AT90" i="11"/>
  <c r="AI90" i="11"/>
  <c r="AT89" i="11"/>
  <c r="AI89" i="11"/>
  <c r="AT88" i="11"/>
  <c r="AI88" i="11"/>
  <c r="AT87" i="11"/>
  <c r="AI87" i="11"/>
  <c r="AT86" i="11"/>
  <c r="AI86" i="11"/>
  <c r="AT85" i="11"/>
  <c r="AI85" i="11"/>
  <c r="AT84" i="11"/>
  <c r="AI84" i="11"/>
  <c r="AT83" i="11"/>
  <c r="AI83" i="11"/>
  <c r="AT82" i="11"/>
  <c r="AI82" i="11"/>
  <c r="AT81" i="11"/>
  <c r="AI81" i="11"/>
  <c r="AT80" i="11"/>
  <c r="AI80" i="11"/>
  <c r="AT79" i="11"/>
  <c r="AI79" i="11"/>
  <c r="D79" i="11"/>
  <c r="AT78" i="11"/>
  <c r="AI78" i="11"/>
  <c r="G78" i="11"/>
  <c r="F78" i="11"/>
  <c r="D78" i="11"/>
  <c r="B78" i="11"/>
  <c r="AT77" i="11"/>
  <c r="AI77" i="11"/>
  <c r="G77" i="11"/>
  <c r="F77" i="11"/>
  <c r="D77" i="11"/>
  <c r="B77" i="11"/>
  <c r="AT76" i="11"/>
  <c r="AI76" i="11"/>
  <c r="G76" i="11"/>
  <c r="F76" i="11"/>
  <c r="D76" i="11"/>
  <c r="B76" i="11"/>
  <c r="AT75" i="11"/>
  <c r="AI75" i="11"/>
  <c r="G75" i="11"/>
  <c r="F75" i="11"/>
  <c r="D75" i="11"/>
  <c r="B75" i="11"/>
  <c r="AT74" i="11"/>
  <c r="AI74" i="11"/>
  <c r="G74" i="11"/>
  <c r="F74" i="11"/>
  <c r="D74" i="11"/>
  <c r="B74" i="11"/>
  <c r="AT73" i="11"/>
  <c r="AI73" i="11"/>
  <c r="G73" i="11"/>
  <c r="F73" i="11"/>
  <c r="D73" i="11"/>
  <c r="B73" i="11"/>
  <c r="AT72" i="11"/>
  <c r="AI72" i="11"/>
  <c r="G72" i="11"/>
  <c r="F72" i="11"/>
  <c r="D72" i="11"/>
  <c r="B72" i="11"/>
  <c r="AT71" i="11"/>
  <c r="AI71" i="11"/>
  <c r="G71" i="11"/>
  <c r="F71" i="11"/>
  <c r="D71" i="11"/>
  <c r="B71" i="11"/>
  <c r="AT70" i="11"/>
  <c r="AI70" i="11"/>
  <c r="G70" i="11"/>
  <c r="F70" i="11"/>
  <c r="D70" i="11"/>
  <c r="B70" i="11"/>
  <c r="AT69" i="11"/>
  <c r="AI69" i="11"/>
  <c r="G69" i="11"/>
  <c r="F69" i="11"/>
  <c r="D69" i="11"/>
  <c r="B69" i="11"/>
  <c r="AT68" i="11"/>
  <c r="AI68" i="11"/>
  <c r="AT67" i="11"/>
  <c r="AI67" i="11"/>
  <c r="AT66" i="11"/>
  <c r="AI66" i="11"/>
  <c r="AT65" i="11"/>
  <c r="AI65" i="11"/>
  <c r="AT64" i="11"/>
  <c r="AI64" i="11"/>
  <c r="M64" i="11" a="1"/>
  <c r="M64" i="11" s="1"/>
  <c r="L64" i="11" a="1"/>
  <c r="L64" i="11" s="1"/>
  <c r="K64" i="11" a="1"/>
  <c r="K64" i="11" s="1"/>
  <c r="J64" i="11" a="1"/>
  <c r="J64" i="11" s="1"/>
  <c r="I64" i="11" a="1"/>
  <c r="I64" i="11" s="1"/>
  <c r="H64" i="11" a="1"/>
  <c r="H64" i="11" s="1"/>
  <c r="G64" i="11" a="1"/>
  <c r="G64" i="11" s="1"/>
  <c r="C45" i="35" s="1"/>
  <c r="F64" i="11" a="1"/>
  <c r="F64" i="11" s="1"/>
  <c r="E64" i="11" a="1"/>
  <c r="E64" i="11" s="1"/>
  <c r="D64" i="11" a="1"/>
  <c r="D64" i="11" s="1"/>
  <c r="C64" i="11" a="1"/>
  <c r="C64" i="11" s="1"/>
  <c r="AT63" i="11"/>
  <c r="AI63" i="11"/>
  <c r="M63" i="11" a="1"/>
  <c r="M63" i="11" s="1"/>
  <c r="L63" i="11" a="1"/>
  <c r="L63" i="11" s="1"/>
  <c r="K63" i="11" a="1"/>
  <c r="K63" i="11" s="1"/>
  <c r="J63" i="11" a="1"/>
  <c r="J63" i="11" s="1"/>
  <c r="I63" i="11" a="1"/>
  <c r="I63" i="11" s="1"/>
  <c r="H63" i="11" a="1"/>
  <c r="H63" i="11" s="1"/>
  <c r="G63" i="11" a="1"/>
  <c r="G63" i="11" s="1"/>
  <c r="C44" i="35" s="1"/>
  <c r="F63" i="11" a="1"/>
  <c r="F63" i="11" s="1"/>
  <c r="E63" i="11" a="1"/>
  <c r="E63" i="11" s="1"/>
  <c r="D63" i="11" a="1"/>
  <c r="D63" i="11" s="1"/>
  <c r="C63" i="11" a="1"/>
  <c r="C63" i="11" s="1"/>
  <c r="AT62" i="11"/>
  <c r="AI62" i="11"/>
  <c r="M62" i="11" a="1"/>
  <c r="M62" i="11" s="1"/>
  <c r="L62" i="11" a="1"/>
  <c r="L62" i="11" s="1"/>
  <c r="K62" i="11" a="1"/>
  <c r="K62" i="11" s="1"/>
  <c r="J62" i="11" a="1"/>
  <c r="J62" i="11" s="1"/>
  <c r="I62" i="11" a="1"/>
  <c r="I62" i="11" s="1"/>
  <c r="H62" i="11" a="1"/>
  <c r="H62" i="11" s="1"/>
  <c r="G62" i="11" a="1"/>
  <c r="G62" i="11" s="1"/>
  <c r="C43" i="35" s="1"/>
  <c r="F62" i="11" a="1"/>
  <c r="F62" i="11" s="1"/>
  <c r="E62" i="11" a="1"/>
  <c r="E62" i="11" s="1"/>
  <c r="D62" i="11" a="1"/>
  <c r="D62" i="11" s="1"/>
  <c r="C62" i="11" a="1"/>
  <c r="C62" i="11" s="1"/>
  <c r="AT61" i="11"/>
  <c r="AI61" i="11"/>
  <c r="M61" i="11" a="1"/>
  <c r="M61" i="11" s="1"/>
  <c r="L61" i="11" a="1"/>
  <c r="L61" i="11" s="1"/>
  <c r="K61" i="11" a="1"/>
  <c r="K61" i="11" s="1"/>
  <c r="J61" i="11" a="1"/>
  <c r="J61" i="11" s="1"/>
  <c r="I61" i="11" a="1"/>
  <c r="I61" i="11" s="1"/>
  <c r="H61" i="11" a="1"/>
  <c r="H61" i="11" s="1"/>
  <c r="G61" i="11" a="1"/>
  <c r="G61" i="11" s="1"/>
  <c r="C42" i="35" s="1"/>
  <c r="F61" i="11" a="1"/>
  <c r="F61" i="11" s="1"/>
  <c r="E61" i="11" a="1"/>
  <c r="E61" i="11" s="1"/>
  <c r="D61" i="11" a="1"/>
  <c r="D61" i="11" s="1"/>
  <c r="C61" i="11" a="1"/>
  <c r="C61" i="11" s="1"/>
  <c r="AT60" i="11"/>
  <c r="AI60" i="11"/>
  <c r="M60" i="11" a="1"/>
  <c r="M60" i="11" s="1"/>
  <c r="L60" i="11" a="1"/>
  <c r="L60" i="11" s="1"/>
  <c r="K60" i="11" a="1"/>
  <c r="K60" i="11" s="1"/>
  <c r="J60" i="11" a="1"/>
  <c r="J60" i="11" s="1"/>
  <c r="I60" i="11" a="1"/>
  <c r="I60" i="11" s="1"/>
  <c r="H60" i="11" a="1"/>
  <c r="H60" i="11" s="1"/>
  <c r="G60" i="11" a="1"/>
  <c r="G60" i="11" s="1"/>
  <c r="C41" i="35" s="1"/>
  <c r="F60" i="11" a="1"/>
  <c r="F60" i="11" s="1"/>
  <c r="E60" i="11" a="1"/>
  <c r="E60" i="11" s="1"/>
  <c r="D60" i="11" a="1"/>
  <c r="D60" i="11" s="1"/>
  <c r="C60" i="11" a="1"/>
  <c r="C60" i="11" s="1"/>
  <c r="AT59" i="11"/>
  <c r="AI59" i="11"/>
  <c r="M59" i="11" a="1"/>
  <c r="M59" i="11" s="1"/>
  <c r="L59" i="11" a="1"/>
  <c r="L59" i="11" s="1"/>
  <c r="K59" i="11" a="1"/>
  <c r="K59" i="11" s="1"/>
  <c r="J59" i="11" a="1"/>
  <c r="J59" i="11" s="1"/>
  <c r="I59" i="11" a="1"/>
  <c r="I59" i="11" s="1"/>
  <c r="H59" i="11" a="1"/>
  <c r="H59" i="11" s="1"/>
  <c r="G59" i="11" a="1"/>
  <c r="G59" i="11" s="1"/>
  <c r="C40" i="35" s="1"/>
  <c r="F59" i="11" a="1"/>
  <c r="F59" i="11" s="1"/>
  <c r="E59" i="11" a="1"/>
  <c r="E59" i="11" s="1"/>
  <c r="D59" i="11" a="1"/>
  <c r="D59" i="11" s="1"/>
  <c r="C59" i="11" a="1"/>
  <c r="C59" i="11" s="1"/>
  <c r="AT58" i="11"/>
  <c r="AI58" i="11"/>
  <c r="M58" i="11" a="1"/>
  <c r="M58" i="11" s="1"/>
  <c r="L58" i="11" a="1"/>
  <c r="L58" i="11" s="1"/>
  <c r="K58" i="11" a="1"/>
  <c r="K58" i="11" s="1"/>
  <c r="J58" i="11" a="1"/>
  <c r="J58" i="11" s="1"/>
  <c r="I58" i="11" a="1"/>
  <c r="I58" i="11" s="1"/>
  <c r="H58" i="11" a="1"/>
  <c r="H58" i="11" s="1"/>
  <c r="G58" i="11" a="1"/>
  <c r="G58" i="11" s="1"/>
  <c r="C39" i="35" s="1"/>
  <c r="F58" i="11" a="1"/>
  <c r="F58" i="11" s="1"/>
  <c r="E58" i="11" a="1"/>
  <c r="E58" i="11" s="1"/>
  <c r="D58" i="11" a="1"/>
  <c r="D58" i="11" s="1"/>
  <c r="C58" i="11" a="1"/>
  <c r="C58" i="11" s="1"/>
  <c r="AT57" i="11"/>
  <c r="AI57" i="11"/>
  <c r="M57" i="11" a="1"/>
  <c r="M57" i="11" s="1"/>
  <c r="L57" i="11" a="1"/>
  <c r="L57" i="11" s="1"/>
  <c r="K57" i="11" a="1"/>
  <c r="K57" i="11" s="1"/>
  <c r="J57" i="11" a="1"/>
  <c r="J57" i="11" s="1"/>
  <c r="I57" i="11" a="1"/>
  <c r="I57" i="11" s="1"/>
  <c r="H57" i="11" a="1"/>
  <c r="H57" i="11" s="1"/>
  <c r="G57" i="11" a="1"/>
  <c r="G57" i="11" s="1"/>
  <c r="C38" i="35" s="1"/>
  <c r="F57" i="11" a="1"/>
  <c r="F57" i="11" s="1"/>
  <c r="E57" i="11" a="1"/>
  <c r="E57" i="11" s="1"/>
  <c r="D57" i="11" a="1"/>
  <c r="D57" i="11" s="1"/>
  <c r="C57" i="11" a="1"/>
  <c r="C57" i="11" s="1"/>
  <c r="AT56" i="11"/>
  <c r="AI56" i="11"/>
  <c r="M56" i="11" a="1"/>
  <c r="M56" i="11" s="1"/>
  <c r="L56" i="11" a="1"/>
  <c r="L56" i="11" s="1"/>
  <c r="K56" i="11" a="1"/>
  <c r="K56" i="11" s="1"/>
  <c r="J56" i="11" a="1"/>
  <c r="J56" i="11" s="1"/>
  <c r="I56" i="11" a="1"/>
  <c r="I56" i="11" s="1"/>
  <c r="H56" i="11" a="1"/>
  <c r="H56" i="11" s="1"/>
  <c r="G56" i="11" a="1"/>
  <c r="G56" i="11" s="1"/>
  <c r="C37" i="35" s="1"/>
  <c r="F56" i="11" a="1"/>
  <c r="F56" i="11" s="1"/>
  <c r="E56" i="11" a="1"/>
  <c r="E56" i="11" s="1"/>
  <c r="D56" i="11" a="1"/>
  <c r="D56" i="11" s="1"/>
  <c r="C56" i="11" a="1"/>
  <c r="C56" i="11" s="1"/>
  <c r="AT55" i="11"/>
  <c r="AI55" i="11"/>
  <c r="M55" i="11" a="1"/>
  <c r="M55" i="11" s="1"/>
  <c r="L55" i="11" a="1"/>
  <c r="L55" i="11" s="1"/>
  <c r="K55" i="11" a="1"/>
  <c r="K55" i="11" s="1"/>
  <c r="J55" i="11" a="1"/>
  <c r="J55" i="11" s="1"/>
  <c r="I55" i="11" a="1"/>
  <c r="I55" i="11" s="1"/>
  <c r="H55" i="11" a="1"/>
  <c r="H55" i="11" s="1"/>
  <c r="G55" i="11" a="1"/>
  <c r="G55" i="11" s="1"/>
  <c r="C36" i="35" s="1"/>
  <c r="F55" i="11" a="1"/>
  <c r="F55" i="11" s="1"/>
  <c r="E55" i="11" a="1"/>
  <c r="E55" i="11" s="1"/>
  <c r="D55" i="11" a="1"/>
  <c r="D55" i="11" s="1"/>
  <c r="C55" i="11" a="1"/>
  <c r="C55" i="11" s="1"/>
  <c r="AT54" i="11"/>
  <c r="AI54" i="11"/>
  <c r="AT53" i="11"/>
  <c r="AI53" i="11"/>
  <c r="AT52" i="11"/>
  <c r="AI52" i="11"/>
  <c r="AT51" i="11"/>
  <c r="AI51" i="11"/>
  <c r="AT50" i="11"/>
  <c r="AI50" i="11"/>
  <c r="AT49" i="11"/>
  <c r="AI49" i="11"/>
  <c r="AT48" i="11"/>
  <c r="AI48" i="11"/>
  <c r="AT47" i="11"/>
  <c r="AI47" i="11"/>
  <c r="AT46" i="11"/>
  <c r="AI46" i="11"/>
  <c r="B46" i="11"/>
  <c r="AT45" i="11"/>
  <c r="AI45" i="11"/>
  <c r="AT44" i="11"/>
  <c r="AI44" i="11"/>
  <c r="D44" i="11"/>
  <c r="Q6" i="43" s="1"/>
  <c r="AT43" i="11"/>
  <c r="AI43" i="11"/>
  <c r="AT42" i="11"/>
  <c r="AI42" i="11"/>
  <c r="AT41" i="11"/>
  <c r="AI41" i="11"/>
  <c r="J41" i="11"/>
  <c r="AT40" i="11"/>
  <c r="AI40" i="11"/>
  <c r="AT39" i="11"/>
  <c r="AI39" i="11"/>
  <c r="AT38" i="11"/>
  <c r="AI38" i="11"/>
  <c r="J38" i="11" a="1"/>
  <c r="J38" i="11" s="1"/>
  <c r="AT37" i="11"/>
  <c r="AI37" i="11"/>
  <c r="J37" i="11"/>
  <c r="AT36" i="11"/>
  <c r="AI36" i="11"/>
  <c r="AT35" i="11"/>
  <c r="AI35" i="11"/>
  <c r="AT34" i="11"/>
  <c r="AI34" i="11"/>
  <c r="J34" i="11"/>
  <c r="AT33" i="11"/>
  <c r="AI33" i="11"/>
  <c r="AT32" i="11"/>
  <c r="AI32" i="11"/>
  <c r="AT31" i="11"/>
  <c r="AI31" i="11"/>
  <c r="J31" i="11" a="1"/>
  <c r="J31" i="11" s="1"/>
  <c r="AT30" i="11"/>
  <c r="AI30" i="11"/>
  <c r="J30" i="11"/>
  <c r="AT29" i="11"/>
  <c r="AI29" i="11"/>
  <c r="AT28" i="11"/>
  <c r="AI28" i="11"/>
  <c r="AT27" i="11"/>
  <c r="AI27" i="11"/>
  <c r="AT26" i="11"/>
  <c r="AI26" i="11"/>
  <c r="AT25" i="11"/>
  <c r="AI25" i="11"/>
  <c r="AT24" i="11"/>
  <c r="AI24" i="11"/>
  <c r="AT23" i="11"/>
  <c r="AI23" i="11"/>
  <c r="AT22" i="11"/>
  <c r="AI22" i="11"/>
  <c r="F22" i="11"/>
  <c r="AT21" i="11"/>
  <c r="AI21" i="11"/>
  <c r="F21" i="11"/>
  <c r="AT20" i="11"/>
  <c r="AI20" i="11"/>
  <c r="F20" i="11"/>
  <c r="AT19" i="11"/>
  <c r="AI19" i="11"/>
  <c r="F19" i="11"/>
  <c r="K22" i="11" s="1"/>
  <c r="AT18" i="11"/>
  <c r="AI18" i="11"/>
  <c r="F18" i="11"/>
  <c r="Q21" i="11" s="1"/>
  <c r="AT17" i="11"/>
  <c r="AI17" i="11"/>
  <c r="F17" i="11"/>
  <c r="Q18" i="11" s="1"/>
  <c r="AT16" i="11"/>
  <c r="AI16" i="11"/>
  <c r="K16" i="11"/>
  <c r="F16" i="11"/>
  <c r="Q19" i="11" s="1"/>
  <c r="AT15" i="11"/>
  <c r="AI15" i="11"/>
  <c r="AT14" i="11"/>
  <c r="AI14" i="11"/>
  <c r="AT13" i="11"/>
  <c r="AI13" i="11"/>
  <c r="J13" i="11"/>
  <c r="E29" i="11" s="1"/>
  <c r="I13" i="11"/>
  <c r="F29" i="11" s="1"/>
  <c r="AT12" i="11"/>
  <c r="AI12" i="11"/>
  <c r="AT11" i="11"/>
  <c r="AI11" i="11"/>
  <c r="F11" i="11"/>
  <c r="AT10" i="11"/>
  <c r="AI10" i="11"/>
  <c r="AT9" i="11"/>
  <c r="AI9" i="11"/>
  <c r="AT8" i="11"/>
  <c r="AI8" i="11"/>
  <c r="AT7" i="11"/>
  <c r="AI7" i="11"/>
  <c r="AT6" i="11"/>
  <c r="AI6" i="11"/>
  <c r="F6" i="11"/>
  <c r="AT5" i="11"/>
  <c r="AI5" i="11"/>
  <c r="AT4" i="11"/>
  <c r="AI4" i="11"/>
  <c r="AT3" i="11"/>
  <c r="AI3" i="11"/>
  <c r="B2" i="44" a="1"/>
  <c r="B3" i="44" a="1"/>
  <c r="W73" i="12" l="1"/>
  <c r="X73" i="12" s="1"/>
  <c r="Y73" i="12" s="1"/>
  <c r="AA64" i="12"/>
  <c r="AO83" i="12"/>
  <c r="AA55" i="12"/>
  <c r="AA79" i="12"/>
  <c r="C26" i="12"/>
  <c r="C32" i="12"/>
  <c r="AA32" i="12" s="1"/>
  <c r="AE32" i="12" s="1"/>
  <c r="W76" i="12"/>
  <c r="X76" i="12" s="1"/>
  <c r="Y76" i="12" s="1"/>
  <c r="E32" i="12"/>
  <c r="AA52" i="12"/>
  <c r="Y12" i="12"/>
  <c r="AD12" i="12" s="1"/>
  <c r="AL12" i="12" s="1"/>
  <c r="B35" i="12"/>
  <c r="I35" i="12" s="1"/>
  <c r="B91" i="12"/>
  <c r="Z64" i="12"/>
  <c r="U9" i="12"/>
  <c r="AK9" i="12" s="1"/>
  <c r="W79" i="12"/>
  <c r="X79" i="12" s="1"/>
  <c r="Y79" i="12" s="1"/>
  <c r="AX97" i="12"/>
  <c r="D11" i="2"/>
  <c r="C61" i="2" s="1"/>
  <c r="AB18" i="12"/>
  <c r="AG18" i="12" s="1"/>
  <c r="W82" i="12"/>
  <c r="X82" i="12" s="1"/>
  <c r="Y82" i="12" s="1"/>
  <c r="V82" i="12" s="1"/>
  <c r="H114" i="2"/>
  <c r="AX100" i="12"/>
  <c r="E23" i="12"/>
  <c r="B103" i="12"/>
  <c r="B29" i="12"/>
  <c r="AO47" i="12"/>
  <c r="AW47" i="12" s="1"/>
  <c r="C35" i="12"/>
  <c r="AA35" i="12" s="1"/>
  <c r="AE35" i="12" s="1"/>
  <c r="Z67" i="12"/>
  <c r="Y18" i="12"/>
  <c r="V18" i="12" s="1"/>
  <c r="E29" i="12"/>
  <c r="C41" i="12"/>
  <c r="E41" i="12"/>
  <c r="AA41" i="12" s="1"/>
  <c r="D35" i="12"/>
  <c r="Y47" i="12"/>
  <c r="AD47" i="12" s="1"/>
  <c r="AL47" i="12" s="1"/>
  <c r="AA67" i="12"/>
  <c r="AE67" i="12" s="1"/>
  <c r="AQ67" i="12" s="1"/>
  <c r="V9" i="12"/>
  <c r="AC18" i="12"/>
  <c r="AC51" i="12"/>
  <c r="AC74" i="12"/>
  <c r="AB79" i="12"/>
  <c r="AC31" i="12"/>
  <c r="AE79" i="12"/>
  <c r="AQ79" i="12" s="1"/>
  <c r="C91" i="12"/>
  <c r="AC142" i="12"/>
  <c r="AG142" i="12" s="1"/>
  <c r="AC15" i="12"/>
  <c r="AC91" i="12"/>
  <c r="V146" i="12"/>
  <c r="H98" i="2"/>
  <c r="AO12" i="12"/>
  <c r="AW12" i="12" s="1"/>
  <c r="B20" i="12"/>
  <c r="AE27" i="12"/>
  <c r="AQ27" i="12" s="1"/>
  <c r="D32" i="12"/>
  <c r="AC56" i="12"/>
  <c r="E97" i="12"/>
  <c r="B99" i="2"/>
  <c r="B100" i="2"/>
  <c r="AE9" i="12"/>
  <c r="AQ9" i="12" s="1"/>
  <c r="AC32" i="12"/>
  <c r="AC152" i="12"/>
  <c r="AB16" i="12"/>
  <c r="AB24" i="12"/>
  <c r="AH27" i="12"/>
  <c r="Z82" i="12"/>
  <c r="V129" i="12"/>
  <c r="AH9" i="12"/>
  <c r="AB62" i="12"/>
  <c r="AR62" i="12" s="1"/>
  <c r="AS62" i="12" s="1"/>
  <c r="AV62" i="12" s="1"/>
  <c r="AB70" i="12"/>
  <c r="AE234" i="12"/>
  <c r="AQ234" i="12" s="1"/>
  <c r="AC47" i="12"/>
  <c r="AC70" i="12"/>
  <c r="U215" i="12"/>
  <c r="AB238" i="12"/>
  <c r="AR238" i="12" s="1"/>
  <c r="AS238" i="12" s="1"/>
  <c r="AV238" i="12" s="1"/>
  <c r="E17" i="12"/>
  <c r="AA17" i="12" s="1"/>
  <c r="B26" i="12"/>
  <c r="AY26" i="12" s="1"/>
  <c r="C38" i="12"/>
  <c r="AE86" i="12"/>
  <c r="AQ86" i="12" s="1"/>
  <c r="AE117" i="12"/>
  <c r="AQ117" i="12" s="1"/>
  <c r="AB10" i="12"/>
  <c r="AC17" i="12"/>
  <c r="U33" i="12"/>
  <c r="AK33" i="12" s="1"/>
  <c r="U68" i="12"/>
  <c r="AY82" i="12"/>
  <c r="AH82" i="12" s="1"/>
  <c r="AB196" i="12"/>
  <c r="AR196" i="12" s="1"/>
  <c r="AS196" i="12" s="1"/>
  <c r="AV196" i="12" s="1"/>
  <c r="AC10" i="12"/>
  <c r="AB13" i="12"/>
  <c r="Y21" i="12"/>
  <c r="V21" i="12" s="1"/>
  <c r="D26" i="12"/>
  <c r="AO30" i="12"/>
  <c r="AW30" i="12" s="1"/>
  <c r="Z52" i="12"/>
  <c r="B11" i="12"/>
  <c r="H11" i="12" s="1"/>
  <c r="AC14" i="12"/>
  <c r="E26" i="12"/>
  <c r="AE80" i="12"/>
  <c r="AQ80" i="12" s="1"/>
  <c r="AB26" i="12"/>
  <c r="AC52" i="12"/>
  <c r="AB94" i="12"/>
  <c r="Q76" i="12"/>
  <c r="R76" i="12" s="1"/>
  <c r="S76" i="12" s="1"/>
  <c r="T76" i="12" s="1"/>
  <c r="AC26" i="12"/>
  <c r="AB33" i="12"/>
  <c r="AR33" i="12" s="1"/>
  <c r="AS33" i="12" s="1"/>
  <c r="AV33" i="12" s="1"/>
  <c r="AY76" i="12"/>
  <c r="AB105" i="12"/>
  <c r="AA61" i="12"/>
  <c r="AE61" i="12" s="1"/>
  <c r="AQ61" i="12" s="1"/>
  <c r="AC105" i="12"/>
  <c r="B51" i="2"/>
  <c r="D23" i="12"/>
  <c r="Y30" i="12"/>
  <c r="AD30" i="12" s="1"/>
  <c r="AL30" i="12" s="1"/>
  <c r="AE50" i="12"/>
  <c r="AQ50" i="12" s="1"/>
  <c r="AB147" i="12"/>
  <c r="AR147" i="12" s="1"/>
  <c r="AS147" i="12" s="1"/>
  <c r="AV147" i="12" s="1"/>
  <c r="Y83" i="12"/>
  <c r="AD83" i="12" s="1"/>
  <c r="AL83" i="12" s="1"/>
  <c r="V195" i="12"/>
  <c r="AC225" i="12"/>
  <c r="AC58" i="12"/>
  <c r="AB11" i="12"/>
  <c r="AC122" i="12"/>
  <c r="V197" i="12"/>
  <c r="AC11" i="12"/>
  <c r="Y24" i="12"/>
  <c r="AD24" i="12" s="1"/>
  <c r="AL24" i="12" s="1"/>
  <c r="AH30" i="12"/>
  <c r="E35" i="12"/>
  <c r="K35" i="12" s="1"/>
  <c r="B41" i="12"/>
  <c r="AB46" i="12"/>
  <c r="AX96" i="12"/>
  <c r="D102" i="12"/>
  <c r="J39" i="11"/>
  <c r="E28" i="11"/>
  <c r="H13" i="17" s="1"/>
  <c r="H53" i="17" s="1"/>
  <c r="Q10" i="43"/>
  <c r="R10" i="43" s="1"/>
  <c r="E77" i="11" s="1"/>
  <c r="C34" i="12"/>
  <c r="D34" i="12"/>
  <c r="B40" i="12"/>
  <c r="E40" i="12"/>
  <c r="E43" i="12"/>
  <c r="C45" i="12"/>
  <c r="E69" i="12"/>
  <c r="H149" i="17"/>
  <c r="Q20" i="11"/>
  <c r="Q60" i="12"/>
  <c r="R60" i="12" s="1"/>
  <c r="S60" i="12" s="1"/>
  <c r="T60" i="12" s="1"/>
  <c r="AD152" i="12"/>
  <c r="AL152" i="12" s="1"/>
  <c r="H9" i="17"/>
  <c r="H49" i="17" s="1"/>
  <c r="H92" i="17" s="1"/>
  <c r="E26" i="11"/>
  <c r="B8" i="35" s="1"/>
  <c r="E34" i="12"/>
  <c r="F27" i="11"/>
  <c r="C28" i="12"/>
  <c r="B25" i="12"/>
  <c r="E13" i="12"/>
  <c r="C54" i="12"/>
  <c r="B84" i="12"/>
  <c r="D90" i="12"/>
  <c r="Q5" i="43"/>
  <c r="R5" i="43" s="1"/>
  <c r="E72" i="11" s="1"/>
  <c r="Q11" i="43"/>
  <c r="R11" i="43" s="1"/>
  <c r="E78" i="11" s="1"/>
  <c r="C9" i="2"/>
  <c r="D9" i="2" s="1"/>
  <c r="C60" i="2" s="1"/>
  <c r="Q2" i="43"/>
  <c r="R2" i="43" s="1"/>
  <c r="E69" i="11" s="1"/>
  <c r="J40" i="11"/>
  <c r="Q3" i="43"/>
  <c r="R3" i="43" s="1"/>
  <c r="E70" i="11" s="1"/>
  <c r="J33" i="11" a="1"/>
  <c r="J33" i="11" s="1"/>
  <c r="Q33" i="12"/>
  <c r="R33" i="12" s="1"/>
  <c r="S33" i="12" s="1"/>
  <c r="T33" i="12" s="1"/>
  <c r="Q145" i="12"/>
  <c r="R145" i="12" s="1"/>
  <c r="S145" i="12" s="1"/>
  <c r="T145" i="12" s="1"/>
  <c r="Q184" i="12"/>
  <c r="R184" i="12" s="1"/>
  <c r="S184" i="12" s="1"/>
  <c r="T184" i="12" s="1"/>
  <c r="Q42" i="12"/>
  <c r="R42" i="12" s="1"/>
  <c r="S42" i="12" s="1"/>
  <c r="T42" i="12" s="1"/>
  <c r="Q51" i="12"/>
  <c r="R51" i="12" s="1"/>
  <c r="S51" i="12" s="1"/>
  <c r="T51" i="12" s="1"/>
  <c r="Q58" i="12"/>
  <c r="R58" i="12" s="1"/>
  <c r="S58" i="12" s="1"/>
  <c r="T58" i="12" s="1"/>
  <c r="AD53" i="12"/>
  <c r="AL53" i="12" s="1"/>
  <c r="Q56" i="12"/>
  <c r="R56" i="12" s="1"/>
  <c r="S56" i="12" s="1"/>
  <c r="T56" i="12" s="1"/>
  <c r="Q66" i="12"/>
  <c r="R66" i="12" s="1"/>
  <c r="S66" i="12" s="1"/>
  <c r="T66" i="12" s="1"/>
  <c r="Q80" i="12"/>
  <c r="R80" i="12" s="1"/>
  <c r="S80" i="12" s="1"/>
  <c r="T80" i="12" s="1"/>
  <c r="Q82" i="12"/>
  <c r="R82" i="12" s="1"/>
  <c r="S82" i="12" s="1"/>
  <c r="T82" i="12" s="1"/>
  <c r="Q138" i="12"/>
  <c r="R138" i="12" s="1"/>
  <c r="S138" i="12" s="1"/>
  <c r="T138" i="12" s="1"/>
  <c r="Q9" i="12"/>
  <c r="R9" i="12" s="1"/>
  <c r="S9" i="12" s="1"/>
  <c r="T9" i="12" s="1"/>
  <c r="Q18" i="12"/>
  <c r="R18" i="12" s="1"/>
  <c r="S18" i="12" s="1"/>
  <c r="T18" i="12" s="1"/>
  <c r="Q107" i="12"/>
  <c r="R107" i="12" s="1"/>
  <c r="S107" i="12" s="1"/>
  <c r="T107" i="12" s="1"/>
  <c r="Q151" i="12"/>
  <c r="R151" i="12" s="1"/>
  <c r="S151" i="12" s="1"/>
  <c r="T151" i="12" s="1"/>
  <c r="Q194" i="12"/>
  <c r="R194" i="12" s="1"/>
  <c r="S194" i="12" s="1"/>
  <c r="T194" i="12" s="1"/>
  <c r="Q15" i="12"/>
  <c r="R15" i="12" s="1"/>
  <c r="S15" i="12" s="1"/>
  <c r="T15" i="12" s="1"/>
  <c r="Q140" i="12"/>
  <c r="R140" i="12" s="1"/>
  <c r="S140" i="12" s="1"/>
  <c r="T140" i="12" s="1"/>
  <c r="Q59" i="12"/>
  <c r="R59" i="12" s="1"/>
  <c r="S59" i="12" s="1"/>
  <c r="T59" i="12" s="1"/>
  <c r="Q62" i="12"/>
  <c r="R62" i="12" s="1"/>
  <c r="S62" i="12" s="1"/>
  <c r="T62" i="12" s="1"/>
  <c r="Q69" i="12"/>
  <c r="R69" i="12" s="1"/>
  <c r="S69" i="12" s="1"/>
  <c r="T69" i="12" s="1"/>
  <c r="Q98" i="12"/>
  <c r="R98" i="12" s="1"/>
  <c r="S98" i="12" s="1"/>
  <c r="T98" i="12" s="1"/>
  <c r="Q44" i="12"/>
  <c r="R44" i="12" s="1"/>
  <c r="S44" i="12" s="1"/>
  <c r="T44" i="12" s="1"/>
  <c r="Q50" i="12"/>
  <c r="R50" i="12" s="1"/>
  <c r="S50" i="12" s="1"/>
  <c r="T50" i="12" s="1"/>
  <c r="Q57" i="12"/>
  <c r="R57" i="12" s="1"/>
  <c r="S57" i="12" s="1"/>
  <c r="T57" i="12" s="1"/>
  <c r="Q150" i="12"/>
  <c r="R150" i="12" s="1"/>
  <c r="S150" i="12" s="1"/>
  <c r="T150" i="12" s="1"/>
  <c r="Q65" i="12"/>
  <c r="R65" i="12" s="1"/>
  <c r="S65" i="12" s="1"/>
  <c r="T65" i="12" s="1"/>
  <c r="Q81" i="12"/>
  <c r="R81" i="12" s="1"/>
  <c r="S81" i="12" s="1"/>
  <c r="T81" i="12" s="1"/>
  <c r="Q83" i="12"/>
  <c r="R83" i="12" s="1"/>
  <c r="S83" i="12" s="1"/>
  <c r="T83" i="12" s="1"/>
  <c r="AD74" i="12"/>
  <c r="AL74" i="12" s="1"/>
  <c r="Q89" i="12"/>
  <c r="R89" i="12" s="1"/>
  <c r="S89" i="12" s="1"/>
  <c r="T89" i="12" s="1"/>
  <c r="AD137" i="12"/>
  <c r="AL137" i="12" s="1"/>
  <c r="Q156" i="12"/>
  <c r="R156" i="12" s="1"/>
  <c r="S156" i="12" s="1"/>
  <c r="T156" i="12" s="1"/>
  <c r="Q21" i="12"/>
  <c r="R21" i="12" s="1"/>
  <c r="S21" i="12" s="1"/>
  <c r="T21" i="12" s="1"/>
  <c r="Q36" i="12"/>
  <c r="R36" i="12" s="1"/>
  <c r="S36" i="12" s="1"/>
  <c r="T36" i="12" s="1"/>
  <c r="Q53" i="12"/>
  <c r="R53" i="12" s="1"/>
  <c r="S53" i="12" s="1"/>
  <c r="T53" i="12" s="1"/>
  <c r="Q95" i="12"/>
  <c r="R95" i="12" s="1"/>
  <c r="S95" i="12" s="1"/>
  <c r="T95" i="12" s="1"/>
  <c r="Q143" i="12"/>
  <c r="R143" i="12" s="1"/>
  <c r="S143" i="12" s="1"/>
  <c r="T143" i="12" s="1"/>
  <c r="Q68" i="12"/>
  <c r="R68" i="12" s="1"/>
  <c r="S68" i="12" s="1"/>
  <c r="T68" i="12" s="1"/>
  <c r="Q78" i="12"/>
  <c r="R78" i="12" s="1"/>
  <c r="S78" i="12" s="1"/>
  <c r="T78" i="12" s="1"/>
  <c r="Q86" i="12"/>
  <c r="R86" i="12" s="1"/>
  <c r="S86" i="12" s="1"/>
  <c r="T86" i="12" s="1"/>
  <c r="Q73" i="12"/>
  <c r="R73" i="12" s="1"/>
  <c r="S73" i="12" s="1"/>
  <c r="T73" i="12" s="1"/>
  <c r="Q39" i="12"/>
  <c r="R39" i="12" s="1"/>
  <c r="S39" i="12" s="1"/>
  <c r="T39" i="12" s="1"/>
  <c r="Q64" i="12"/>
  <c r="R64" i="12" s="1"/>
  <c r="S64" i="12" s="1"/>
  <c r="T64" i="12" s="1"/>
  <c r="AD80" i="12"/>
  <c r="AL80" i="12" s="1"/>
  <c r="Q113" i="12"/>
  <c r="R113" i="12" s="1"/>
  <c r="S113" i="12" s="1"/>
  <c r="T113" i="12" s="1"/>
  <c r="Q163" i="12"/>
  <c r="R163" i="12" s="1"/>
  <c r="S163" i="12" s="1"/>
  <c r="T163" i="12" s="1"/>
  <c r="Q177" i="12"/>
  <c r="R177" i="12" s="1"/>
  <c r="S177" i="12" s="1"/>
  <c r="T177" i="12" s="1"/>
  <c r="Q27" i="12"/>
  <c r="R27" i="12" s="1"/>
  <c r="S27" i="12" s="1"/>
  <c r="T27" i="12" s="1"/>
  <c r="Q144" i="12"/>
  <c r="R144" i="12" s="1"/>
  <c r="S144" i="12" s="1"/>
  <c r="T144" i="12" s="1"/>
  <c r="AD92" i="12"/>
  <c r="AL92" i="12" s="1"/>
  <c r="Q171" i="12"/>
  <c r="R171" i="12" s="1"/>
  <c r="S171" i="12" s="1"/>
  <c r="T171" i="12" s="1"/>
  <c r="Q12" i="12"/>
  <c r="R12" i="12" s="1"/>
  <c r="S12" i="12" s="1"/>
  <c r="T12" i="12" s="1"/>
  <c r="Q120" i="12"/>
  <c r="R120" i="12" s="1"/>
  <c r="S120" i="12" s="1"/>
  <c r="T120" i="12" s="1"/>
  <c r="Q146" i="12"/>
  <c r="R146" i="12" s="1"/>
  <c r="S146" i="12" s="1"/>
  <c r="T146" i="12" s="1"/>
  <c r="C10" i="12"/>
  <c r="C48" i="12"/>
  <c r="E78" i="12"/>
  <c r="D48" i="12"/>
  <c r="F26" i="11"/>
  <c r="D57" i="12"/>
  <c r="B13" i="12"/>
  <c r="D96" i="12"/>
  <c r="C63" i="12"/>
  <c r="D63" i="12"/>
  <c r="B115" i="17"/>
  <c r="F28" i="11"/>
  <c r="D60" i="12"/>
  <c r="B22" i="12"/>
  <c r="C93" i="12"/>
  <c r="B34" i="12"/>
  <c r="E63" i="12"/>
  <c r="H149" i="2"/>
  <c r="T19" i="11"/>
  <c r="T20" i="11" s="1"/>
  <c r="B2" i="44"/>
  <c r="B3" i="44"/>
  <c r="C26" i="2"/>
  <c r="C173" i="2" s="1"/>
  <c r="C26" i="17"/>
  <c r="C173" i="17" s="1"/>
  <c r="B61" i="17"/>
  <c r="C13" i="17"/>
  <c r="C77" i="17" s="1"/>
  <c r="D11" i="17"/>
  <c r="C61" i="17" s="1"/>
  <c r="AW42" i="12"/>
  <c r="AW69" i="12"/>
  <c r="AW242" i="12"/>
  <c r="Q30" i="12"/>
  <c r="R30" i="12" s="1"/>
  <c r="S30" i="12" s="1"/>
  <c r="T30" i="12" s="1"/>
  <c r="U30" i="12"/>
  <c r="AM30" i="12" s="1"/>
  <c r="AN30" i="12" s="1"/>
  <c r="AA23" i="12"/>
  <c r="AU27" i="12"/>
  <c r="Z11" i="12"/>
  <c r="J11" i="12"/>
  <c r="AF11" i="12" s="1"/>
  <c r="J32" i="11"/>
  <c r="B51" i="17"/>
  <c r="H174" i="17"/>
  <c r="B100" i="17"/>
  <c r="B99" i="17"/>
  <c r="B94" i="17"/>
  <c r="H116" i="17"/>
  <c r="AU98" i="12"/>
  <c r="AU58" i="12"/>
  <c r="AG154" i="12"/>
  <c r="T21" i="11"/>
  <c r="K21" i="11"/>
  <c r="H156" i="17"/>
  <c r="H98" i="17"/>
  <c r="AU164" i="12"/>
  <c r="AW153" i="12"/>
  <c r="AB181" i="12"/>
  <c r="AC238" i="12"/>
  <c r="AE18" i="12"/>
  <c r="AH36" i="12"/>
  <c r="AW58" i="12"/>
  <c r="V62" i="12"/>
  <c r="AU88" i="12"/>
  <c r="U133" i="12"/>
  <c r="AH204" i="12"/>
  <c r="AW27" i="12"/>
  <c r="AI33" i="12"/>
  <c r="AJ33" i="12" s="1"/>
  <c r="AU124" i="12"/>
  <c r="AU131" i="12"/>
  <c r="Q4" i="43"/>
  <c r="R4" i="43" s="1"/>
  <c r="E71" i="11" s="1"/>
  <c r="AB15" i="12"/>
  <c r="AP15" i="12" s="1"/>
  <c r="AC16" i="12"/>
  <c r="AH18" i="12"/>
  <c r="AC24" i="12"/>
  <c r="AC25" i="12"/>
  <c r="AB52" i="12"/>
  <c r="AC79" i="12"/>
  <c r="AH125" i="12"/>
  <c r="H14" i="17"/>
  <c r="H54" i="17" s="1"/>
  <c r="F30" i="11"/>
  <c r="H14" i="2"/>
  <c r="H54" i="2" s="1"/>
  <c r="E30" i="11"/>
  <c r="R6" i="43"/>
  <c r="E73" i="11" s="1"/>
  <c r="U374" i="12"/>
  <c r="AD242" i="12"/>
  <c r="AL242" i="12" s="1"/>
  <c r="V236" i="12"/>
  <c r="AH234" i="12"/>
  <c r="AC233" i="12"/>
  <c r="AG233" i="12" s="1"/>
  <c r="AE229" i="12"/>
  <c r="AQ229" i="12" s="1"/>
  <c r="U227" i="12"/>
  <c r="AM227" i="12" s="1"/>
  <c r="AB224" i="12"/>
  <c r="AD220" i="12"/>
  <c r="AL220" i="12" s="1"/>
  <c r="V214" i="12"/>
  <c r="AH212" i="12"/>
  <c r="AC211" i="12"/>
  <c r="AE207" i="12"/>
  <c r="AQ207" i="12" s="1"/>
  <c r="U205" i="12"/>
  <c r="AB202" i="12"/>
  <c r="AD198" i="12"/>
  <c r="AL198" i="12" s="1"/>
  <c r="V192" i="12"/>
  <c r="AH190" i="12"/>
  <c r="AC189" i="12"/>
  <c r="AE185" i="12"/>
  <c r="AQ185" i="12" s="1"/>
  <c r="U183" i="12"/>
  <c r="AD239" i="12"/>
  <c r="AL239" i="12" s="1"/>
  <c r="V233" i="12"/>
  <c r="AH231" i="12"/>
  <c r="AC230" i="12"/>
  <c r="AE226" i="12"/>
  <c r="AQ226" i="12" s="1"/>
  <c r="U224" i="12"/>
  <c r="AB221" i="12"/>
  <c r="AI221" i="12" s="1"/>
  <c r="AJ221" i="12" s="1"/>
  <c r="AD217" i="12"/>
  <c r="AL217" i="12" s="1"/>
  <c r="V211" i="12"/>
  <c r="AH209" i="12"/>
  <c r="AC208" i="12"/>
  <c r="AE204" i="12"/>
  <c r="AQ204" i="12" s="1"/>
  <c r="U202" i="12"/>
  <c r="AM202" i="12" s="1"/>
  <c r="AB199" i="12"/>
  <c r="AR199" i="12" s="1"/>
  <c r="AS199" i="12" s="1"/>
  <c r="AV199" i="12" s="1"/>
  <c r="AD195" i="12"/>
  <c r="AL195" i="12" s="1"/>
  <c r="V189" i="12"/>
  <c r="AH187" i="12"/>
  <c r="AC186" i="12"/>
  <c r="V242" i="12"/>
  <c r="AH240" i="12"/>
  <c r="AC239" i="12"/>
  <c r="AE235" i="12"/>
  <c r="AQ235" i="12" s="1"/>
  <c r="U233" i="12"/>
  <c r="AM233" i="12" s="1"/>
  <c r="AN233" i="12" s="1"/>
  <c r="AB230" i="12"/>
  <c r="AD226" i="12"/>
  <c r="AL226" i="12" s="1"/>
  <c r="V220" i="12"/>
  <c r="AH218" i="12"/>
  <c r="AC217" i="12"/>
  <c r="AE213" i="12"/>
  <c r="AQ213" i="12" s="1"/>
  <c r="U211" i="12"/>
  <c r="AM211" i="12" s="1"/>
  <c r="AN211" i="12" s="1"/>
  <c r="AB208" i="12"/>
  <c r="AD204" i="12"/>
  <c r="AL204" i="12" s="1"/>
  <c r="V198" i="12"/>
  <c r="AH196" i="12"/>
  <c r="AC195" i="12"/>
  <c r="AE191" i="12"/>
  <c r="AQ191" i="12" s="1"/>
  <c r="U189" i="12"/>
  <c r="AB186" i="12"/>
  <c r="AD182" i="12"/>
  <c r="AL182" i="12" s="1"/>
  <c r="AH374" i="12"/>
  <c r="V238" i="12"/>
  <c r="AH236" i="12"/>
  <c r="AC235" i="12"/>
  <c r="AP235" i="12" s="1"/>
  <c r="AE231" i="12"/>
  <c r="AQ231" i="12" s="1"/>
  <c r="U229" i="12"/>
  <c r="AB226" i="12"/>
  <c r="AD222" i="12"/>
  <c r="AL222" i="12" s="1"/>
  <c r="V216" i="12"/>
  <c r="AH214" i="12"/>
  <c r="AC213" i="12"/>
  <c r="AE209" i="12"/>
  <c r="AQ209" i="12" s="1"/>
  <c r="U207" i="12"/>
  <c r="AB204" i="12"/>
  <c r="AD200" i="12"/>
  <c r="AL200" i="12" s="1"/>
  <c r="V194" i="12"/>
  <c r="AH192" i="12"/>
  <c r="AC191" i="12"/>
  <c r="AE187" i="12"/>
  <c r="AQ187" i="12" s="1"/>
  <c r="U185" i="12"/>
  <c r="AM185" i="12" s="1"/>
  <c r="AN185" i="12" s="1"/>
  <c r="AE240" i="12"/>
  <c r="AQ240" i="12" s="1"/>
  <c r="U238" i="12"/>
  <c r="AB235" i="12"/>
  <c r="AR235" i="12" s="1"/>
  <c r="AS235" i="12" s="1"/>
  <c r="AV235" i="12" s="1"/>
  <c r="AD231" i="12"/>
  <c r="AL231" i="12" s="1"/>
  <c r="V225" i="12"/>
  <c r="AH223" i="12"/>
  <c r="AC222" i="12"/>
  <c r="AE218" i="12"/>
  <c r="AQ218" i="12" s="1"/>
  <c r="U216" i="12"/>
  <c r="AM216" i="12" s="1"/>
  <c r="AB213" i="12"/>
  <c r="AI213" i="12" s="1"/>
  <c r="AJ213" i="12" s="1"/>
  <c r="AD209" i="12"/>
  <c r="AL209" i="12" s="1"/>
  <c r="V203" i="12"/>
  <c r="AH201" i="12"/>
  <c r="AC200" i="12"/>
  <c r="AE196" i="12"/>
  <c r="AQ196" i="12" s="1"/>
  <c r="AD374" i="12"/>
  <c r="AH241" i="12"/>
  <c r="AC240" i="12"/>
  <c r="AE236" i="12"/>
  <c r="AQ236" i="12" s="1"/>
  <c r="U234" i="12"/>
  <c r="AM234" i="12" s="1"/>
  <c r="AN234" i="12" s="1"/>
  <c r="AB231" i="12"/>
  <c r="AD227" i="12"/>
  <c r="AL227" i="12" s="1"/>
  <c r="V221" i="12"/>
  <c r="AH219" i="12"/>
  <c r="AC218" i="12"/>
  <c r="AE214" i="12"/>
  <c r="AQ214" i="12" s="1"/>
  <c r="U212" i="12"/>
  <c r="AB209" i="12"/>
  <c r="AD205" i="12"/>
  <c r="AL205" i="12" s="1"/>
  <c r="V199" i="12"/>
  <c r="AM199" i="12" s="1"/>
  <c r="AH197" i="12"/>
  <c r="AC374" i="12"/>
  <c r="AB240" i="12"/>
  <c r="AI240" i="12" s="1"/>
  <c r="AJ240" i="12" s="1"/>
  <c r="AD236" i="12"/>
  <c r="AL236" i="12" s="1"/>
  <c r="V230" i="12"/>
  <c r="AH228" i="12"/>
  <c r="AC227" i="12"/>
  <c r="AP227" i="12" s="1"/>
  <c r="AE223" i="12"/>
  <c r="AQ223" i="12" s="1"/>
  <c r="U221" i="12"/>
  <c r="AM221" i="12" s="1"/>
  <c r="AB218" i="12"/>
  <c r="AI218" i="12" s="1"/>
  <c r="AJ218" i="12" s="1"/>
  <c r="AD214" i="12"/>
  <c r="AL214" i="12" s="1"/>
  <c r="V208" i="12"/>
  <c r="AH206" i="12"/>
  <c r="AC205" i="12"/>
  <c r="AE201" i="12"/>
  <c r="AQ201" i="12" s="1"/>
  <c r="AB374" i="12"/>
  <c r="AH242" i="12"/>
  <c r="V374" i="12"/>
  <c r="AE241" i="12"/>
  <c r="AQ241" i="12" s="1"/>
  <c r="AD230" i="12"/>
  <c r="AL230" i="12" s="1"/>
  <c r="AB227" i="12"/>
  <c r="AI227" i="12" s="1"/>
  <c r="AJ227" i="12" s="1"/>
  <c r="U225" i="12"/>
  <c r="AK225" i="12" s="1"/>
  <c r="AD224" i="12"/>
  <c r="AL224" i="12" s="1"/>
  <c r="AH221" i="12"/>
  <c r="V219" i="12"/>
  <c r="AD215" i="12"/>
  <c r="AL215" i="12" s="1"/>
  <c r="AB201" i="12"/>
  <c r="AH198" i="12"/>
  <c r="AD241" i="12"/>
  <c r="AL241" i="12" s="1"/>
  <c r="AC241" i="12"/>
  <c r="AE232" i="12"/>
  <c r="AQ232" i="12" s="1"/>
  <c r="V222" i="12"/>
  <c r="U242" i="12"/>
  <c r="AB241" i="12"/>
  <c r="AH238" i="12"/>
  <c r="U236" i="12"/>
  <c r="AD232" i="12"/>
  <c r="AL232" i="12" s="1"/>
  <c r="V239" i="12"/>
  <c r="AK239" i="12" s="1"/>
  <c r="AH235" i="12"/>
  <c r="AC232" i="12"/>
  <c r="U239" i="12"/>
  <c r="AM239" i="12" s="1"/>
  <c r="AN239" i="12" s="1"/>
  <c r="AE238" i="12"/>
  <c r="AQ238" i="12" s="1"/>
  <c r="AB232" i="12"/>
  <c r="AR232" i="12" s="1"/>
  <c r="AS232" i="12" s="1"/>
  <c r="AV232" i="12" s="1"/>
  <c r="U230" i="12"/>
  <c r="AD238" i="12"/>
  <c r="AL238" i="12" s="1"/>
  <c r="AH237" i="12"/>
  <c r="AD235" i="12"/>
  <c r="AL235" i="12" s="1"/>
  <c r="AD229" i="12"/>
  <c r="AL229" i="12" s="1"/>
  <c r="V227" i="12"/>
  <c r="AH226" i="12"/>
  <c r="AD223" i="12"/>
  <c r="AL223" i="12" s="1"/>
  <c r="U241" i="12"/>
  <c r="AM241" i="12" s="1"/>
  <c r="AN241" i="12" s="1"/>
  <c r="AD237" i="12"/>
  <c r="AL237" i="12" s="1"/>
  <c r="V232" i="12"/>
  <c r="AE228" i="12"/>
  <c r="AQ228" i="12" s="1"/>
  <c r="AD240" i="12"/>
  <c r="AL240" i="12" s="1"/>
  <c r="AB237" i="12"/>
  <c r="U235" i="12"/>
  <c r="AM235" i="12" s="1"/>
  <c r="AN235" i="12" s="1"/>
  <c r="AD234" i="12"/>
  <c r="AL234" i="12" s="1"/>
  <c r="AC228" i="12"/>
  <c r="AH225" i="12"/>
  <c r="AC234" i="12"/>
  <c r="AC231" i="12"/>
  <c r="V229" i="12"/>
  <c r="AB228" i="12"/>
  <c r="AI228" i="12" s="1"/>
  <c r="AJ228" i="12" s="1"/>
  <c r="V226" i="12"/>
  <c r="AH210" i="12"/>
  <c r="AD208" i="12"/>
  <c r="AL208" i="12" s="1"/>
  <c r="AE205" i="12"/>
  <c r="AQ205" i="12" s="1"/>
  <c r="AE202" i="12"/>
  <c r="AQ202" i="12" s="1"/>
  <c r="AB189" i="12"/>
  <c r="AG189" i="12" s="1"/>
  <c r="AD185" i="12"/>
  <c r="AL185" i="12" s="1"/>
  <c r="U184" i="12"/>
  <c r="AK184" i="12" s="1"/>
  <c r="U181" i="12"/>
  <c r="AB178" i="12"/>
  <c r="AD174" i="12"/>
  <c r="AL174" i="12" s="1"/>
  <c r="V168" i="12"/>
  <c r="AH166" i="12"/>
  <c r="AC165" i="12"/>
  <c r="AE161" i="12"/>
  <c r="AQ161" i="12" s="1"/>
  <c r="U159" i="12"/>
  <c r="AK159" i="12" s="1"/>
  <c r="AB234" i="12"/>
  <c r="AP234" i="12" s="1"/>
  <c r="U226" i="12"/>
  <c r="AE225" i="12"/>
  <c r="AQ225" i="12" s="1"/>
  <c r="V223" i="12"/>
  <c r="AE219" i="12"/>
  <c r="AQ219" i="12" s="1"/>
  <c r="AD225" i="12"/>
  <c r="AL225" i="12" s="1"/>
  <c r="U223" i="12"/>
  <c r="AD219" i="12"/>
  <c r="AL219" i="12" s="1"/>
  <c r="AH216" i="12"/>
  <c r="U214" i="12"/>
  <c r="AE210" i="12"/>
  <c r="AQ210" i="12" s="1"/>
  <c r="AC202" i="12"/>
  <c r="AH239" i="12"/>
  <c r="AE242" i="12"/>
  <c r="AQ242" i="12" s="1"/>
  <c r="V240" i="12"/>
  <c r="AC242" i="12"/>
  <c r="U240" i="12"/>
  <c r="V237" i="12"/>
  <c r="AC236" i="12"/>
  <c r="AB242" i="12"/>
  <c r="AE239" i="12"/>
  <c r="AQ239" i="12" s="1"/>
  <c r="U237" i="12"/>
  <c r="AB236" i="12"/>
  <c r="AB239" i="12"/>
  <c r="AB233" i="12"/>
  <c r="AE230" i="12"/>
  <c r="AQ230" i="12" s="1"/>
  <c r="AE227" i="12"/>
  <c r="AQ227" i="12" s="1"/>
  <c r="AE224" i="12"/>
  <c r="AQ224" i="12" s="1"/>
  <c r="AH224" i="12"/>
  <c r="U218" i="12"/>
  <c r="AM218" i="12" s="1"/>
  <c r="AN218" i="12" s="1"/>
  <c r="AB217" i="12"/>
  <c r="AE211" i="12"/>
  <c r="AQ211" i="12" s="1"/>
  <c r="U203" i="12"/>
  <c r="AK203" i="12" s="1"/>
  <c r="AD201" i="12"/>
  <c r="AL201" i="12" s="1"/>
  <c r="U191" i="12"/>
  <c r="AE190" i="12"/>
  <c r="AQ190" i="12" s="1"/>
  <c r="AC188" i="12"/>
  <c r="AE186" i="12"/>
  <c r="AQ186" i="12" s="1"/>
  <c r="AD184" i="12"/>
  <c r="AL184" i="12" s="1"/>
  <c r="AE178" i="12"/>
  <c r="AQ178" i="12" s="1"/>
  <c r="AC171" i="12"/>
  <c r="AC164" i="12"/>
  <c r="V163" i="12"/>
  <c r="V212" i="12"/>
  <c r="AD211" i="12"/>
  <c r="AL211" i="12" s="1"/>
  <c r="AC201" i="12"/>
  <c r="AE192" i="12"/>
  <c r="AQ192" i="12" s="1"/>
  <c r="AD190" i="12"/>
  <c r="AL190" i="12" s="1"/>
  <c r="AB188" i="12"/>
  <c r="AD186" i="12"/>
  <c r="AL186" i="12" s="1"/>
  <c r="AC184" i="12"/>
  <c r="AH182" i="12"/>
  <c r="AD178" i="12"/>
  <c r="AL178" i="12" s="1"/>
  <c r="AB171" i="12"/>
  <c r="V170" i="12"/>
  <c r="V234" i="12"/>
  <c r="AE216" i="12"/>
  <c r="AQ216" i="12" s="1"/>
  <c r="AE215" i="12"/>
  <c r="AQ215" i="12" s="1"/>
  <c r="AB211" i="12"/>
  <c r="AR211" i="12" s="1"/>
  <c r="AS211" i="12" s="1"/>
  <c r="AV211" i="12" s="1"/>
  <c r="V207" i="12"/>
  <c r="AE197" i="12"/>
  <c r="AQ197" i="12" s="1"/>
  <c r="V193" i="12"/>
  <c r="AD192" i="12"/>
  <c r="AL192" i="12" s="1"/>
  <c r="AC190" i="12"/>
  <c r="AB184" i="12"/>
  <c r="AC178" i="12"/>
  <c r="V177" i="12"/>
  <c r="AE175" i="12"/>
  <c r="AQ175" i="12" s="1"/>
  <c r="AH172" i="12"/>
  <c r="U170" i="12"/>
  <c r="AE168" i="12"/>
  <c r="AQ168" i="12" s="1"/>
  <c r="AH165" i="12"/>
  <c r="AC161" i="12"/>
  <c r="AP161" i="12" s="1"/>
  <c r="AB157" i="12"/>
  <c r="AD153" i="12"/>
  <c r="AL153" i="12" s="1"/>
  <c r="AD228" i="12"/>
  <c r="AL228" i="12" s="1"/>
  <c r="AH227" i="12"/>
  <c r="AC224" i="12"/>
  <c r="AD216" i="12"/>
  <c r="AL216" i="12" s="1"/>
  <c r="AC215" i="12"/>
  <c r="AD210" i="12"/>
  <c r="AL210" i="12" s="1"/>
  <c r="AH205" i="12"/>
  <c r="AD197" i="12"/>
  <c r="AL197" i="12" s="1"/>
  <c r="U193" i="12"/>
  <c r="AC192" i="12"/>
  <c r="AB190" i="12"/>
  <c r="AH179" i="12"/>
  <c r="U177" i="12"/>
  <c r="AD175" i="12"/>
  <c r="AL175" i="12" s="1"/>
  <c r="AD168" i="12"/>
  <c r="AL168" i="12" s="1"/>
  <c r="AH222" i="12"/>
  <c r="AH233" i="12"/>
  <c r="AB219" i="12"/>
  <c r="AR219" i="12" s="1"/>
  <c r="AS219" i="12" s="1"/>
  <c r="AV219" i="12" s="1"/>
  <c r="AE208" i="12"/>
  <c r="AQ208" i="12" s="1"/>
  <c r="V204" i="12"/>
  <c r="AE203" i="12"/>
  <c r="AQ203" i="12" s="1"/>
  <c r="AE199" i="12"/>
  <c r="AQ199" i="12" s="1"/>
  <c r="AC229" i="12"/>
  <c r="U206" i="12"/>
  <c r="AM206" i="12" s="1"/>
  <c r="AN206" i="12" s="1"/>
  <c r="V205" i="12"/>
  <c r="AB203" i="12"/>
  <c r="AI203" i="12" s="1"/>
  <c r="AJ203" i="12" s="1"/>
  <c r="U182" i="12"/>
  <c r="AM182" i="12" s="1"/>
  <c r="AN182" i="12" s="1"/>
  <c r="AH181" i="12"/>
  <c r="U180" i="12"/>
  <c r="AC179" i="12"/>
  <c r="AH175" i="12"/>
  <c r="AE171" i="12"/>
  <c r="AQ171" i="12" s="1"/>
  <c r="AB169" i="12"/>
  <c r="AC167" i="12"/>
  <c r="AD165" i="12"/>
  <c r="AL165" i="12" s="1"/>
  <c r="V162" i="12"/>
  <c r="AC160" i="12"/>
  <c r="V159" i="12"/>
  <c r="AH154" i="12"/>
  <c r="AB153" i="12"/>
  <c r="U152" i="12"/>
  <c r="U232" i="12"/>
  <c r="AB229" i="12"/>
  <c r="AI229" i="12" s="1"/>
  <c r="AJ229" i="12" s="1"/>
  <c r="AD202" i="12"/>
  <c r="AL202" i="12" s="1"/>
  <c r="AE194" i="12"/>
  <c r="AQ194" i="12" s="1"/>
  <c r="AH183" i="12"/>
  <c r="AB179" i="12"/>
  <c r="AE177" i="12"/>
  <c r="AQ177" i="12" s="1"/>
  <c r="AE173" i="12"/>
  <c r="AQ173" i="12" s="1"/>
  <c r="AD171" i="12"/>
  <c r="AL171" i="12" s="1"/>
  <c r="AB167" i="12"/>
  <c r="AB165" i="12"/>
  <c r="U162" i="12"/>
  <c r="AB160" i="12"/>
  <c r="AE157" i="12"/>
  <c r="AQ157" i="12" s="1"/>
  <c r="V148" i="12"/>
  <c r="AH146" i="12"/>
  <c r="AC145" i="12"/>
  <c r="AE141" i="12"/>
  <c r="AQ141" i="12" s="1"/>
  <c r="U139" i="12"/>
  <c r="AB136" i="12"/>
  <c r="AH200" i="12"/>
  <c r="AD194" i="12"/>
  <c r="AL194" i="12" s="1"/>
  <c r="AD177" i="12"/>
  <c r="AL177" i="12" s="1"/>
  <c r="AC175" i="12"/>
  <c r="AD173" i="12"/>
  <c r="AL173" i="12" s="1"/>
  <c r="AE163" i="12"/>
  <c r="AQ163" i="12" s="1"/>
  <c r="AD157" i="12"/>
  <c r="AL157" i="12" s="1"/>
  <c r="AE150" i="12"/>
  <c r="AQ150" i="12" s="1"/>
  <c r="U148" i="12"/>
  <c r="AB145" i="12"/>
  <c r="AI145" i="12" s="1"/>
  <c r="AJ145" i="12" s="1"/>
  <c r="AD141" i="12"/>
  <c r="AL141" i="12" s="1"/>
  <c r="AH220" i="12"/>
  <c r="AC221" i="12"/>
  <c r="AB216" i="12"/>
  <c r="AR216" i="12" s="1"/>
  <c r="AS216" i="12" s="1"/>
  <c r="AV216" i="12" s="1"/>
  <c r="AD212" i="12"/>
  <c r="AL212" i="12" s="1"/>
  <c r="AE217" i="12"/>
  <c r="AQ217" i="12" s="1"/>
  <c r="U213" i="12"/>
  <c r="U194" i="12"/>
  <c r="AM194" i="12" s="1"/>
  <c r="AN194" i="12" s="1"/>
  <c r="AC193" i="12"/>
  <c r="AG193" i="12" s="1"/>
  <c r="AB192" i="12"/>
  <c r="AR192" i="12" s="1"/>
  <c r="AS192" i="12" s="1"/>
  <c r="AV192" i="12" s="1"/>
  <c r="V183" i="12"/>
  <c r="AB182" i="12"/>
  <c r="AB172" i="12"/>
  <c r="AR172" i="12" s="1"/>
  <c r="AS172" i="12" s="1"/>
  <c r="AV172" i="12" s="1"/>
  <c r="AH169" i="12"/>
  <c r="AE167" i="12"/>
  <c r="AQ167" i="12" s="1"/>
  <c r="AC156" i="12"/>
  <c r="AE154" i="12"/>
  <c r="AQ154" i="12" s="1"/>
  <c r="AE149" i="12"/>
  <c r="AQ149" i="12" s="1"/>
  <c r="AC146" i="12"/>
  <c r="AP146" i="12" s="1"/>
  <c r="V145" i="12"/>
  <c r="AC143" i="12"/>
  <c r="AB140" i="12"/>
  <c r="AD134" i="12"/>
  <c r="AL134" i="12" s="1"/>
  <c r="V128" i="12"/>
  <c r="AH124" i="12"/>
  <c r="AH122" i="12"/>
  <c r="AH120" i="12"/>
  <c r="AC119" i="12"/>
  <c r="AG119" i="12" s="1"/>
  <c r="AC117" i="12"/>
  <c r="AB193" i="12"/>
  <c r="AP193" i="12" s="1"/>
  <c r="V187" i="12"/>
  <c r="AH185" i="12"/>
  <c r="V173" i="12"/>
  <c r="AD167" i="12"/>
  <c r="AL167" i="12" s="1"/>
  <c r="AB156" i="12"/>
  <c r="AD154" i="12"/>
  <c r="AL154" i="12" s="1"/>
  <c r="V153" i="12"/>
  <c r="AD149" i="12"/>
  <c r="AL149" i="12" s="1"/>
  <c r="AB146" i="12"/>
  <c r="U145" i="12"/>
  <c r="AM145" i="12" s="1"/>
  <c r="AN145" i="12" s="1"/>
  <c r="AB143" i="12"/>
  <c r="AP143" i="12" s="1"/>
  <c r="AH135" i="12"/>
  <c r="AC134" i="12"/>
  <c r="AE130" i="12"/>
  <c r="AQ130" i="12" s="1"/>
  <c r="U128" i="12"/>
  <c r="AM128" i="12" s="1"/>
  <c r="AN128" i="12" s="1"/>
  <c r="AC123" i="12"/>
  <c r="AC121" i="12"/>
  <c r="AB119" i="12"/>
  <c r="AB117" i="12"/>
  <c r="AD218" i="12"/>
  <c r="AL218" i="12" s="1"/>
  <c r="U187" i="12"/>
  <c r="V179" i="12"/>
  <c r="U173" i="12"/>
  <c r="V165" i="12"/>
  <c r="AH164" i="12"/>
  <c r="AC154" i="12"/>
  <c r="U153" i="12"/>
  <c r="AM153" i="12" s="1"/>
  <c r="AH152" i="12"/>
  <c r="V151" i="12"/>
  <c r="AM151" i="12" s="1"/>
  <c r="AC149" i="12"/>
  <c r="AE138" i="12"/>
  <c r="AQ138" i="12" s="1"/>
  <c r="AB134" i="12"/>
  <c r="AD130" i="12"/>
  <c r="AL130" i="12" s="1"/>
  <c r="AB123" i="12"/>
  <c r="AB121" i="12"/>
  <c r="V116" i="12"/>
  <c r="AM116" i="12" s="1"/>
  <c r="V231" i="12"/>
  <c r="V228" i="12"/>
  <c r="AE220" i="12"/>
  <c r="AQ220" i="12" s="1"/>
  <c r="AC219" i="12"/>
  <c r="AH191" i="12"/>
  <c r="U179" i="12"/>
  <c r="AM179" i="12" s="1"/>
  <c r="AN179" i="12" s="1"/>
  <c r="V176" i="12"/>
  <c r="AE169" i="12"/>
  <c r="AQ169" i="12" s="1"/>
  <c r="U165" i="12"/>
  <c r="V158" i="12"/>
  <c r="AB154" i="12"/>
  <c r="U151" i="12"/>
  <c r="AB149" i="12"/>
  <c r="AH147" i="12"/>
  <c r="AH144" i="12"/>
  <c r="AH141" i="12"/>
  <c r="AD138" i="12"/>
  <c r="AL138" i="12" s="1"/>
  <c r="V133" i="12"/>
  <c r="AH131" i="12"/>
  <c r="AC130" i="12"/>
  <c r="AP130" i="12" s="1"/>
  <c r="AB225" i="12"/>
  <c r="AI225" i="12" s="1"/>
  <c r="AJ225" i="12" s="1"/>
  <c r="V224" i="12"/>
  <c r="U217" i="12"/>
  <c r="AE198" i="12"/>
  <c r="AQ198" i="12" s="1"/>
  <c r="AB197" i="12"/>
  <c r="AC196" i="12"/>
  <c r="U192" i="12"/>
  <c r="AB191" i="12"/>
  <c r="AH189" i="12"/>
  <c r="V186" i="12"/>
  <c r="V182" i="12"/>
  <c r="AC181" i="12"/>
  <c r="V172" i="12"/>
  <c r="U220" i="12"/>
  <c r="AM220" i="12" s="1"/>
  <c r="AN220" i="12" s="1"/>
  <c r="AH208" i="12"/>
  <c r="AE206" i="12"/>
  <c r="AQ206" i="12" s="1"/>
  <c r="AB205" i="12"/>
  <c r="U197" i="12"/>
  <c r="AM197" i="12" s="1"/>
  <c r="AN197" i="12" s="1"/>
  <c r="AH195" i="12"/>
  <c r="V190" i="12"/>
  <c r="V185" i="12"/>
  <c r="V181" i="12"/>
  <c r="AD180" i="12"/>
  <c r="AL180" i="12" s="1"/>
  <c r="AC177" i="12"/>
  <c r="AP177" i="12" s="1"/>
  <c r="U175" i="12"/>
  <c r="V169" i="12"/>
  <c r="AH168" i="12"/>
  <c r="AD163" i="12"/>
  <c r="AL163" i="12" s="1"/>
  <c r="AE155" i="12"/>
  <c r="AQ155" i="12" s="1"/>
  <c r="AH215" i="12"/>
  <c r="AC210" i="12"/>
  <c r="AC207" i="12"/>
  <c r="AC206" i="12"/>
  <c r="U204" i="12"/>
  <c r="V202" i="12"/>
  <c r="U201" i="12"/>
  <c r="V200" i="12"/>
  <c r="U198" i="12"/>
  <c r="AM198" i="12" s="1"/>
  <c r="AN198" i="12" s="1"/>
  <c r="U196" i="12"/>
  <c r="AM196" i="12" s="1"/>
  <c r="AN196" i="12" s="1"/>
  <c r="AD188" i="12"/>
  <c r="AL188" i="12" s="1"/>
  <c r="AE183" i="12"/>
  <c r="AQ183" i="12" s="1"/>
  <c r="AB180" i="12"/>
  <c r="AP180" i="12" s="1"/>
  <c r="U178" i="12"/>
  <c r="AH176" i="12"/>
  <c r="AC174" i="12"/>
  <c r="AP174" i="12" s="1"/>
  <c r="V235" i="12"/>
  <c r="AH230" i="12"/>
  <c r="AC226" i="12"/>
  <c r="AE222" i="12"/>
  <c r="AQ222" i="12" s="1"/>
  <c r="AH213" i="12"/>
  <c r="AH211" i="12"/>
  <c r="AB210" i="12"/>
  <c r="AB207" i="12"/>
  <c r="AR207" i="12" s="1"/>
  <c r="AS207" i="12" s="1"/>
  <c r="AV207" i="12" s="1"/>
  <c r="AB206" i="12"/>
  <c r="AR206" i="12" s="1"/>
  <c r="AS206" i="12" s="1"/>
  <c r="AV206" i="12" s="1"/>
  <c r="U200" i="12"/>
  <c r="U199" i="12"/>
  <c r="AE195" i="12"/>
  <c r="AQ195" i="12" s="1"/>
  <c r="AD183" i="12"/>
  <c r="AL183" i="12" s="1"/>
  <c r="AB174" i="12"/>
  <c r="AH170" i="12"/>
  <c r="U161" i="12"/>
  <c r="AM161" i="12" s="1"/>
  <c r="AN161" i="12" s="1"/>
  <c r="AH158" i="12"/>
  <c r="AB155" i="12"/>
  <c r="V144" i="12"/>
  <c r="AB222" i="12"/>
  <c r="AG222" i="12" s="1"/>
  <c r="AB215" i="12"/>
  <c r="AE212" i="12"/>
  <c r="AQ212" i="12" s="1"/>
  <c r="AB195" i="12"/>
  <c r="AC183" i="12"/>
  <c r="AH173" i="12"/>
  <c r="V166" i="12"/>
  <c r="AC216" i="12"/>
  <c r="AB194" i="12"/>
  <c r="AB164" i="12"/>
  <c r="AB163" i="12"/>
  <c r="AI163" i="12" s="1"/>
  <c r="AJ163" i="12" s="1"/>
  <c r="AE159" i="12"/>
  <c r="AQ159" i="12" s="1"/>
  <c r="AB151" i="12"/>
  <c r="U146" i="12"/>
  <c r="AM146" i="12" s="1"/>
  <c r="AH145" i="12"/>
  <c r="AH140" i="12"/>
  <c r="AB132" i="12"/>
  <c r="AB130" i="12"/>
  <c r="U127" i="12"/>
  <c r="V120" i="12"/>
  <c r="AC118" i="12"/>
  <c r="AD98" i="12"/>
  <c r="AL98" i="12" s="1"/>
  <c r="AH217" i="12"/>
  <c r="AH162" i="12"/>
  <c r="V160" i="12"/>
  <c r="AM160" i="12" s="1"/>
  <c r="AD159" i="12"/>
  <c r="AL159" i="12" s="1"/>
  <c r="AH155" i="12"/>
  <c r="AE147" i="12"/>
  <c r="AQ147" i="12" s="1"/>
  <c r="AH142" i="12"/>
  <c r="AE128" i="12"/>
  <c r="AQ128" i="12" s="1"/>
  <c r="U120" i="12"/>
  <c r="AB118" i="12"/>
  <c r="AH110" i="12"/>
  <c r="AC109" i="12"/>
  <c r="AD206" i="12"/>
  <c r="AL206" i="12" s="1"/>
  <c r="AE189" i="12"/>
  <c r="AQ189" i="12" s="1"/>
  <c r="AE188" i="12"/>
  <c r="AQ188" i="12" s="1"/>
  <c r="AD187" i="12"/>
  <c r="AL187" i="12" s="1"/>
  <c r="V184" i="12"/>
  <c r="AE172" i="12"/>
  <c r="AQ172" i="12" s="1"/>
  <c r="U160" i="12"/>
  <c r="AC159" i="12"/>
  <c r="V152" i="12"/>
  <c r="AD147" i="12"/>
  <c r="AL147" i="12" s="1"/>
  <c r="AE145" i="12"/>
  <c r="AQ145" i="12" s="1"/>
  <c r="AD128" i="12"/>
  <c r="AL128" i="12" s="1"/>
  <c r="AE125" i="12"/>
  <c r="AQ125" i="12" s="1"/>
  <c r="V124" i="12"/>
  <c r="AE113" i="12"/>
  <c r="AQ113" i="12" s="1"/>
  <c r="AC111" i="12"/>
  <c r="AB109" i="12"/>
  <c r="AB98" i="12"/>
  <c r="AE95" i="12"/>
  <c r="AQ95" i="12" s="1"/>
  <c r="AH92" i="12"/>
  <c r="AH232" i="12"/>
  <c r="AH203" i="12"/>
  <c r="AD189" i="12"/>
  <c r="AL189" i="12" s="1"/>
  <c r="AC187" i="12"/>
  <c r="AD172" i="12"/>
  <c r="AL172" i="12" s="1"/>
  <c r="AB159" i="12"/>
  <c r="AI159" i="12" s="1"/>
  <c r="AJ159" i="12" s="1"/>
  <c r="AH150" i="12"/>
  <c r="AC147" i="12"/>
  <c r="AD145" i="12"/>
  <c r="AL145" i="12" s="1"/>
  <c r="V143" i="12"/>
  <c r="AM143" i="12" s="1"/>
  <c r="AE140" i="12"/>
  <c r="AQ140" i="12" s="1"/>
  <c r="AC128" i="12"/>
  <c r="AD125" i="12"/>
  <c r="AL125" i="12" s="1"/>
  <c r="U124" i="12"/>
  <c r="AE122" i="12"/>
  <c r="AQ122" i="12" s="1"/>
  <c r="AC115" i="12"/>
  <c r="AC114" i="12"/>
  <c r="AD113" i="12"/>
  <c r="AL113" i="12" s="1"/>
  <c r="AB111" i="12"/>
  <c r="AE237" i="12"/>
  <c r="AQ237" i="12" s="1"/>
  <c r="AD207" i="12"/>
  <c r="AL207" i="12" s="1"/>
  <c r="V206" i="12"/>
  <c r="AC203" i="12"/>
  <c r="AD199" i="12"/>
  <c r="AL199" i="12" s="1"/>
  <c r="AH180" i="12"/>
  <c r="AH177" i="12"/>
  <c r="AC173" i="12"/>
  <c r="AE170" i="12"/>
  <c r="AQ170" i="12" s="1"/>
  <c r="U164" i="12"/>
  <c r="AM164" i="12" s="1"/>
  <c r="AN164" i="12" s="1"/>
  <c r="U163" i="12"/>
  <c r="AC162" i="12"/>
  <c r="AC158" i="12"/>
  <c r="U156" i="12"/>
  <c r="AD233" i="12"/>
  <c r="AL233" i="12" s="1"/>
  <c r="U208" i="12"/>
  <c r="AC204" i="12"/>
  <c r="V174" i="12"/>
  <c r="AK174" i="12" s="1"/>
  <c r="U171" i="12"/>
  <c r="AE166" i="12"/>
  <c r="AQ166" i="12" s="1"/>
  <c r="U155" i="12"/>
  <c r="AK155" i="12" s="1"/>
  <c r="AH153" i="12"/>
  <c r="U150" i="12"/>
  <c r="AH149" i="12"/>
  <c r="AD139" i="12"/>
  <c r="AL139" i="12" s="1"/>
  <c r="AB133" i="12"/>
  <c r="AR133" i="12" s="1"/>
  <c r="AS133" i="12" s="1"/>
  <c r="AV133" i="12" s="1"/>
  <c r="AC129" i="12"/>
  <c r="AE127" i="12"/>
  <c r="AQ127" i="12" s="1"/>
  <c r="U125" i="12"/>
  <c r="AM125" i="12" s="1"/>
  <c r="AN125" i="12" s="1"/>
  <c r="V122" i="12"/>
  <c r="AC116" i="12"/>
  <c r="AR116" i="12" s="1"/>
  <c r="U113" i="12"/>
  <c r="V218" i="12"/>
  <c r="AC197" i="12"/>
  <c r="V196" i="12"/>
  <c r="AH193" i="12"/>
  <c r="AE181" i="12"/>
  <c r="AQ181" i="12" s="1"/>
  <c r="U174" i="12"/>
  <c r="V209" i="12"/>
  <c r="V191" i="12"/>
  <c r="AD181" i="12"/>
  <c r="AL181" i="12" s="1"/>
  <c r="U176" i="12"/>
  <c r="V175" i="12"/>
  <c r="U168" i="12"/>
  <c r="AC166" i="12"/>
  <c r="AH160" i="12"/>
  <c r="AB223" i="12"/>
  <c r="AR223" i="12" s="1"/>
  <c r="AS223" i="12" s="1"/>
  <c r="AV223" i="12" s="1"/>
  <c r="AC212" i="12"/>
  <c r="V201" i="12"/>
  <c r="AC198" i="12"/>
  <c r="AH194" i="12"/>
  <c r="AH186" i="12"/>
  <c r="AB185" i="12"/>
  <c r="AR185" i="12" s="1"/>
  <c r="AS185" i="12" s="1"/>
  <c r="AV185" i="12" s="1"/>
  <c r="AE184" i="12"/>
  <c r="AQ184" i="12" s="1"/>
  <c r="U219" i="12"/>
  <c r="AD213" i="12"/>
  <c r="AL213" i="12" s="1"/>
  <c r="AH167" i="12"/>
  <c r="AE164" i="12"/>
  <c r="AQ164" i="12" s="1"/>
  <c r="AH159" i="12"/>
  <c r="AE158" i="12"/>
  <c r="AQ158" i="12" s="1"/>
  <c r="AD146" i="12"/>
  <c r="AL146" i="12" s="1"/>
  <c r="U142" i="12"/>
  <c r="AM142" i="12" s="1"/>
  <c r="AN142" i="12" s="1"/>
  <c r="AC140" i="12"/>
  <c r="AE136" i="12"/>
  <c r="AQ136" i="12" s="1"/>
  <c r="U134" i="12"/>
  <c r="AD133" i="12"/>
  <c r="AL133" i="12" s="1"/>
  <c r="AE110" i="12"/>
  <c r="AQ110" i="12" s="1"/>
  <c r="AD107" i="12"/>
  <c r="AL107" i="12" s="1"/>
  <c r="AB99" i="12"/>
  <c r="V95" i="12"/>
  <c r="AB89" i="12"/>
  <c r="AC85" i="12"/>
  <c r="AE82" i="12"/>
  <c r="AQ82" i="12" s="1"/>
  <c r="AC77" i="12"/>
  <c r="U76" i="12"/>
  <c r="AD166" i="12"/>
  <c r="AL166" i="12" s="1"/>
  <c r="AD164" i="12"/>
  <c r="AL164" i="12" s="1"/>
  <c r="AD158" i="12"/>
  <c r="AL158" i="12" s="1"/>
  <c r="AH157" i="12"/>
  <c r="V147" i="12"/>
  <c r="AE144" i="12"/>
  <c r="AQ144" i="12" s="1"/>
  <c r="AE139" i="12"/>
  <c r="AQ139" i="12" s="1"/>
  <c r="AD136" i="12"/>
  <c r="AL136" i="12" s="1"/>
  <c r="AC133" i="12"/>
  <c r="AH130" i="12"/>
  <c r="AD110" i="12"/>
  <c r="AL110" i="12" s="1"/>
  <c r="AC107" i="12"/>
  <c r="AG107" i="12" s="1"/>
  <c r="AH104" i="12"/>
  <c r="U95" i="12"/>
  <c r="V88" i="12"/>
  <c r="AH86" i="12"/>
  <c r="AB85" i="12"/>
  <c r="AH83" i="12"/>
  <c r="V80" i="12"/>
  <c r="AB77" i="12"/>
  <c r="AH74" i="12"/>
  <c r="AB69" i="12"/>
  <c r="AD65" i="12"/>
  <c r="AL65" i="12" s="1"/>
  <c r="AB61" i="12"/>
  <c r="U222" i="12"/>
  <c r="AM222" i="12" s="1"/>
  <c r="AN222" i="12" s="1"/>
  <c r="AC220" i="12"/>
  <c r="AH184" i="12"/>
  <c r="V178" i="12"/>
  <c r="AB166" i="12"/>
  <c r="AR166" i="12" s="1"/>
  <c r="AS166" i="12" s="1"/>
  <c r="AV166" i="12" s="1"/>
  <c r="AE165" i="12"/>
  <c r="AQ165" i="12" s="1"/>
  <c r="AE160" i="12"/>
  <c r="AQ160" i="12" s="1"/>
  <c r="AB158" i="12"/>
  <c r="AI158" i="12" s="1"/>
  <c r="AJ158" i="12" s="1"/>
  <c r="AC157" i="12"/>
  <c r="U147" i="12"/>
  <c r="AM147" i="12" s="1"/>
  <c r="AN147" i="12" s="1"/>
  <c r="AD144" i="12"/>
  <c r="AL144" i="12" s="1"/>
  <c r="V141" i="12"/>
  <c r="AC139" i="12"/>
  <c r="AC136" i="12"/>
  <c r="AC126" i="12"/>
  <c r="AC110" i="12"/>
  <c r="AB107" i="12"/>
  <c r="AC100" i="12"/>
  <c r="U88" i="12"/>
  <c r="AC82" i="12"/>
  <c r="U80" i="12"/>
  <c r="U72" i="12"/>
  <c r="AM72" i="12" s="1"/>
  <c r="AN72" i="12" s="1"/>
  <c r="AC65" i="12"/>
  <c r="U64" i="12"/>
  <c r="AC57" i="12"/>
  <c r="AE53" i="12"/>
  <c r="AQ53" i="12" s="1"/>
  <c r="AC49" i="12"/>
  <c r="AH42" i="12"/>
  <c r="AB41" i="12"/>
  <c r="AB220" i="12"/>
  <c r="AI220" i="12" s="1"/>
  <c r="AJ220" i="12" s="1"/>
  <c r="AB198" i="12"/>
  <c r="AI198" i="12" s="1"/>
  <c r="AJ198" i="12" s="1"/>
  <c r="V188" i="12"/>
  <c r="AE180" i="12"/>
  <c r="AQ180" i="12" s="1"/>
  <c r="AB175" i="12"/>
  <c r="AI175" i="12" s="1"/>
  <c r="AJ175" i="12" s="1"/>
  <c r="AC172" i="12"/>
  <c r="V171" i="12"/>
  <c r="V161" i="12"/>
  <c r="AD160" i="12"/>
  <c r="AL160" i="12" s="1"/>
  <c r="AH156" i="12"/>
  <c r="AC144" i="12"/>
  <c r="U141" i="12"/>
  <c r="AB139" i="12"/>
  <c r="AE135" i="12"/>
  <c r="AQ135" i="12" s="1"/>
  <c r="AB126" i="12"/>
  <c r="U116" i="12"/>
  <c r="AK116" i="12" s="1"/>
  <c r="AB110" i="12"/>
  <c r="AR110" i="12" s="1"/>
  <c r="AS110" i="12" s="1"/>
  <c r="AV110" i="12" s="1"/>
  <c r="AB100" i="12"/>
  <c r="AC237" i="12"/>
  <c r="U228" i="12"/>
  <c r="AC223" i="12"/>
  <c r="AD193" i="12"/>
  <c r="AL193" i="12" s="1"/>
  <c r="V167" i="12"/>
  <c r="V164" i="12"/>
  <c r="V156" i="12"/>
  <c r="AD142" i="12"/>
  <c r="AL142" i="12" s="1"/>
  <c r="AC194" i="12"/>
  <c r="AE182" i="12"/>
  <c r="AQ182" i="12" s="1"/>
  <c r="AD170" i="12"/>
  <c r="AL170" i="12" s="1"/>
  <c r="V155" i="12"/>
  <c r="AE148" i="12"/>
  <c r="AQ148" i="12" s="1"/>
  <c r="AB212" i="12"/>
  <c r="AC182" i="12"/>
  <c r="AC170" i="12"/>
  <c r="AB183" i="12"/>
  <c r="AR183" i="12" s="1"/>
  <c r="AS183" i="12" s="1"/>
  <c r="AV183" i="12" s="1"/>
  <c r="AB177" i="12"/>
  <c r="AH174" i="12"/>
  <c r="AC163" i="12"/>
  <c r="AD150" i="12"/>
  <c r="AL150" i="12" s="1"/>
  <c r="AB144" i="12"/>
  <c r="V135" i="12"/>
  <c r="AK135" i="12" s="1"/>
  <c r="AH134" i="12"/>
  <c r="AH133" i="12"/>
  <c r="U129" i="12"/>
  <c r="AM129" i="12" s="1"/>
  <c r="AD127" i="12"/>
  <c r="AL127" i="12" s="1"/>
  <c r="V110" i="12"/>
  <c r="AE104" i="12"/>
  <c r="AQ104" i="12" s="1"/>
  <c r="AE98" i="12"/>
  <c r="AQ98" i="12" s="1"/>
  <c r="AE83" i="12"/>
  <c r="AQ83" i="12" s="1"/>
  <c r="AC80" i="12"/>
  <c r="AC73" i="12"/>
  <c r="AC63" i="12"/>
  <c r="U62" i="12"/>
  <c r="AB58" i="12"/>
  <c r="V210" i="12"/>
  <c r="AE156" i="12"/>
  <c r="AQ156" i="12" s="1"/>
  <c r="AH151" i="12"/>
  <c r="AC150" i="12"/>
  <c r="U135" i="12"/>
  <c r="AM135" i="12" s="1"/>
  <c r="AC127" i="12"/>
  <c r="AE120" i="12"/>
  <c r="AQ120" i="12" s="1"/>
  <c r="AH119" i="12"/>
  <c r="V117" i="12"/>
  <c r="AE116" i="12"/>
  <c r="AQ116" i="12" s="1"/>
  <c r="U110" i="12"/>
  <c r="AD104" i="12"/>
  <c r="AL104" i="12" s="1"/>
  <c r="AC102" i="12"/>
  <c r="AC98" i="12"/>
  <c r="AB80" i="12"/>
  <c r="AI80" i="12" s="1"/>
  <c r="AJ80" i="12" s="1"/>
  <c r="AB73" i="12"/>
  <c r="AE71" i="12"/>
  <c r="AQ71" i="12" s="1"/>
  <c r="AB63" i="12"/>
  <c r="U57" i="12"/>
  <c r="AM57" i="12" s="1"/>
  <c r="AN57" i="12" s="1"/>
  <c r="AH53" i="12"/>
  <c r="U52" i="12"/>
  <c r="AM52" i="12" s="1"/>
  <c r="AN52" i="12" s="1"/>
  <c r="AD50" i="12"/>
  <c r="AL50" i="12" s="1"/>
  <c r="AH44" i="12"/>
  <c r="AB42" i="12"/>
  <c r="AE221" i="12"/>
  <c r="AQ221" i="12" s="1"/>
  <c r="U210" i="12"/>
  <c r="AM210" i="12" s="1"/>
  <c r="AN210" i="12" s="1"/>
  <c r="U186" i="12"/>
  <c r="AM186" i="12" s="1"/>
  <c r="AN186" i="12" s="1"/>
  <c r="V180" i="12"/>
  <c r="AE174" i="12"/>
  <c r="AQ174" i="12" s="1"/>
  <c r="AD156" i="12"/>
  <c r="AL156" i="12" s="1"/>
  <c r="AB150" i="12"/>
  <c r="AG150" i="12" s="1"/>
  <c r="AE143" i="12"/>
  <c r="AQ143" i="12" s="1"/>
  <c r="AH132" i="12"/>
  <c r="AB127" i="12"/>
  <c r="AI127" i="12" s="1"/>
  <c r="AJ127" i="12" s="1"/>
  <c r="AD120" i="12"/>
  <c r="AL120" i="12" s="1"/>
  <c r="U117" i="12"/>
  <c r="AD116" i="12"/>
  <c r="AL116" i="12" s="1"/>
  <c r="V113" i="12"/>
  <c r="AC112" i="12"/>
  <c r="V107" i="12"/>
  <c r="AC104" i="12"/>
  <c r="AB102" i="12"/>
  <c r="AE89" i="12"/>
  <c r="AQ89" i="12" s="1"/>
  <c r="AH87" i="12"/>
  <c r="AC83" i="12"/>
  <c r="V77" i="12"/>
  <c r="AD71" i="12"/>
  <c r="AL71" i="12" s="1"/>
  <c r="U60" i="12"/>
  <c r="AC50" i="12"/>
  <c r="AD221" i="12"/>
  <c r="AL221" i="12" s="1"/>
  <c r="V213" i="12"/>
  <c r="AE200" i="12"/>
  <c r="AQ200" i="12" s="1"/>
  <c r="AE193" i="12"/>
  <c r="AQ193" i="12" s="1"/>
  <c r="AB187" i="12"/>
  <c r="AP187" i="12" s="1"/>
  <c r="AE151" i="12"/>
  <c r="AQ151" i="12" s="1"/>
  <c r="AH148" i="12"/>
  <c r="AE146" i="12"/>
  <c r="AQ146" i="12" s="1"/>
  <c r="AD143" i="12"/>
  <c r="AL143" i="12" s="1"/>
  <c r="AE142" i="12"/>
  <c r="AQ142" i="12" s="1"/>
  <c r="AE134" i="12"/>
  <c r="AQ134" i="12" s="1"/>
  <c r="AE133" i="12"/>
  <c r="AQ133" i="12" s="1"/>
  <c r="AC120" i="12"/>
  <c r="AP120" i="12" s="1"/>
  <c r="AB116" i="12"/>
  <c r="AG116" i="12" s="1"/>
  <c r="AB112" i="12"/>
  <c r="AD203" i="12"/>
  <c r="AL203" i="12" s="1"/>
  <c r="U195" i="12"/>
  <c r="AH178" i="12"/>
  <c r="AD169" i="12"/>
  <c r="AL169" i="12" s="1"/>
  <c r="V157" i="12"/>
  <c r="V150" i="12"/>
  <c r="AB148" i="12"/>
  <c r="AB141" i="12"/>
  <c r="AD140" i="12"/>
  <c r="AL140" i="12" s="1"/>
  <c r="AH138" i="12"/>
  <c r="AD132" i="12"/>
  <c r="AL132" i="12" s="1"/>
  <c r="AE131" i="12"/>
  <c r="AQ131" i="12" s="1"/>
  <c r="U231" i="12"/>
  <c r="AM231" i="12" s="1"/>
  <c r="AH229" i="12"/>
  <c r="AD191" i="12"/>
  <c r="AL191" i="12" s="1"/>
  <c r="AC185" i="12"/>
  <c r="AD179" i="12"/>
  <c r="AL179" i="12" s="1"/>
  <c r="AB170" i="12"/>
  <c r="AR170" i="12" s="1"/>
  <c r="AS170" i="12" s="1"/>
  <c r="AV170" i="12" s="1"/>
  <c r="AH207" i="12"/>
  <c r="AC180" i="12"/>
  <c r="U158" i="12"/>
  <c r="U143" i="12"/>
  <c r="AK143" i="12" s="1"/>
  <c r="AD131" i="12"/>
  <c r="AL131" i="12" s="1"/>
  <c r="AC125" i="12"/>
  <c r="AE124" i="12"/>
  <c r="AQ124" i="12" s="1"/>
  <c r="AB104" i="12"/>
  <c r="V98" i="12"/>
  <c r="AB87" i="12"/>
  <c r="AI87" i="12" s="1"/>
  <c r="AJ87" i="12" s="1"/>
  <c r="AC76" i="12"/>
  <c r="AH62" i="12"/>
  <c r="V50" i="12"/>
  <c r="V47" i="12"/>
  <c r="AC45" i="12"/>
  <c r="U39" i="12"/>
  <c r="U21" i="12"/>
  <c r="U188" i="12"/>
  <c r="AK188" i="12" s="1"/>
  <c r="V149" i="12"/>
  <c r="U144" i="12"/>
  <c r="V142" i="12"/>
  <c r="AC138" i="12"/>
  <c r="AC131" i="12"/>
  <c r="AE129" i="12"/>
  <c r="AQ129" i="12" s="1"/>
  <c r="AH127" i="12"/>
  <c r="AB125" i="12"/>
  <c r="AD124" i="12"/>
  <c r="AL124" i="12" s="1"/>
  <c r="AB120" i="12"/>
  <c r="AH117" i="12"/>
  <c r="V101" i="12"/>
  <c r="U98" i="12"/>
  <c r="AC97" i="12"/>
  <c r="AH89" i="12"/>
  <c r="AH80" i="12"/>
  <c r="AB76" i="12"/>
  <c r="AC71" i="12"/>
  <c r="AC60" i="12"/>
  <c r="U50" i="12"/>
  <c r="U47" i="12"/>
  <c r="AM47" i="12" s="1"/>
  <c r="AB45" i="12"/>
  <c r="AB9" i="12"/>
  <c r="U172" i="12"/>
  <c r="AM172" i="12" s="1"/>
  <c r="U169" i="12"/>
  <c r="AM169" i="12" s="1"/>
  <c r="AN169" i="12" s="1"/>
  <c r="AH163" i="12"/>
  <c r="U149" i="12"/>
  <c r="AH139" i="12"/>
  <c r="AB138" i="12"/>
  <c r="AH137" i="12"/>
  <c r="AB131" i="12"/>
  <c r="AG131" i="12" s="1"/>
  <c r="AD129" i="12"/>
  <c r="AL129" i="12" s="1"/>
  <c r="AH128" i="12"/>
  <c r="AC124" i="12"/>
  <c r="AB115" i="12"/>
  <c r="U101" i="12"/>
  <c r="AB97" i="12"/>
  <c r="AD95" i="12"/>
  <c r="AL95" i="12" s="1"/>
  <c r="AD89" i="12"/>
  <c r="AL89" i="12" s="1"/>
  <c r="U81" i="12"/>
  <c r="AB71" i="12"/>
  <c r="U69" i="12"/>
  <c r="AM69" i="12" s="1"/>
  <c r="AN69" i="12" s="1"/>
  <c r="U63" i="12"/>
  <c r="AM63" i="12" s="1"/>
  <c r="AN63" i="12" s="1"/>
  <c r="AB60" i="12"/>
  <c r="U58" i="12"/>
  <c r="AE36" i="12"/>
  <c r="AQ36" i="12" s="1"/>
  <c r="U18" i="12"/>
  <c r="AD196" i="12"/>
  <c r="AL196" i="12" s="1"/>
  <c r="AD151" i="12"/>
  <c r="AL151" i="12" s="1"/>
  <c r="AE137" i="12"/>
  <c r="AQ137" i="12" s="1"/>
  <c r="AE132" i="12"/>
  <c r="AQ132" i="12" s="1"/>
  <c r="AB129" i="12"/>
  <c r="AG129" i="12" s="1"/>
  <c r="AB124" i="12"/>
  <c r="AR124" i="12" s="1"/>
  <c r="AS124" i="12" s="1"/>
  <c r="AV124" i="12" s="1"/>
  <c r="AD122" i="12"/>
  <c r="AL122" i="12" s="1"/>
  <c r="AH116" i="12"/>
  <c r="AH107" i="12"/>
  <c r="AC95" i="12"/>
  <c r="AC89" i="12"/>
  <c r="AC78" i="12"/>
  <c r="AH68" i="12"/>
  <c r="V65" i="12"/>
  <c r="AE64" i="12"/>
  <c r="AQ64" i="12" s="1"/>
  <c r="AE62" i="12"/>
  <c r="AQ62" i="12" s="1"/>
  <c r="V56" i="12"/>
  <c r="U54" i="12"/>
  <c r="AD36" i="12"/>
  <c r="AL36" i="12" s="1"/>
  <c r="V215" i="12"/>
  <c r="U167" i="12"/>
  <c r="AD155" i="12"/>
  <c r="AL155" i="12" s="1"/>
  <c r="V138" i="12"/>
  <c r="AB137" i="12"/>
  <c r="AD135" i="12"/>
  <c r="AL135" i="12" s="1"/>
  <c r="AB114" i="12"/>
  <c r="AC113" i="12"/>
  <c r="AE107" i="12"/>
  <c r="AQ107" i="12" s="1"/>
  <c r="V104" i="12"/>
  <c r="AK104" i="12" s="1"/>
  <c r="AB103" i="12"/>
  <c r="AC94" i="12"/>
  <c r="AC92" i="12"/>
  <c r="V87" i="12"/>
  <c r="U83" i="12"/>
  <c r="AC199" i="12"/>
  <c r="AE179" i="12"/>
  <c r="AQ179" i="12" s="1"/>
  <c r="AE176" i="12"/>
  <c r="AQ176" i="12" s="1"/>
  <c r="AD161" i="12"/>
  <c r="AL161" i="12" s="1"/>
  <c r="AB152" i="12"/>
  <c r="AD148" i="12"/>
  <c r="AL148" i="12" s="1"/>
  <c r="AC141" i="12"/>
  <c r="U140" i="12"/>
  <c r="AH101" i="12"/>
  <c r="V92" i="12"/>
  <c r="AC88" i="12"/>
  <c r="AD176" i="12"/>
  <c r="AL176" i="12" s="1"/>
  <c r="AH171" i="12"/>
  <c r="AB161" i="12"/>
  <c r="AC148" i="12"/>
  <c r="U92" i="12"/>
  <c r="AB88" i="12"/>
  <c r="AH188" i="12"/>
  <c r="AC132" i="12"/>
  <c r="V131" i="12"/>
  <c r="AB122" i="12"/>
  <c r="AR122" i="12" s="1"/>
  <c r="AS122" i="12" s="1"/>
  <c r="AV122" i="12" s="1"/>
  <c r="AD117" i="12"/>
  <c r="AL117" i="12" s="1"/>
  <c r="AH113" i="12"/>
  <c r="AB106" i="12"/>
  <c r="U87" i="12"/>
  <c r="AM87" i="12" s="1"/>
  <c r="U67" i="12"/>
  <c r="V217" i="12"/>
  <c r="AH199" i="12"/>
  <c r="U131" i="12"/>
  <c r="AB113" i="12"/>
  <c r="AI113" i="12" s="1"/>
  <c r="AJ113" i="12" s="1"/>
  <c r="AC108" i="12"/>
  <c r="AC84" i="12"/>
  <c r="AE74" i="12"/>
  <c r="AQ74" i="12" s="1"/>
  <c r="U136" i="12"/>
  <c r="AM136" i="12" s="1"/>
  <c r="AN136" i="12" s="1"/>
  <c r="U132" i="12"/>
  <c r="V127" i="12"/>
  <c r="AE119" i="12"/>
  <c r="AQ119" i="12" s="1"/>
  <c r="AC99" i="12"/>
  <c r="AH98" i="12"/>
  <c r="AB96" i="12"/>
  <c r="AH95" i="12"/>
  <c r="AC93" i="12"/>
  <c r="AB92" i="12"/>
  <c r="AR92" i="12" s="1"/>
  <c r="AB91" i="12"/>
  <c r="U79" i="12"/>
  <c r="U70" i="12"/>
  <c r="AM70" i="12" s="1"/>
  <c r="AN70" i="12" s="1"/>
  <c r="AC69" i="12"/>
  <c r="AB57" i="12"/>
  <c r="AB54" i="12"/>
  <c r="AB49" i="12"/>
  <c r="AB47" i="12"/>
  <c r="AI47" i="12" s="1"/>
  <c r="AJ47" i="12" s="1"/>
  <c r="AC214" i="12"/>
  <c r="U209" i="12"/>
  <c r="AM209" i="12" s="1"/>
  <c r="AN209" i="12" s="1"/>
  <c r="AB214" i="12"/>
  <c r="AI214" i="12" s="1"/>
  <c r="AJ214" i="12" s="1"/>
  <c r="AE162" i="12"/>
  <c r="AQ162" i="12" s="1"/>
  <c r="AB173" i="12"/>
  <c r="V154" i="12"/>
  <c r="AB135" i="12"/>
  <c r="AB128" i="12"/>
  <c r="AI128" i="12" s="1"/>
  <c r="AJ128" i="12" s="1"/>
  <c r="AC96" i="12"/>
  <c r="AC81" i="12"/>
  <c r="AH77" i="12"/>
  <c r="AC68" i="12"/>
  <c r="U59" i="12"/>
  <c r="AM59" i="12" s="1"/>
  <c r="AE56" i="12"/>
  <c r="AQ56" i="12" s="1"/>
  <c r="AB51" i="12"/>
  <c r="AH50" i="12"/>
  <c r="V44" i="12"/>
  <c r="AK44" i="12" s="1"/>
  <c r="AC41" i="12"/>
  <c r="AE39" i="12"/>
  <c r="AQ39" i="12" s="1"/>
  <c r="AE30" i="12"/>
  <c r="AQ30" i="12" s="1"/>
  <c r="AB27" i="12"/>
  <c r="AC12" i="12"/>
  <c r="AC209" i="12"/>
  <c r="AH202" i="12"/>
  <c r="U154" i="12"/>
  <c r="AB81" i="12"/>
  <c r="V71" i="12"/>
  <c r="AB68" i="12"/>
  <c r="AD56" i="12"/>
  <c r="AL56" i="12" s="1"/>
  <c r="U44" i="12"/>
  <c r="AC43" i="12"/>
  <c r="AD39" i="12"/>
  <c r="AL39" i="12" s="1"/>
  <c r="AC19" i="12"/>
  <c r="AC13" i="12"/>
  <c r="AB12" i="12"/>
  <c r="AH143" i="12"/>
  <c r="V139" i="12"/>
  <c r="AM139" i="12" s="1"/>
  <c r="AB200" i="12"/>
  <c r="AE152" i="12"/>
  <c r="AQ152" i="12" s="1"/>
  <c r="AH136" i="12"/>
  <c r="V79" i="12"/>
  <c r="AM79" i="12" s="1"/>
  <c r="AE77" i="12"/>
  <c r="AQ77" i="12" s="1"/>
  <c r="AD62" i="12"/>
  <c r="AL62" i="12" s="1"/>
  <c r="AB56" i="12"/>
  <c r="AI56" i="12" s="1"/>
  <c r="AJ56" i="12" s="1"/>
  <c r="AB50" i="12"/>
  <c r="AI50" i="12" s="1"/>
  <c r="AJ50" i="12" s="1"/>
  <c r="AB39" i="12"/>
  <c r="AI39" i="12" s="1"/>
  <c r="AJ39" i="12" s="1"/>
  <c r="AB30" i="12"/>
  <c r="AH24" i="12"/>
  <c r="AH15" i="12"/>
  <c r="AB14" i="12"/>
  <c r="AH129" i="12"/>
  <c r="AC103" i="12"/>
  <c r="AC61" i="12"/>
  <c r="AC55" i="12"/>
  <c r="U51" i="12"/>
  <c r="AM51" i="12" s="1"/>
  <c r="AN51" i="12" s="1"/>
  <c r="AC38" i="12"/>
  <c r="AD33" i="12"/>
  <c r="AL33" i="12" s="1"/>
  <c r="V27" i="12"/>
  <c r="AE24" i="12"/>
  <c r="AE15" i="12"/>
  <c r="AQ15" i="12" s="1"/>
  <c r="V12" i="12"/>
  <c r="U190" i="12"/>
  <c r="AM190" i="12" s="1"/>
  <c r="V137" i="12"/>
  <c r="AM137" i="12" s="1"/>
  <c r="V89" i="12"/>
  <c r="AB86" i="12"/>
  <c r="AR86" i="12" s="1"/>
  <c r="AS86" i="12" s="1"/>
  <c r="AV86" i="12" s="1"/>
  <c r="AB83" i="12"/>
  <c r="AI83" i="12" s="1"/>
  <c r="U73" i="12"/>
  <c r="AC72" i="12"/>
  <c r="AH65" i="12"/>
  <c r="AE59" i="12"/>
  <c r="AQ59" i="12" s="1"/>
  <c r="AC53" i="12"/>
  <c r="AC48" i="12"/>
  <c r="AD162" i="12"/>
  <c r="AL162" i="12" s="1"/>
  <c r="U137" i="12"/>
  <c r="AB93" i="12"/>
  <c r="U89" i="12"/>
  <c r="AB72" i="12"/>
  <c r="AD59" i="12"/>
  <c r="AL59" i="12" s="1"/>
  <c r="AB53" i="12"/>
  <c r="AB48" i="12"/>
  <c r="AB168" i="12"/>
  <c r="AC155" i="12"/>
  <c r="AB84" i="12"/>
  <c r="AB59" i="12"/>
  <c r="U55" i="12"/>
  <c r="U53" i="12"/>
  <c r="AB40" i="12"/>
  <c r="AC28" i="12"/>
  <c r="U56" i="12"/>
  <c r="AH39" i="12"/>
  <c r="AB28" i="12"/>
  <c r="AE153" i="12"/>
  <c r="AQ153" i="12" s="1"/>
  <c r="AC137" i="12"/>
  <c r="AC153" i="12"/>
  <c r="V134" i="12"/>
  <c r="AB108" i="12"/>
  <c r="AB90" i="12"/>
  <c r="AB74" i="12"/>
  <c r="AI74" i="12" s="1"/>
  <c r="AJ74" i="12" s="1"/>
  <c r="U71" i="12"/>
  <c r="AC62" i="12"/>
  <c r="AG62" i="12" s="1"/>
  <c r="AC46" i="12"/>
  <c r="AC39" i="12"/>
  <c r="AC34" i="12"/>
  <c r="AC151" i="12"/>
  <c r="AD119" i="12"/>
  <c r="AL119" i="12" s="1"/>
  <c r="U107" i="12"/>
  <c r="AB75" i="12"/>
  <c r="U24" i="12"/>
  <c r="AE21" i="12"/>
  <c r="AB19" i="12"/>
  <c r="AD15" i="12"/>
  <c r="AL15" i="12" s="1"/>
  <c r="U122" i="12"/>
  <c r="AM122" i="12" s="1"/>
  <c r="V119" i="12"/>
  <c r="AD86" i="12"/>
  <c r="AL86" i="12" s="1"/>
  <c r="V59" i="12"/>
  <c r="AB38" i="12"/>
  <c r="AC37" i="12"/>
  <c r="AC36" i="12"/>
  <c r="AC27" i="12"/>
  <c r="AB20" i="12"/>
  <c r="AB17" i="12"/>
  <c r="AD9" i="12"/>
  <c r="AL9" i="12" s="1"/>
  <c r="V125" i="12"/>
  <c r="AK125" i="12" s="1"/>
  <c r="U119" i="12"/>
  <c r="AK119" i="12" s="1"/>
  <c r="AC90" i="12"/>
  <c r="AC86" i="12"/>
  <c r="AE42" i="12"/>
  <c r="AQ42" i="12" s="1"/>
  <c r="AB37" i="12"/>
  <c r="AB36" i="12"/>
  <c r="AI36" i="12" s="1"/>
  <c r="AJ36" i="12" s="1"/>
  <c r="AC9" i="12"/>
  <c r="U166" i="12"/>
  <c r="AM166" i="12" s="1"/>
  <c r="AN166" i="12" s="1"/>
  <c r="AC135" i="12"/>
  <c r="AB82" i="12"/>
  <c r="AI82" i="12" s="1"/>
  <c r="AJ82" i="12" s="1"/>
  <c r="AE65" i="12"/>
  <c r="AQ65" i="12" s="1"/>
  <c r="AD42" i="12"/>
  <c r="AL42" i="12" s="1"/>
  <c r="V15" i="12"/>
  <c r="V140" i="12"/>
  <c r="AB95" i="12"/>
  <c r="AD77" i="12"/>
  <c r="AL77" i="12" s="1"/>
  <c r="AB65" i="12"/>
  <c r="AB43" i="12"/>
  <c r="AC42" i="12"/>
  <c r="U15" i="12"/>
  <c r="AM15" i="12" s="1"/>
  <c r="AC106" i="12"/>
  <c r="AE87" i="12"/>
  <c r="AQ87" i="12" s="1"/>
  <c r="AC66" i="12"/>
  <c r="AE55" i="12"/>
  <c r="AQ55" i="12" s="1"/>
  <c r="V53" i="12"/>
  <c r="AE44" i="12"/>
  <c r="AQ44" i="12" s="1"/>
  <c r="AH33" i="12"/>
  <c r="AC23" i="12"/>
  <c r="AC169" i="12"/>
  <c r="U104" i="12"/>
  <c r="AD87" i="12"/>
  <c r="AL87" i="12" s="1"/>
  <c r="V86" i="12"/>
  <c r="AE68" i="12"/>
  <c r="AQ68" i="12" s="1"/>
  <c r="AC54" i="12"/>
  <c r="AD44" i="12"/>
  <c r="AL44" i="12" s="1"/>
  <c r="AC40" i="12"/>
  <c r="AC35" i="12"/>
  <c r="AB34" i="12"/>
  <c r="U27" i="12"/>
  <c r="AM27" i="12" s="1"/>
  <c r="AN27" i="12" s="1"/>
  <c r="AB23" i="12"/>
  <c r="AH12" i="12"/>
  <c r="V241" i="12"/>
  <c r="AB66" i="12"/>
  <c r="AH56" i="12"/>
  <c r="V36" i="12"/>
  <c r="V130" i="12"/>
  <c r="AH88" i="12"/>
  <c r="AC87" i="12"/>
  <c r="U86" i="12"/>
  <c r="U82" i="12"/>
  <c r="AD68" i="12"/>
  <c r="AL68" i="12" s="1"/>
  <c r="AC67" i="12"/>
  <c r="AB55" i="12"/>
  <c r="AR55" i="12" s="1"/>
  <c r="AS55" i="12" s="1"/>
  <c r="AV55" i="12" s="1"/>
  <c r="AC44" i="12"/>
  <c r="U36" i="12"/>
  <c r="AB35" i="12"/>
  <c r="AE33" i="12"/>
  <c r="AQ33" i="12" s="1"/>
  <c r="AB162" i="12"/>
  <c r="U157" i="12"/>
  <c r="U138" i="12"/>
  <c r="AM138" i="12" s="1"/>
  <c r="AN138" i="12" s="1"/>
  <c r="U130" i="12"/>
  <c r="AM130" i="12" s="1"/>
  <c r="AN130" i="12" s="1"/>
  <c r="AB78" i="12"/>
  <c r="AB67" i="12"/>
  <c r="AR67" i="12" s="1"/>
  <c r="AS67" i="12" s="1"/>
  <c r="AV67" i="12" s="1"/>
  <c r="U65" i="12"/>
  <c r="AB44" i="12"/>
  <c r="AR44" i="12" s="1"/>
  <c r="AS44" i="12" s="1"/>
  <c r="AV44" i="12" s="1"/>
  <c r="V39" i="12"/>
  <c r="AC33" i="12"/>
  <c r="AG33" i="12" s="1"/>
  <c r="V136" i="12"/>
  <c r="V68" i="12"/>
  <c r="AM68" i="12" s="1"/>
  <c r="V33" i="12"/>
  <c r="AB31" i="12"/>
  <c r="AB25" i="12"/>
  <c r="AC22" i="12"/>
  <c r="AC176" i="12"/>
  <c r="AE101" i="12"/>
  <c r="AQ101" i="12" s="1"/>
  <c r="AB176" i="12"/>
  <c r="AI176" i="12" s="1"/>
  <c r="AJ176" i="12" s="1"/>
  <c r="AD101" i="12"/>
  <c r="AL101" i="12" s="1"/>
  <c r="AH59" i="12"/>
  <c r="AE52" i="12"/>
  <c r="AQ52" i="12" s="1"/>
  <c r="AH47" i="12"/>
  <c r="AC30" i="12"/>
  <c r="AB29" i="12"/>
  <c r="AH21" i="12"/>
  <c r="U12" i="12"/>
  <c r="AU12" i="12"/>
  <c r="U78" i="12"/>
  <c r="AU153" i="12"/>
  <c r="AE233" i="12"/>
  <c r="AQ233" i="12" s="1"/>
  <c r="H115" i="2"/>
  <c r="AB22" i="12"/>
  <c r="AC29" i="12"/>
  <c r="AB32" i="12"/>
  <c r="AC59" i="12"/>
  <c r="AY73" i="12"/>
  <c r="U75" i="12"/>
  <c r="B95" i="2"/>
  <c r="AU15" i="12"/>
  <c r="AB21" i="12"/>
  <c r="AU24" i="12"/>
  <c r="AU39" i="12"/>
  <c r="U42" i="12"/>
  <c r="AC64" i="12"/>
  <c r="AE88" i="12"/>
  <c r="AQ88" i="12" s="1"/>
  <c r="AC101" i="12"/>
  <c r="AH161" i="12"/>
  <c r="AC168" i="12"/>
  <c r="AU30" i="12"/>
  <c r="B12" i="35"/>
  <c r="H116" i="2"/>
  <c r="H174" i="2"/>
  <c r="AW98" i="12"/>
  <c r="AW36" i="12"/>
  <c r="AE12" i="12"/>
  <c r="AE92" i="12"/>
  <c r="AQ92" i="12" s="1"/>
  <c r="Q8" i="43"/>
  <c r="R8" i="43" s="1"/>
  <c r="E75" i="11" s="1"/>
  <c r="Q7" i="43"/>
  <c r="R7" i="43" s="1"/>
  <c r="E74" i="11" s="1"/>
  <c r="AW9" i="12"/>
  <c r="AE47" i="12"/>
  <c r="AB64" i="12"/>
  <c r="AC75" i="12"/>
  <c r="AD88" i="12"/>
  <c r="AL88" i="12" s="1"/>
  <c r="AW134" i="12"/>
  <c r="H35" i="17"/>
  <c r="H74" i="17" s="1"/>
  <c r="H35" i="2"/>
  <c r="H74" i="2" s="1"/>
  <c r="Q9" i="43"/>
  <c r="R9" i="43" s="1"/>
  <c r="E76" i="11" s="1"/>
  <c r="B134" i="17"/>
  <c r="AC20" i="12"/>
  <c r="AC21" i="12"/>
  <c r="V42" i="12"/>
  <c r="AW44" i="12"/>
  <c r="AW87" i="12"/>
  <c r="AU104" i="12"/>
  <c r="B55" i="2"/>
  <c r="AY61" i="12"/>
  <c r="AH61" i="12" s="1"/>
  <c r="W61" i="12"/>
  <c r="X61" i="12" s="1"/>
  <c r="Y61" i="12" s="1"/>
  <c r="Z61" i="12"/>
  <c r="B94" i="2"/>
  <c r="AU76" i="12"/>
  <c r="AB101" i="12"/>
  <c r="AW130" i="12"/>
  <c r="V132" i="12"/>
  <c r="B23" i="35" a="1"/>
  <c r="AU9" i="12"/>
  <c r="U61" i="12"/>
  <c r="U66" i="12"/>
  <c r="U74" i="12"/>
  <c r="AU241" i="12"/>
  <c r="H173" i="17"/>
  <c r="B95" i="17"/>
  <c r="H115" i="17"/>
  <c r="B55" i="17"/>
  <c r="AW33" i="12"/>
  <c r="AY55" i="12"/>
  <c r="AH55" i="12" s="1"/>
  <c r="W55" i="12"/>
  <c r="X55" i="12" s="1"/>
  <c r="Y55" i="12" s="1"/>
  <c r="V74" i="12"/>
  <c r="U77" i="12"/>
  <c r="AK77" i="12" s="1"/>
  <c r="Z79" i="12"/>
  <c r="AY79" i="12"/>
  <c r="AH79" i="12" s="1"/>
  <c r="AX102" i="12"/>
  <c r="AX103" i="12"/>
  <c r="AU229" i="12"/>
  <c r="C40" i="12"/>
  <c r="D43" i="12"/>
  <c r="AX93" i="12"/>
  <c r="AX94" i="12"/>
  <c r="D100" i="12"/>
  <c r="D105" i="12"/>
  <c r="AX108" i="12"/>
  <c r="AU120" i="12"/>
  <c r="AW146" i="12"/>
  <c r="AU69" i="12"/>
  <c r="AW86" i="12"/>
  <c r="AU101" i="12"/>
  <c r="AI124" i="12"/>
  <c r="AJ124" i="12" s="1"/>
  <c r="AI55" i="12"/>
  <c r="AJ55" i="12" s="1"/>
  <c r="AW122" i="12"/>
  <c r="AW190" i="12"/>
  <c r="B10" i="12"/>
  <c r="AO18" i="12"/>
  <c r="C60" i="12"/>
  <c r="AA76" i="12"/>
  <c r="Z76" i="12"/>
  <c r="D97" i="12"/>
  <c r="AU33" i="12"/>
  <c r="AW166" i="12"/>
  <c r="AU237" i="12"/>
  <c r="D10" i="12"/>
  <c r="C22" i="12"/>
  <c r="D25" i="12"/>
  <c r="AG68" i="12"/>
  <c r="AU68" i="12"/>
  <c r="AU92" i="12"/>
  <c r="AG92" i="12"/>
  <c r="AW110" i="12"/>
  <c r="AW128" i="12"/>
  <c r="AW169" i="12"/>
  <c r="B2" i="35"/>
  <c r="E27" i="11"/>
  <c r="H9" i="2"/>
  <c r="H49" i="2" s="1"/>
  <c r="E10" i="12"/>
  <c r="B16" i="12"/>
  <c r="D22" i="12"/>
  <c r="E25" i="12"/>
  <c r="Y27" i="12"/>
  <c r="AD27" i="12" s="1"/>
  <c r="AL27" i="12" s="1"/>
  <c r="AU47" i="12"/>
  <c r="AY64" i="12"/>
  <c r="AH64" i="12" s="1"/>
  <c r="W64" i="12"/>
  <c r="X64" i="12" s="1"/>
  <c r="Y64" i="12" s="1"/>
  <c r="AW78" i="12"/>
  <c r="AU87" i="12"/>
  <c r="E123" i="12"/>
  <c r="E121" i="12"/>
  <c r="D123" i="12"/>
  <c r="D121" i="12"/>
  <c r="B118" i="12"/>
  <c r="B99" i="12"/>
  <c r="E114" i="12"/>
  <c r="D114" i="12"/>
  <c r="D115" i="12" s="1"/>
  <c r="E111" i="12"/>
  <c r="C96" i="12"/>
  <c r="E126" i="12"/>
  <c r="C114" i="12"/>
  <c r="D111" i="12"/>
  <c r="B78" i="12"/>
  <c r="E108" i="12"/>
  <c r="C66" i="12"/>
  <c r="E54" i="12"/>
  <c r="AX114" i="12"/>
  <c r="D108" i="12"/>
  <c r="B66" i="12"/>
  <c r="D54" i="12"/>
  <c r="C108" i="12"/>
  <c r="AX99" i="12"/>
  <c r="B111" i="12"/>
  <c r="B96" i="12"/>
  <c r="E81" i="12"/>
  <c r="B69" i="12"/>
  <c r="B108" i="12"/>
  <c r="D81" i="12"/>
  <c r="E51" i="12"/>
  <c r="B43" i="12"/>
  <c r="E118" i="12"/>
  <c r="E99" i="12"/>
  <c r="E90" i="12"/>
  <c r="E84" i="12"/>
  <c r="C81" i="12"/>
  <c r="E72" i="12"/>
  <c r="D51" i="12"/>
  <c r="D118" i="12"/>
  <c r="C111" i="12"/>
  <c r="D99" i="12"/>
  <c r="D75" i="12"/>
  <c r="C57" i="12"/>
  <c r="B45" i="12"/>
  <c r="C99" i="12"/>
  <c r="C75" i="12"/>
  <c r="B57" i="12"/>
  <c r="D84" i="12"/>
  <c r="B75" i="12"/>
  <c r="E66" i="12"/>
  <c r="E102" i="12"/>
  <c r="C84" i="12"/>
  <c r="D72" i="12"/>
  <c r="D66" i="12"/>
  <c r="E37" i="12"/>
  <c r="E105" i="12"/>
  <c r="B102" i="12"/>
  <c r="E96" i="12"/>
  <c r="C90" i="12"/>
  <c r="C126" i="12"/>
  <c r="AX118" i="12"/>
  <c r="B93" i="12"/>
  <c r="B126" i="12"/>
  <c r="C123" i="12"/>
  <c r="C121" i="12"/>
  <c r="C102" i="12"/>
  <c r="AX90" i="12"/>
  <c r="B90" i="12"/>
  <c r="D78" i="12"/>
  <c r="C72" i="12"/>
  <c r="C78" i="12"/>
  <c r="B72" i="12"/>
  <c r="E60" i="12"/>
  <c r="B105" i="12"/>
  <c r="C105" i="12"/>
  <c r="E93" i="12"/>
  <c r="B60" i="12"/>
  <c r="E45" i="12"/>
  <c r="E28" i="12"/>
  <c r="C19" i="12"/>
  <c r="D13" i="12"/>
  <c r="D93" i="12"/>
  <c r="D45" i="12"/>
  <c r="D28" i="12"/>
  <c r="B19" i="12"/>
  <c r="C13" i="12"/>
  <c r="E48" i="12"/>
  <c r="B28" i="12"/>
  <c r="B48" i="12"/>
  <c r="D40" i="12"/>
  <c r="C31" i="12"/>
  <c r="D126" i="12"/>
  <c r="D37" i="12"/>
  <c r="C118" i="12"/>
  <c r="D69" i="12"/>
  <c r="C43" i="12"/>
  <c r="C37" i="12"/>
  <c r="E19" i="12"/>
  <c r="C69" i="12"/>
  <c r="C51" i="12"/>
  <c r="B37" i="12"/>
  <c r="B114" i="12"/>
  <c r="B81" i="12"/>
  <c r="B54" i="12"/>
  <c r="C25" i="12"/>
  <c r="B123" i="12"/>
  <c r="B121" i="12"/>
  <c r="E57" i="12"/>
  <c r="C16" i="12"/>
  <c r="E22" i="12"/>
  <c r="D31" i="12"/>
  <c r="B51" i="12"/>
  <c r="AU54" i="12"/>
  <c r="AR61" i="12"/>
  <c r="AS61" i="12" s="1"/>
  <c r="AV61" i="12" s="1"/>
  <c r="AU77" i="12"/>
  <c r="AU89" i="12"/>
  <c r="AU132" i="12"/>
  <c r="C112" i="12"/>
  <c r="B112" i="12"/>
  <c r="E109" i="12"/>
  <c r="D109" i="12"/>
  <c r="B94" i="12"/>
  <c r="C109" i="12"/>
  <c r="C100" i="12"/>
  <c r="E85" i="12"/>
  <c r="B100" i="12"/>
  <c r="D85" i="12"/>
  <c r="C85" i="12"/>
  <c r="E49" i="12"/>
  <c r="D41" i="12"/>
  <c r="D94" i="12"/>
  <c r="C94" i="12"/>
  <c r="E91" i="12"/>
  <c r="D91" i="12"/>
  <c r="D49" i="12"/>
  <c r="E94" i="12"/>
  <c r="AX91" i="12"/>
  <c r="C49" i="12"/>
  <c r="E46" i="12"/>
  <c r="E106" i="12"/>
  <c r="B49" i="12"/>
  <c r="D46" i="12"/>
  <c r="D106" i="12"/>
  <c r="C46" i="12"/>
  <c r="B85" i="12"/>
  <c r="E103" i="12"/>
  <c r="D103" i="12"/>
  <c r="D112" i="12"/>
  <c r="E38" i="12"/>
  <c r="E14" i="12"/>
  <c r="E100" i="12"/>
  <c r="D38" i="12"/>
  <c r="E20" i="12"/>
  <c r="D14" i="12"/>
  <c r="AX115" i="12"/>
  <c r="B38" i="12"/>
  <c r="C20" i="12"/>
  <c r="B14" i="12"/>
  <c r="C106" i="12"/>
  <c r="D29" i="12"/>
  <c r="E112" i="12"/>
  <c r="C103" i="12"/>
  <c r="B46" i="12"/>
  <c r="B109" i="12"/>
  <c r="B106" i="12"/>
  <c r="B17" i="12"/>
  <c r="B23" i="12"/>
  <c r="C29" i="12"/>
  <c r="C14" i="12"/>
  <c r="D16" i="12"/>
  <c r="E31" i="12"/>
  <c r="W31" i="12" s="1"/>
  <c r="AW56" i="12"/>
  <c r="AU65" i="12"/>
  <c r="AU82" i="12"/>
  <c r="AU117" i="12"/>
  <c r="E16" i="12"/>
  <c r="D19" i="12"/>
  <c r="B32" i="12"/>
  <c r="AU60" i="12"/>
  <c r="B63" i="12"/>
  <c r="AU72" i="12"/>
  <c r="E75" i="12"/>
  <c r="AP113" i="12"/>
  <c r="AX121" i="12"/>
  <c r="AI161" i="12"/>
  <c r="AJ161" i="12" s="1"/>
  <c r="AR161" i="12"/>
  <c r="AS161" i="12" s="1"/>
  <c r="AV161" i="12" s="1"/>
  <c r="Z55" i="12"/>
  <c r="AU128" i="12"/>
  <c r="AW160" i="12"/>
  <c r="AU203" i="12"/>
  <c r="AW68" i="12"/>
  <c r="AW77" i="12"/>
  <c r="AW119" i="12"/>
  <c r="AY67" i="12"/>
  <c r="W67" i="12"/>
  <c r="X67" i="12" s="1"/>
  <c r="Y67" i="12" s="1"/>
  <c r="AW148" i="12"/>
  <c r="AW152" i="12"/>
  <c r="AU179" i="12"/>
  <c r="AW179" i="12"/>
  <c r="AU52" i="12"/>
  <c r="AU122" i="12"/>
  <c r="AW124" i="12"/>
  <c r="AW129" i="12"/>
  <c r="AP129" i="12"/>
  <c r="AU140" i="12"/>
  <c r="AW145" i="12"/>
  <c r="AU199" i="12"/>
  <c r="AW140" i="12"/>
  <c r="AU155" i="12"/>
  <c r="AU152" i="12"/>
  <c r="AO21" i="12"/>
  <c r="W52" i="12"/>
  <c r="X52" i="12" s="1"/>
  <c r="Y52" i="12" s="1"/>
  <c r="AY52" i="12"/>
  <c r="AH52" i="12" s="1"/>
  <c r="AW52" i="12"/>
  <c r="AI62" i="12"/>
  <c r="AJ62" i="12" s="1"/>
  <c r="AA70" i="12"/>
  <c r="AE70" i="12" s="1"/>
  <c r="AQ70" i="12" s="1"/>
  <c r="Z70" i="12"/>
  <c r="AY70" i="12"/>
  <c r="AH70" i="12" s="1"/>
  <c r="AW192" i="12"/>
  <c r="AU36" i="12"/>
  <c r="AA58" i="12"/>
  <c r="AE58" i="12" s="1"/>
  <c r="AQ58" i="12" s="1"/>
  <c r="AY58" i="12"/>
  <c r="Z58" i="12"/>
  <c r="W58" i="12"/>
  <c r="X58" i="12" s="1"/>
  <c r="Y58" i="12" s="1"/>
  <c r="AW89" i="12"/>
  <c r="AW206" i="12"/>
  <c r="AX105" i="12"/>
  <c r="AX106" i="12"/>
  <c r="AU50" i="12"/>
  <c r="W70" i="12"/>
  <c r="X70" i="12" s="1"/>
  <c r="Y70" i="12" s="1"/>
  <c r="AI135" i="12"/>
  <c r="AJ135" i="12" s="1"/>
  <c r="AR135" i="12"/>
  <c r="AS135" i="12" s="1"/>
  <c r="AV135" i="12" s="1"/>
  <c r="AO24" i="12"/>
  <c r="AA73" i="12"/>
  <c r="AE73" i="12" s="1"/>
  <c r="AQ73" i="12" s="1"/>
  <c r="Z73" i="12"/>
  <c r="V73" i="12" s="1"/>
  <c r="AX123" i="12"/>
  <c r="AU134" i="12"/>
  <c r="AX126" i="12"/>
  <c r="AU159" i="12"/>
  <c r="AW165" i="12"/>
  <c r="AW88" i="12"/>
  <c r="AW175" i="12"/>
  <c r="AW194" i="12"/>
  <c r="AG74" i="12"/>
  <c r="AW83" i="12"/>
  <c r="AW143" i="12"/>
  <c r="AU130" i="12"/>
  <c r="Q135" i="12"/>
  <c r="R135" i="12" s="1"/>
  <c r="S135" i="12" s="1"/>
  <c r="T135" i="12" s="1"/>
  <c r="AU146" i="12"/>
  <c r="AW149" i="12"/>
  <c r="AW178" i="12"/>
  <c r="AX109" i="12"/>
  <c r="AW117" i="12"/>
  <c r="AU125" i="12"/>
  <c r="AP132" i="12"/>
  <c r="Q133" i="12"/>
  <c r="R133" i="12" s="1"/>
  <c r="S133" i="12" s="1"/>
  <c r="T133" i="12" s="1"/>
  <c r="Q134" i="12"/>
  <c r="R134" i="12" s="1"/>
  <c r="S134" i="12" s="1"/>
  <c r="T134" i="12" s="1"/>
  <c r="AK153" i="12"/>
  <c r="AW170" i="12"/>
  <c r="AU169" i="12"/>
  <c r="Q77" i="12"/>
  <c r="R77" i="12" s="1"/>
  <c r="S77" i="12" s="1"/>
  <c r="T77" i="12" s="1"/>
  <c r="AI131" i="12"/>
  <c r="AJ131" i="12" s="1"/>
  <c r="AP131" i="12"/>
  <c r="Q158" i="12"/>
  <c r="R158" i="12" s="1"/>
  <c r="S158" i="12" s="1"/>
  <c r="T158" i="12" s="1"/>
  <c r="AW159" i="12"/>
  <c r="AU195" i="12"/>
  <c r="AU202" i="12"/>
  <c r="AW223" i="12"/>
  <c r="AU232" i="12"/>
  <c r="AM374" i="12"/>
  <c r="AK374" i="12"/>
  <c r="AM226" i="12"/>
  <c r="AM223" i="12"/>
  <c r="AN223" i="12" s="1"/>
  <c r="AM240" i="12"/>
  <c r="AN240" i="12" s="1"/>
  <c r="AK216" i="12"/>
  <c r="AM238" i="12"/>
  <c r="AN238" i="12" s="1"/>
  <c r="AK183" i="12"/>
  <c r="AK151" i="12"/>
  <c r="AK186" i="12"/>
  <c r="AM204" i="12"/>
  <c r="AN204" i="12" s="1"/>
  <c r="AK122" i="12"/>
  <c r="AM158" i="12"/>
  <c r="AN158" i="12" s="1"/>
  <c r="Q24" i="12"/>
  <c r="R24" i="12" s="1"/>
  <c r="S24" i="12" s="1"/>
  <c r="T24" i="12" s="1"/>
  <c r="Q52" i="12"/>
  <c r="R52" i="12" s="1"/>
  <c r="S52" i="12" s="1"/>
  <c r="T52" i="12" s="1"/>
  <c r="AK59" i="12"/>
  <c r="AM183" i="12"/>
  <c r="AN183" i="12" s="1"/>
  <c r="Q235" i="12"/>
  <c r="R235" i="12" s="1"/>
  <c r="S235" i="12" s="1"/>
  <c r="T235" i="12" s="1"/>
  <c r="Q213" i="12"/>
  <c r="R213" i="12" s="1"/>
  <c r="S213" i="12" s="1"/>
  <c r="T213" i="12" s="1"/>
  <c r="Q191" i="12"/>
  <c r="R191" i="12" s="1"/>
  <c r="S191" i="12" s="1"/>
  <c r="T191" i="12" s="1"/>
  <c r="Q232" i="12"/>
  <c r="R232" i="12" s="1"/>
  <c r="S232" i="12" s="1"/>
  <c r="T232" i="12" s="1"/>
  <c r="Q210" i="12"/>
  <c r="R210" i="12" s="1"/>
  <c r="S210" i="12" s="1"/>
  <c r="T210" i="12" s="1"/>
  <c r="Q188" i="12"/>
  <c r="R188" i="12" s="1"/>
  <c r="S188" i="12" s="1"/>
  <c r="T188" i="12" s="1"/>
  <c r="Q241" i="12"/>
  <c r="R241" i="12" s="1"/>
  <c r="S241" i="12" s="1"/>
  <c r="T241" i="12" s="1"/>
  <c r="Q219" i="12"/>
  <c r="R219" i="12" s="1"/>
  <c r="S219" i="12" s="1"/>
  <c r="T219" i="12" s="1"/>
  <c r="Q197" i="12"/>
  <c r="R197" i="12" s="1"/>
  <c r="S197" i="12" s="1"/>
  <c r="T197" i="12" s="1"/>
  <c r="Q237" i="12"/>
  <c r="R237" i="12" s="1"/>
  <c r="S237" i="12" s="1"/>
  <c r="T237" i="12" s="1"/>
  <c r="Q215" i="12"/>
  <c r="R215" i="12" s="1"/>
  <c r="S215" i="12" s="1"/>
  <c r="T215" i="12" s="1"/>
  <c r="Q193" i="12"/>
  <c r="R193" i="12" s="1"/>
  <c r="S193" i="12" s="1"/>
  <c r="T193" i="12" s="1"/>
  <c r="Q224" i="12"/>
  <c r="R224" i="12" s="1"/>
  <c r="S224" i="12" s="1"/>
  <c r="T224" i="12" s="1"/>
  <c r="Q202" i="12"/>
  <c r="R202" i="12" s="1"/>
  <c r="S202" i="12" s="1"/>
  <c r="T202" i="12" s="1"/>
  <c r="Q242" i="12"/>
  <c r="R242" i="12" s="1"/>
  <c r="S242" i="12" s="1"/>
  <c r="T242" i="12" s="1"/>
  <c r="Q220" i="12"/>
  <c r="R220" i="12" s="1"/>
  <c r="S220" i="12" s="1"/>
  <c r="T220" i="12" s="1"/>
  <c r="Q198" i="12"/>
  <c r="R198" i="12" s="1"/>
  <c r="S198" i="12" s="1"/>
  <c r="T198" i="12" s="1"/>
  <c r="Q229" i="12"/>
  <c r="R229" i="12" s="1"/>
  <c r="S229" i="12" s="1"/>
  <c r="T229" i="12" s="1"/>
  <c r="Q207" i="12"/>
  <c r="R207" i="12" s="1"/>
  <c r="S207" i="12" s="1"/>
  <c r="T207" i="12" s="1"/>
  <c r="Q234" i="12"/>
  <c r="R234" i="12" s="1"/>
  <c r="S234" i="12" s="1"/>
  <c r="T234" i="12" s="1"/>
  <c r="Q228" i="12"/>
  <c r="R228" i="12" s="1"/>
  <c r="S228" i="12" s="1"/>
  <c r="T228" i="12" s="1"/>
  <c r="Q208" i="12"/>
  <c r="R208" i="12" s="1"/>
  <c r="S208" i="12" s="1"/>
  <c r="T208" i="12" s="1"/>
  <c r="Q225" i="12"/>
  <c r="R225" i="12" s="1"/>
  <c r="S225" i="12" s="1"/>
  <c r="T225" i="12" s="1"/>
  <c r="Q233" i="12"/>
  <c r="R233" i="12" s="1"/>
  <c r="S233" i="12" s="1"/>
  <c r="T233" i="12" s="1"/>
  <c r="Q239" i="12"/>
  <c r="R239" i="12" s="1"/>
  <c r="S239" i="12" s="1"/>
  <c r="T239" i="12" s="1"/>
  <c r="Q227" i="12"/>
  <c r="R227" i="12" s="1"/>
  <c r="S227" i="12" s="1"/>
  <c r="T227" i="12" s="1"/>
  <c r="Q221" i="12"/>
  <c r="R221" i="12" s="1"/>
  <c r="S221" i="12" s="1"/>
  <c r="T221" i="12" s="1"/>
  <c r="Q218" i="12"/>
  <c r="R218" i="12" s="1"/>
  <c r="S218" i="12" s="1"/>
  <c r="T218" i="12" s="1"/>
  <c r="Q238" i="12"/>
  <c r="R238" i="12" s="1"/>
  <c r="S238" i="12" s="1"/>
  <c r="T238" i="12" s="1"/>
  <c r="Q186" i="12"/>
  <c r="R186" i="12" s="1"/>
  <c r="S186" i="12" s="1"/>
  <c r="T186" i="12" s="1"/>
  <c r="Q167" i="12"/>
  <c r="R167" i="12" s="1"/>
  <c r="S167" i="12" s="1"/>
  <c r="T167" i="12" s="1"/>
  <c r="Q209" i="12"/>
  <c r="R209" i="12" s="1"/>
  <c r="S209" i="12" s="1"/>
  <c r="T209" i="12" s="1"/>
  <c r="Q240" i="12"/>
  <c r="R240" i="12" s="1"/>
  <c r="S240" i="12" s="1"/>
  <c r="T240" i="12" s="1"/>
  <c r="Q189" i="12"/>
  <c r="R189" i="12" s="1"/>
  <c r="S189" i="12" s="1"/>
  <c r="T189" i="12" s="1"/>
  <c r="Q187" i="12"/>
  <c r="R187" i="12" s="1"/>
  <c r="S187" i="12" s="1"/>
  <c r="T187" i="12" s="1"/>
  <c r="Q185" i="12"/>
  <c r="R185" i="12" s="1"/>
  <c r="S185" i="12" s="1"/>
  <c r="T185" i="12" s="1"/>
  <c r="Q176" i="12"/>
  <c r="R176" i="12" s="1"/>
  <c r="S176" i="12" s="1"/>
  <c r="T176" i="12" s="1"/>
  <c r="Q169" i="12"/>
  <c r="R169" i="12" s="1"/>
  <c r="S169" i="12" s="1"/>
  <c r="T169" i="12" s="1"/>
  <c r="Q203" i="12"/>
  <c r="R203" i="12" s="1"/>
  <c r="S203" i="12" s="1"/>
  <c r="T203" i="12" s="1"/>
  <c r="Q183" i="12"/>
  <c r="R183" i="12" s="1"/>
  <c r="S183" i="12" s="1"/>
  <c r="T183" i="12" s="1"/>
  <c r="Q199" i="12"/>
  <c r="R199" i="12" s="1"/>
  <c r="S199" i="12" s="1"/>
  <c r="T199" i="12" s="1"/>
  <c r="Q166" i="12"/>
  <c r="R166" i="12" s="1"/>
  <c r="S166" i="12" s="1"/>
  <c r="T166" i="12" s="1"/>
  <c r="Q180" i="12"/>
  <c r="R180" i="12" s="1"/>
  <c r="S180" i="12" s="1"/>
  <c r="T180" i="12" s="1"/>
  <c r="Q173" i="12"/>
  <c r="R173" i="12" s="1"/>
  <c r="S173" i="12" s="1"/>
  <c r="T173" i="12" s="1"/>
  <c r="Q231" i="12"/>
  <c r="R231" i="12" s="1"/>
  <c r="S231" i="12" s="1"/>
  <c r="T231" i="12" s="1"/>
  <c r="Q230" i="12"/>
  <c r="R230" i="12" s="1"/>
  <c r="S230" i="12" s="1"/>
  <c r="T230" i="12" s="1"/>
  <c r="Q223" i="12"/>
  <c r="R223" i="12" s="1"/>
  <c r="S223" i="12" s="1"/>
  <c r="T223" i="12" s="1"/>
  <c r="Q205" i="12"/>
  <c r="R205" i="12" s="1"/>
  <c r="S205" i="12" s="1"/>
  <c r="T205" i="12" s="1"/>
  <c r="Q222" i="12"/>
  <c r="R222" i="12" s="1"/>
  <c r="S222" i="12" s="1"/>
  <c r="T222" i="12" s="1"/>
  <c r="Q217" i="12"/>
  <c r="R217" i="12" s="1"/>
  <c r="S217" i="12" s="1"/>
  <c r="T217" i="12" s="1"/>
  <c r="Q206" i="12"/>
  <c r="R206" i="12" s="1"/>
  <c r="S206" i="12" s="1"/>
  <c r="T206" i="12" s="1"/>
  <c r="Q192" i="12"/>
  <c r="R192" i="12" s="1"/>
  <c r="S192" i="12" s="1"/>
  <c r="T192" i="12" s="1"/>
  <c r="Q155" i="12"/>
  <c r="R155" i="12" s="1"/>
  <c r="S155" i="12" s="1"/>
  <c r="T155" i="12" s="1"/>
  <c r="Q147" i="12"/>
  <c r="R147" i="12" s="1"/>
  <c r="S147" i="12" s="1"/>
  <c r="T147" i="12" s="1"/>
  <c r="Q236" i="12"/>
  <c r="R236" i="12" s="1"/>
  <c r="S236" i="12" s="1"/>
  <c r="T236" i="12" s="1"/>
  <c r="Q212" i="12"/>
  <c r="R212" i="12" s="1"/>
  <c r="S212" i="12" s="1"/>
  <c r="T212" i="12" s="1"/>
  <c r="Q127" i="12"/>
  <c r="R127" i="12" s="1"/>
  <c r="S127" i="12" s="1"/>
  <c r="T127" i="12" s="1"/>
  <c r="Q125" i="12"/>
  <c r="R125" i="12" s="1"/>
  <c r="S125" i="12" s="1"/>
  <c r="T125" i="12" s="1"/>
  <c r="Q214" i="12"/>
  <c r="R214" i="12" s="1"/>
  <c r="S214" i="12" s="1"/>
  <c r="T214" i="12" s="1"/>
  <c r="Q168" i="12"/>
  <c r="R168" i="12" s="1"/>
  <c r="S168" i="12" s="1"/>
  <c r="T168" i="12" s="1"/>
  <c r="Q139" i="12"/>
  <c r="R139" i="12" s="1"/>
  <c r="S139" i="12" s="1"/>
  <c r="T139" i="12" s="1"/>
  <c r="Q136" i="12"/>
  <c r="R136" i="12" s="1"/>
  <c r="S136" i="12" s="1"/>
  <c r="T136" i="12" s="1"/>
  <c r="Q216" i="12"/>
  <c r="R216" i="12" s="1"/>
  <c r="S216" i="12" s="1"/>
  <c r="T216" i="12" s="1"/>
  <c r="Q195" i="12"/>
  <c r="R195" i="12" s="1"/>
  <c r="S195" i="12" s="1"/>
  <c r="T195" i="12" s="1"/>
  <c r="Q142" i="12"/>
  <c r="R142" i="12" s="1"/>
  <c r="S142" i="12" s="1"/>
  <c r="T142" i="12" s="1"/>
  <c r="Q132" i="12"/>
  <c r="R132" i="12" s="1"/>
  <c r="S132" i="12" s="1"/>
  <c r="T132" i="12" s="1"/>
  <c r="Q204" i="12"/>
  <c r="R204" i="12" s="1"/>
  <c r="S204" i="12" s="1"/>
  <c r="T204" i="12" s="1"/>
  <c r="Q178" i="12"/>
  <c r="R178" i="12" s="1"/>
  <c r="S178" i="12" s="1"/>
  <c r="T178" i="12" s="1"/>
  <c r="Q164" i="12"/>
  <c r="R164" i="12" s="1"/>
  <c r="S164" i="12" s="1"/>
  <c r="T164" i="12" s="1"/>
  <c r="Q154" i="12"/>
  <c r="R154" i="12" s="1"/>
  <c r="S154" i="12" s="1"/>
  <c r="T154" i="12" s="1"/>
  <c r="Q149" i="12"/>
  <c r="R149" i="12" s="1"/>
  <c r="S149" i="12" s="1"/>
  <c r="T149" i="12" s="1"/>
  <c r="Q181" i="12"/>
  <c r="R181" i="12" s="1"/>
  <c r="S181" i="12" s="1"/>
  <c r="T181" i="12" s="1"/>
  <c r="Q175" i="12"/>
  <c r="R175" i="12" s="1"/>
  <c r="S175" i="12" s="1"/>
  <c r="T175" i="12" s="1"/>
  <c r="Q201" i="12"/>
  <c r="R201" i="12" s="1"/>
  <c r="S201" i="12" s="1"/>
  <c r="T201" i="12" s="1"/>
  <c r="Q182" i="12"/>
  <c r="R182" i="12" s="1"/>
  <c r="S182" i="12" s="1"/>
  <c r="T182" i="12" s="1"/>
  <c r="Q116" i="12"/>
  <c r="R116" i="12" s="1"/>
  <c r="S116" i="12" s="1"/>
  <c r="T116" i="12" s="1"/>
  <c r="Q157" i="12"/>
  <c r="R157" i="12" s="1"/>
  <c r="S157" i="12" s="1"/>
  <c r="T157" i="12" s="1"/>
  <c r="Q153" i="12"/>
  <c r="R153" i="12" s="1"/>
  <c r="S153" i="12" s="1"/>
  <c r="T153" i="12" s="1"/>
  <c r="Q129" i="12"/>
  <c r="R129" i="12" s="1"/>
  <c r="S129" i="12" s="1"/>
  <c r="T129" i="12" s="1"/>
  <c r="Q104" i="12"/>
  <c r="R104" i="12" s="1"/>
  <c r="S104" i="12" s="1"/>
  <c r="T104" i="12" s="1"/>
  <c r="Q152" i="12"/>
  <c r="R152" i="12" s="1"/>
  <c r="S152" i="12" s="1"/>
  <c r="T152" i="12" s="1"/>
  <c r="Q141" i="12"/>
  <c r="R141" i="12" s="1"/>
  <c r="S141" i="12" s="1"/>
  <c r="T141" i="12" s="1"/>
  <c r="Q165" i="12"/>
  <c r="R165" i="12" s="1"/>
  <c r="S165" i="12" s="1"/>
  <c r="T165" i="12" s="1"/>
  <c r="Q160" i="12"/>
  <c r="R160" i="12" s="1"/>
  <c r="S160" i="12" s="1"/>
  <c r="T160" i="12" s="1"/>
  <c r="Q190" i="12"/>
  <c r="R190" i="12" s="1"/>
  <c r="S190" i="12" s="1"/>
  <c r="T190" i="12" s="1"/>
  <c r="Q172" i="12"/>
  <c r="R172" i="12" s="1"/>
  <c r="S172" i="12" s="1"/>
  <c r="T172" i="12" s="1"/>
  <c r="Q128" i="12"/>
  <c r="R128" i="12" s="1"/>
  <c r="S128" i="12" s="1"/>
  <c r="T128" i="12" s="1"/>
  <c r="Q196" i="12"/>
  <c r="R196" i="12" s="1"/>
  <c r="S196" i="12" s="1"/>
  <c r="T196" i="12" s="1"/>
  <c r="Q174" i="12"/>
  <c r="R174" i="12" s="1"/>
  <c r="S174" i="12" s="1"/>
  <c r="T174" i="12" s="1"/>
  <c r="Q211" i="12"/>
  <c r="R211" i="12" s="1"/>
  <c r="S211" i="12" s="1"/>
  <c r="T211" i="12" s="1"/>
  <c r="Q148" i="12"/>
  <c r="R148" i="12" s="1"/>
  <c r="S148" i="12" s="1"/>
  <c r="T148" i="12" s="1"/>
  <c r="Q119" i="12"/>
  <c r="R119" i="12" s="1"/>
  <c r="S119" i="12" s="1"/>
  <c r="T119" i="12" s="1"/>
  <c r="Q117" i="12"/>
  <c r="R117" i="12" s="1"/>
  <c r="S117" i="12" s="1"/>
  <c r="T117" i="12" s="1"/>
  <c r="Q75" i="12"/>
  <c r="R75" i="12" s="1"/>
  <c r="S75" i="12" s="1"/>
  <c r="T75" i="12" s="1"/>
  <c r="Q170" i="12"/>
  <c r="R170" i="12" s="1"/>
  <c r="S170" i="12" s="1"/>
  <c r="T170" i="12" s="1"/>
  <c r="Q122" i="12"/>
  <c r="R122" i="12" s="1"/>
  <c r="S122" i="12" s="1"/>
  <c r="T122" i="12" s="1"/>
  <c r="Q101" i="12"/>
  <c r="R101" i="12" s="1"/>
  <c r="S101" i="12" s="1"/>
  <c r="T101" i="12" s="1"/>
  <c r="Q87" i="12"/>
  <c r="R87" i="12" s="1"/>
  <c r="S87" i="12" s="1"/>
  <c r="T87" i="12" s="1"/>
  <c r="Q131" i="12"/>
  <c r="R131" i="12" s="1"/>
  <c r="S131" i="12" s="1"/>
  <c r="T131" i="12" s="1"/>
  <c r="Q92" i="12"/>
  <c r="R92" i="12" s="1"/>
  <c r="S92" i="12" s="1"/>
  <c r="T92" i="12" s="1"/>
  <c r="Q71" i="12"/>
  <c r="R71" i="12" s="1"/>
  <c r="S71" i="12" s="1"/>
  <c r="T71" i="12" s="1"/>
  <c r="Q63" i="12"/>
  <c r="R63" i="12" s="1"/>
  <c r="S63" i="12" s="1"/>
  <c r="T63" i="12" s="1"/>
  <c r="Q55" i="12"/>
  <c r="R55" i="12" s="1"/>
  <c r="S55" i="12" s="1"/>
  <c r="T55" i="12" s="1"/>
  <c r="Q200" i="12"/>
  <c r="R200" i="12" s="1"/>
  <c r="S200" i="12" s="1"/>
  <c r="T200" i="12" s="1"/>
  <c r="Q137" i="12"/>
  <c r="R137" i="12" s="1"/>
  <c r="S137" i="12" s="1"/>
  <c r="T137" i="12" s="1"/>
  <c r="Q179" i="12"/>
  <c r="R179" i="12" s="1"/>
  <c r="S179" i="12" s="1"/>
  <c r="T179" i="12" s="1"/>
  <c r="Q226" i="12"/>
  <c r="R226" i="12" s="1"/>
  <c r="S226" i="12" s="1"/>
  <c r="T226" i="12" s="1"/>
  <c r="Q161" i="12"/>
  <c r="R161" i="12" s="1"/>
  <c r="S161" i="12" s="1"/>
  <c r="T161" i="12" s="1"/>
  <c r="Q124" i="12"/>
  <c r="R124" i="12" s="1"/>
  <c r="S124" i="12" s="1"/>
  <c r="T124" i="12" s="1"/>
  <c r="Q67" i="12"/>
  <c r="R67" i="12" s="1"/>
  <c r="S67" i="12" s="1"/>
  <c r="T67" i="12" s="1"/>
  <c r="Q162" i="12"/>
  <c r="R162" i="12" s="1"/>
  <c r="S162" i="12" s="1"/>
  <c r="T162" i="12" s="1"/>
  <c r="Q130" i="12"/>
  <c r="R130" i="12" s="1"/>
  <c r="S130" i="12" s="1"/>
  <c r="T130" i="12" s="1"/>
  <c r="Q74" i="12"/>
  <c r="R74" i="12" s="1"/>
  <c r="S74" i="12" s="1"/>
  <c r="T74" i="12" s="1"/>
  <c r="Q70" i="12"/>
  <c r="R70" i="12" s="1"/>
  <c r="S70" i="12" s="1"/>
  <c r="T70" i="12" s="1"/>
  <c r="Q54" i="12"/>
  <c r="R54" i="12" s="1"/>
  <c r="S54" i="12" s="1"/>
  <c r="T54" i="12" s="1"/>
  <c r="Q47" i="12"/>
  <c r="R47" i="12" s="1"/>
  <c r="S47" i="12" s="1"/>
  <c r="T47" i="12" s="1"/>
  <c r="Q159" i="12"/>
  <c r="R159" i="12" s="1"/>
  <c r="S159" i="12" s="1"/>
  <c r="T159" i="12" s="1"/>
  <c r="Q79" i="12"/>
  <c r="R79" i="12" s="1"/>
  <c r="S79" i="12" s="1"/>
  <c r="T79" i="12" s="1"/>
  <c r="Q110" i="12"/>
  <c r="R110" i="12" s="1"/>
  <c r="S110" i="12" s="1"/>
  <c r="T110" i="12" s="1"/>
  <c r="AW171" i="12"/>
  <c r="AU176" i="12"/>
  <c r="AW186" i="12"/>
  <c r="Q61" i="12"/>
  <c r="R61" i="12" s="1"/>
  <c r="S61" i="12" s="1"/>
  <c r="T61" i="12" s="1"/>
  <c r="Q72" i="12"/>
  <c r="R72" i="12" s="1"/>
  <c r="S72" i="12" s="1"/>
  <c r="T72" i="12" s="1"/>
  <c r="Q88" i="12"/>
  <c r="R88" i="12" s="1"/>
  <c r="S88" i="12" s="1"/>
  <c r="T88" i="12" s="1"/>
  <c r="AU148" i="12"/>
  <c r="AI154" i="12"/>
  <c r="AJ154" i="12" s="1"/>
  <c r="AR154" i="12"/>
  <c r="AS154" i="12" s="1"/>
  <c r="AV154" i="12" s="1"/>
  <c r="AW164" i="12"/>
  <c r="AU198" i="12"/>
  <c r="AI142" i="12"/>
  <c r="AJ142" i="12" s="1"/>
  <c r="AR142" i="12"/>
  <c r="AS142" i="12" s="1"/>
  <c r="AV142" i="12" s="1"/>
  <c r="AW176" i="12"/>
  <c r="AX112" i="12"/>
  <c r="AX111" i="12"/>
  <c r="AW136" i="12"/>
  <c r="AP154" i="12"/>
  <c r="AU193" i="12"/>
  <c r="AI183" i="12"/>
  <c r="AJ183" i="12" s="1"/>
  <c r="AU189" i="12"/>
  <c r="AW101" i="12"/>
  <c r="AU160" i="12"/>
  <c r="AU171" i="12"/>
  <c r="AU185" i="12"/>
  <c r="AU168" i="12"/>
  <c r="AW185" i="12"/>
  <c r="AW168" i="12"/>
  <c r="AW157" i="12"/>
  <c r="AW183" i="12"/>
  <c r="AW235" i="12"/>
  <c r="AI107" i="12"/>
  <c r="AJ107" i="12" s="1"/>
  <c r="AG135" i="12"/>
  <c r="AU182" i="12"/>
  <c r="AR230" i="12"/>
  <c r="AS230" i="12" s="1"/>
  <c r="AV230" i="12" s="1"/>
  <c r="AW200" i="12"/>
  <c r="AU242" i="12"/>
  <c r="AW199" i="12"/>
  <c r="AW217" i="12"/>
  <c r="AP182" i="12"/>
  <c r="AU137" i="12"/>
  <c r="AU170" i="12"/>
  <c r="AW193" i="12"/>
  <c r="AR163" i="12"/>
  <c r="AS163" i="12" s="1"/>
  <c r="AV163" i="12" s="1"/>
  <c r="AU172" i="12"/>
  <c r="AW177" i="12"/>
  <c r="AU181" i="12"/>
  <c r="AW208" i="12"/>
  <c r="AU197" i="12"/>
  <c r="AW203" i="12"/>
  <c r="AW231" i="12"/>
  <c r="AW237" i="12"/>
  <c r="AW225" i="12"/>
  <c r="AR177" i="12"/>
  <c r="AS177" i="12" s="1"/>
  <c r="AV177" i="12" s="1"/>
  <c r="AW239" i="12"/>
  <c r="AR159" i="12"/>
  <c r="AS159" i="12" s="1"/>
  <c r="AV159" i="12" s="1"/>
  <c r="AR189" i="12"/>
  <c r="AS189" i="12" s="1"/>
  <c r="AV189" i="12" s="1"/>
  <c r="AI189" i="12"/>
  <c r="AJ189" i="12" s="1"/>
  <c r="AU209" i="12"/>
  <c r="AU218" i="12"/>
  <c r="AU236" i="12"/>
  <c r="AW238" i="12"/>
  <c r="AU163" i="12"/>
  <c r="AW180" i="12"/>
  <c r="AW196" i="12"/>
  <c r="AW222" i="12"/>
  <c r="AU230" i="12"/>
  <c r="AI233" i="12"/>
  <c r="AJ233" i="12" s="1"/>
  <c r="AW209" i="12"/>
  <c r="AW228" i="12"/>
  <c r="AR229" i="12"/>
  <c r="AS229" i="12" s="1"/>
  <c r="AV229" i="12" s="1"/>
  <c r="AU235" i="12"/>
  <c r="AU233" i="12"/>
  <c r="AU225" i="12"/>
  <c r="AU238" i="12"/>
  <c r="AW204" i="12"/>
  <c r="AU219" i="12"/>
  <c r="AW220" i="12"/>
  <c r="AW221" i="12"/>
  <c r="AW240" i="12"/>
  <c r="AW212" i="12"/>
  <c r="AW215" i="12"/>
  <c r="AW234" i="12"/>
  <c r="AI238" i="12"/>
  <c r="AJ238" i="12" s="1"/>
  <c r="AU231" i="12"/>
  <c r="AR233" i="12"/>
  <c r="AS233" i="12" s="1"/>
  <c r="AV233" i="12" s="1"/>
  <c r="AM191" i="12" l="1"/>
  <c r="AI196" i="12"/>
  <c r="AJ196" i="12" s="1"/>
  <c r="AK180" i="12"/>
  <c r="AK207" i="12"/>
  <c r="W35" i="12"/>
  <c r="AR131" i="12"/>
  <c r="AS131" i="12" s="1"/>
  <c r="AV131" i="12" s="1"/>
  <c r="AD79" i="12"/>
  <c r="AL79" i="12" s="1"/>
  <c r="AK131" i="12"/>
  <c r="AG183" i="12"/>
  <c r="AM181" i="12"/>
  <c r="AP204" i="12"/>
  <c r="AM9" i="12"/>
  <c r="V30" i="12"/>
  <c r="AP200" i="12"/>
  <c r="AH67" i="12"/>
  <c r="H41" i="12"/>
  <c r="AM157" i="12"/>
  <c r="AD64" i="12"/>
  <c r="AL64" i="12" s="1"/>
  <c r="AK233" i="12"/>
  <c r="AK218" i="12"/>
  <c r="AR240" i="12"/>
  <c r="AS240" i="12" s="1"/>
  <c r="AV240" i="12" s="1"/>
  <c r="AI232" i="12"/>
  <c r="AJ232" i="12" s="1"/>
  <c r="AI110" i="12"/>
  <c r="AJ110" i="12" s="1"/>
  <c r="AG61" i="12"/>
  <c r="AD82" i="12"/>
  <c r="AL82" i="12" s="1"/>
  <c r="AY20" i="12"/>
  <c r="AK107" i="12"/>
  <c r="AP136" i="12"/>
  <c r="AP212" i="12"/>
  <c r="AM163" i="12"/>
  <c r="AM189" i="12"/>
  <c r="AP122" i="12"/>
  <c r="AG147" i="12"/>
  <c r="AG173" i="12"/>
  <c r="AK149" i="12"/>
  <c r="AG139" i="12"/>
  <c r="AP242" i="12"/>
  <c r="AP237" i="12"/>
  <c r="AP231" i="12"/>
  <c r="F35" i="12"/>
  <c r="AA26" i="12"/>
  <c r="AE26" i="12" s="1"/>
  <c r="AR128" i="12"/>
  <c r="AS128" i="12" s="1"/>
  <c r="AV128" i="12" s="1"/>
  <c r="AP192" i="12"/>
  <c r="AP222" i="12"/>
  <c r="AP149" i="12"/>
  <c r="AI61" i="12"/>
  <c r="AJ61" i="12" s="1"/>
  <c r="AI192" i="12"/>
  <c r="AJ192" i="12" s="1"/>
  <c r="AP110" i="12"/>
  <c r="AK197" i="12"/>
  <c r="AP147" i="12"/>
  <c r="AG56" i="12"/>
  <c r="AM113" i="12"/>
  <c r="AM192" i="12"/>
  <c r="AG171" i="12"/>
  <c r="AP195" i="12"/>
  <c r="Z35" i="12"/>
  <c r="AY29" i="12"/>
  <c r="AG163" i="12"/>
  <c r="AI147" i="12"/>
  <c r="AJ147" i="12" s="1"/>
  <c r="V83" i="12"/>
  <c r="AM83" i="12" s="1"/>
  <c r="AK154" i="12"/>
  <c r="AM92" i="12"/>
  <c r="AG98" i="12"/>
  <c r="AP196" i="12"/>
  <c r="AP219" i="12"/>
  <c r="AK242" i="12"/>
  <c r="AD21" i="12"/>
  <c r="AL21" i="12" s="1"/>
  <c r="AK165" i="12"/>
  <c r="AR79" i="12"/>
  <c r="AS79" i="12" s="1"/>
  <c r="AV79" i="12" s="1"/>
  <c r="AM212" i="12"/>
  <c r="AI235" i="12"/>
  <c r="AJ235" i="12" s="1"/>
  <c r="AT235" i="12" s="1"/>
  <c r="AM203" i="12"/>
  <c r="AP185" i="12"/>
  <c r="AM117" i="12"/>
  <c r="AP179" i="12"/>
  <c r="AK240" i="12"/>
  <c r="AP240" i="12"/>
  <c r="AK198" i="12"/>
  <c r="AK214" i="12"/>
  <c r="AM195" i="12"/>
  <c r="J35" i="12"/>
  <c r="AF35" i="12" s="1"/>
  <c r="AU35" i="12" s="1"/>
  <c r="AP207" i="12"/>
  <c r="AR18" i="12"/>
  <c r="AP61" i="12"/>
  <c r="AM33" i="12"/>
  <c r="AN33" i="12" s="1"/>
  <c r="AT33" i="12" s="1"/>
  <c r="AP89" i="12"/>
  <c r="AM177" i="12"/>
  <c r="AA38" i="12"/>
  <c r="AE38" i="12" s="1"/>
  <c r="AP56" i="12"/>
  <c r="AK187" i="12"/>
  <c r="AG210" i="12"/>
  <c r="AG194" i="12"/>
  <c r="AM95" i="12"/>
  <c r="AK209" i="12"/>
  <c r="AI170" i="12"/>
  <c r="AJ170" i="12" s="1"/>
  <c r="AK169" i="12"/>
  <c r="AK12" i="12"/>
  <c r="AI79" i="12"/>
  <c r="AJ79" i="12" s="1"/>
  <c r="AG133" i="12"/>
  <c r="AK148" i="12"/>
  <c r="AK191" i="12"/>
  <c r="AN191" i="12" s="1"/>
  <c r="F100" i="12"/>
  <c r="J100" i="12" s="1"/>
  <c r="AF100" i="12" s="1"/>
  <c r="AP50" i="12"/>
  <c r="AR50" i="12"/>
  <c r="AS50" i="12" s="1"/>
  <c r="AV50" i="12" s="1"/>
  <c r="AG12" i="12"/>
  <c r="AM214" i="12"/>
  <c r="AN214" i="12" s="1"/>
  <c r="AT214" i="12" s="1"/>
  <c r="AI207" i="12"/>
  <c r="AJ207" i="12" s="1"/>
  <c r="AM154" i="12"/>
  <c r="AN154" i="12" s="1"/>
  <c r="AT154" i="12" s="1"/>
  <c r="AK161" i="12"/>
  <c r="AK128" i="12"/>
  <c r="AR39" i="12"/>
  <c r="AS39" i="12" s="1"/>
  <c r="AV39" i="12" s="1"/>
  <c r="AR56" i="12"/>
  <c r="AS56" i="12" s="1"/>
  <c r="AV56" i="12" s="1"/>
  <c r="AP95" i="12"/>
  <c r="AR145" i="12"/>
  <c r="AS145" i="12" s="1"/>
  <c r="AV145" i="12" s="1"/>
  <c r="AH58" i="12"/>
  <c r="AD55" i="12"/>
  <c r="AL55" i="12" s="1"/>
  <c r="AG36" i="12"/>
  <c r="AP165" i="12"/>
  <c r="AI86" i="12"/>
  <c r="AJ86" i="12" s="1"/>
  <c r="AP86" i="12"/>
  <c r="AM149" i="12"/>
  <c r="AN149" i="12" s="1"/>
  <c r="AD18" i="12"/>
  <c r="AL18" i="12" s="1"/>
  <c r="AM171" i="12"/>
  <c r="AM207" i="12"/>
  <c r="AK68" i="12"/>
  <c r="AR113" i="12"/>
  <c r="AS113" i="12" s="1"/>
  <c r="AV113" i="12" s="1"/>
  <c r="AP64" i="12"/>
  <c r="AP225" i="12"/>
  <c r="AP62" i="12"/>
  <c r="AM174" i="12"/>
  <c r="AK129" i="12"/>
  <c r="W103" i="12"/>
  <c r="AG130" i="12"/>
  <c r="AI18" i="12"/>
  <c r="AJ18" i="12" s="1"/>
  <c r="AG232" i="12"/>
  <c r="AI67" i="12"/>
  <c r="AJ67" i="12" s="1"/>
  <c r="AP183" i="12"/>
  <c r="AP159" i="12"/>
  <c r="AP169" i="12"/>
  <c r="AM107" i="12"/>
  <c r="AP73" i="12"/>
  <c r="AP117" i="12"/>
  <c r="AG207" i="12"/>
  <c r="AD67" i="12"/>
  <c r="AL67" i="12" s="1"/>
  <c r="AM53" i="12"/>
  <c r="AP119" i="12"/>
  <c r="AK193" i="12"/>
  <c r="AM215" i="12"/>
  <c r="AR11" i="12"/>
  <c r="F26" i="12"/>
  <c r="P26" i="12" s="1"/>
  <c r="AG50" i="12"/>
  <c r="AM21" i="12"/>
  <c r="W29" i="12"/>
  <c r="AM176" i="12"/>
  <c r="AP208" i="12"/>
  <c r="AR214" i="12"/>
  <c r="AS214" i="12" s="1"/>
  <c r="AV214" i="12" s="1"/>
  <c r="AK117" i="12"/>
  <c r="AK235" i="12"/>
  <c r="AP39" i="12"/>
  <c r="AP142" i="12"/>
  <c r="AG67" i="12"/>
  <c r="AK213" i="12"/>
  <c r="AI179" i="12"/>
  <c r="AG113" i="12"/>
  <c r="AQ47" i="12"/>
  <c r="AP30" i="12"/>
  <c r="AM155" i="12"/>
  <c r="AN155" i="12" s="1"/>
  <c r="AP101" i="12"/>
  <c r="AP171" i="12"/>
  <c r="AG161" i="12"/>
  <c r="AG44" i="12"/>
  <c r="AI166" i="12"/>
  <c r="AJ166" i="12" s="1"/>
  <c r="AG172" i="12"/>
  <c r="AG153" i="12"/>
  <c r="AI172" i="12"/>
  <c r="AJ172" i="12" s="1"/>
  <c r="AG122" i="12"/>
  <c r="AY11" i="12"/>
  <c r="AG83" i="12"/>
  <c r="AJ83" i="12" s="1"/>
  <c r="AM104" i="12"/>
  <c r="AN104" i="12" s="1"/>
  <c r="AI116" i="12"/>
  <c r="AJ116" i="12" s="1"/>
  <c r="W11" i="12"/>
  <c r="AK210" i="12"/>
  <c r="AH76" i="12"/>
  <c r="AP33" i="12"/>
  <c r="AM140" i="12"/>
  <c r="AR227" i="12"/>
  <c r="AS227" i="12" s="1"/>
  <c r="AV227" i="12" s="1"/>
  <c r="AM184" i="12"/>
  <c r="AN184" i="12" s="1"/>
  <c r="AP67" i="12"/>
  <c r="AR225" i="12"/>
  <c r="AS225" i="12" s="1"/>
  <c r="AV225" i="12" s="1"/>
  <c r="AP116" i="12"/>
  <c r="AS116" i="12" s="1"/>
  <c r="AV116" i="12" s="1"/>
  <c r="AP238" i="12"/>
  <c r="AY41" i="12"/>
  <c r="AQ24" i="12"/>
  <c r="AG216" i="12"/>
  <c r="AI194" i="12"/>
  <c r="AJ194" i="12" s="1"/>
  <c r="AT194" i="12" s="1"/>
  <c r="AG169" i="12"/>
  <c r="AK241" i="12"/>
  <c r="AK171" i="12"/>
  <c r="AK179" i="12"/>
  <c r="AK237" i="12"/>
  <c r="AK221" i="12"/>
  <c r="AN221" i="12" s="1"/>
  <c r="AT221" i="12" s="1"/>
  <c r="AP52" i="12"/>
  <c r="AP233" i="12"/>
  <c r="AI199" i="12"/>
  <c r="AJ199" i="12" s="1"/>
  <c r="AR194" i="12"/>
  <c r="AS194" i="12" s="1"/>
  <c r="AV194" i="12" s="1"/>
  <c r="AG165" i="12"/>
  <c r="AM188" i="12"/>
  <c r="AN188" i="12" s="1"/>
  <c r="AI122" i="12"/>
  <c r="AJ122" i="12" s="1"/>
  <c r="AG27" i="12"/>
  <c r="AP203" i="12"/>
  <c r="AM213" i="12"/>
  <c r="AK189" i="12"/>
  <c r="AN189" i="12" s="1"/>
  <c r="AT189" i="12" s="1"/>
  <c r="AM205" i="12"/>
  <c r="K11" i="12"/>
  <c r="Z26" i="12"/>
  <c r="AG231" i="12"/>
  <c r="AI52" i="12"/>
  <c r="AJ52" i="12" s="1"/>
  <c r="AK30" i="12"/>
  <c r="AK15" i="12"/>
  <c r="AN15" i="12" s="1"/>
  <c r="AM98" i="12"/>
  <c r="AK208" i="12"/>
  <c r="AM178" i="12"/>
  <c r="AK206" i="12"/>
  <c r="AG117" i="12"/>
  <c r="I20" i="12"/>
  <c r="M20" i="12" s="1"/>
  <c r="AI11" i="12"/>
  <c r="K26" i="12"/>
  <c r="AK228" i="12"/>
  <c r="AM148" i="12"/>
  <c r="AN148" i="12" s="1"/>
  <c r="AK211" i="12"/>
  <c r="AG39" i="12"/>
  <c r="AM124" i="12"/>
  <c r="AK234" i="12"/>
  <c r="AK160" i="12"/>
  <c r="AN160" i="12" s="1"/>
  <c r="AR208" i="12"/>
  <c r="AS208" i="12" s="1"/>
  <c r="AV208" i="12" s="1"/>
  <c r="AQ12" i="12"/>
  <c r="AK21" i="12"/>
  <c r="AG220" i="12"/>
  <c r="AI242" i="12"/>
  <c r="AJ242" i="12" s="1"/>
  <c r="AG175" i="12"/>
  <c r="AK202" i="12"/>
  <c r="AN202" i="12" s="1"/>
  <c r="AG124" i="12"/>
  <c r="AG127" i="12"/>
  <c r="AP163" i="12"/>
  <c r="AG155" i="12"/>
  <c r="AK164" i="12"/>
  <c r="I41" i="12"/>
  <c r="H26" i="12"/>
  <c r="L26" i="12" s="1"/>
  <c r="AR242" i="12"/>
  <c r="AS242" i="12" s="1"/>
  <c r="AV242" i="12" s="1"/>
  <c r="F112" i="12"/>
  <c r="J112" i="12" s="1"/>
  <c r="AF112" i="12" s="1"/>
  <c r="AU112" i="12" s="1"/>
  <c r="AK139" i="12"/>
  <c r="AN139" i="12" s="1"/>
  <c r="AK227" i="12"/>
  <c r="AN227" i="12" s="1"/>
  <c r="AT227" i="12" s="1"/>
  <c r="AM242" i="12"/>
  <c r="AN242" i="12" s="1"/>
  <c r="AR120" i="12"/>
  <c r="AK196" i="12"/>
  <c r="AG158" i="12"/>
  <c r="AP157" i="12"/>
  <c r="AP226" i="12"/>
  <c r="AP230" i="12"/>
  <c r="AG52" i="12"/>
  <c r="W41" i="12"/>
  <c r="K41" i="12"/>
  <c r="AR220" i="12"/>
  <c r="AS220" i="12" s="1"/>
  <c r="AV220" i="12" s="1"/>
  <c r="AG166" i="12"/>
  <c r="AM64" i="12"/>
  <c r="AR218" i="12"/>
  <c r="AS218" i="12" s="1"/>
  <c r="AV218" i="12" s="1"/>
  <c r="AR80" i="12"/>
  <c r="AS80" i="12" s="1"/>
  <c r="AV80" i="12" s="1"/>
  <c r="AM131" i="12"/>
  <c r="AN131" i="12" s="1"/>
  <c r="AT131" i="12" s="1"/>
  <c r="AM180" i="12"/>
  <c r="AN180" i="12" s="1"/>
  <c r="AP92" i="12"/>
  <c r="AG237" i="12"/>
  <c r="AG86" i="12"/>
  <c r="AP87" i="12"/>
  <c r="AK136" i="12"/>
  <c r="AP135" i="12"/>
  <c r="AP125" i="12"/>
  <c r="AK195" i="12"/>
  <c r="AN195" i="12" s="1"/>
  <c r="V64" i="12"/>
  <c r="AP184" i="12"/>
  <c r="AK230" i="12"/>
  <c r="AR52" i="12"/>
  <c r="AS52" i="12" s="1"/>
  <c r="AV52" i="12" s="1"/>
  <c r="H35" i="12"/>
  <c r="L35" i="12" s="1"/>
  <c r="AK217" i="12"/>
  <c r="AM217" i="12"/>
  <c r="AP194" i="12"/>
  <c r="AG179" i="12"/>
  <c r="AI216" i="12"/>
  <c r="AJ216" i="12" s="1"/>
  <c r="AP173" i="12"/>
  <c r="AM193" i="12"/>
  <c r="AG146" i="12"/>
  <c r="AP139" i="12"/>
  <c r="AM219" i="12"/>
  <c r="AY35" i="12"/>
  <c r="L11" i="12"/>
  <c r="AH11" i="12" s="1"/>
  <c r="F11" i="12"/>
  <c r="O11" i="12" s="1"/>
  <c r="AP166" i="12"/>
  <c r="AI92" i="12"/>
  <c r="AJ92" i="12" s="1"/>
  <c r="W26" i="12"/>
  <c r="V24" i="12"/>
  <c r="AK56" i="12"/>
  <c r="AR30" i="12"/>
  <c r="AK223" i="12"/>
  <c r="AP189" i="12"/>
  <c r="AI223" i="12"/>
  <c r="AJ223" i="12" s="1"/>
  <c r="AT223" i="12" s="1"/>
  <c r="AR127" i="12"/>
  <c r="AS127" i="12" s="1"/>
  <c r="AV127" i="12" s="1"/>
  <c r="AP127" i="12"/>
  <c r="AP77" i="12"/>
  <c r="AK172" i="12"/>
  <c r="AN172" i="12" s="1"/>
  <c r="AK182" i="12"/>
  <c r="AK190" i="12"/>
  <c r="AN190" i="12" s="1"/>
  <c r="AG199" i="12"/>
  <c r="I26" i="12"/>
  <c r="M26" i="12" s="1"/>
  <c r="AG187" i="12"/>
  <c r="AK146" i="12"/>
  <c r="AN146" i="12" s="1"/>
  <c r="AK199" i="12"/>
  <c r="AN199" i="12" s="1"/>
  <c r="AT199" i="12" s="1"/>
  <c r="AK204" i="12"/>
  <c r="AK158" i="12"/>
  <c r="AG160" i="12"/>
  <c r="AK192" i="12"/>
  <c r="AN192" i="12" s="1"/>
  <c r="AT192" i="12" s="1"/>
  <c r="AP12" i="12"/>
  <c r="AG80" i="12"/>
  <c r="J26" i="12"/>
  <c r="AF26" i="12" s="1"/>
  <c r="AU26" i="12" s="1"/>
  <c r="AK231" i="12"/>
  <c r="AN231" i="12" s="1"/>
  <c r="AG195" i="12"/>
  <c r="AG200" i="12"/>
  <c r="AR203" i="12"/>
  <c r="AS203" i="12" s="1"/>
  <c r="AV203" i="12" s="1"/>
  <c r="AK39" i="12"/>
  <c r="AK166" i="12"/>
  <c r="AM71" i="12"/>
  <c r="AK141" i="12"/>
  <c r="AK113" i="12"/>
  <c r="AN113" i="12" s="1"/>
  <c r="AT113" i="12" s="1"/>
  <c r="AG219" i="12"/>
  <c r="AG242" i="12"/>
  <c r="AK53" i="12"/>
  <c r="AI206" i="12"/>
  <c r="AJ206" i="12" s="1"/>
  <c r="AT206" i="12" s="1"/>
  <c r="AK212" i="12"/>
  <c r="AN212" i="12" s="1"/>
  <c r="AM208" i="12"/>
  <c r="AK181" i="12"/>
  <c r="AN181" i="12" s="1"/>
  <c r="AM237" i="12"/>
  <c r="AN237" i="12" s="1"/>
  <c r="AP70" i="12"/>
  <c r="AR198" i="12"/>
  <c r="AS198" i="12" s="1"/>
  <c r="AV198" i="12" s="1"/>
  <c r="AG206" i="12"/>
  <c r="AG227" i="12"/>
  <c r="AG110" i="12"/>
  <c r="AP55" i="12"/>
  <c r="AI139" i="12"/>
  <c r="AJ139" i="12" s="1"/>
  <c r="AM12" i="12"/>
  <c r="AG198" i="12"/>
  <c r="I29" i="12"/>
  <c r="M29" i="12" s="1"/>
  <c r="AR139" i="12"/>
  <c r="AS139" i="12" s="1"/>
  <c r="AV139" i="12" s="1"/>
  <c r="AP209" i="12"/>
  <c r="AG214" i="12"/>
  <c r="AK140" i="12"/>
  <c r="AK215" i="12"/>
  <c r="AP9" i="12"/>
  <c r="AG104" i="12"/>
  <c r="AP198" i="12"/>
  <c r="AM200" i="12"/>
  <c r="AM165" i="12"/>
  <c r="AN165" i="12" s="1"/>
  <c r="AP145" i="12"/>
  <c r="AK238" i="12"/>
  <c r="AP79" i="12"/>
  <c r="I11" i="12"/>
  <c r="M11" i="12" s="1"/>
  <c r="AN135" i="12"/>
  <c r="AT135" i="12" s="1"/>
  <c r="B9" i="35"/>
  <c r="B19" i="35" s="1"/>
  <c r="B49" i="35" s="1"/>
  <c r="AY40" i="12"/>
  <c r="H150" i="17"/>
  <c r="H13" i="2"/>
  <c r="H53" i="2" s="1"/>
  <c r="B50" i="2" s="1"/>
  <c r="B52" i="2" s="1"/>
  <c r="AN122" i="12"/>
  <c r="AN207" i="12"/>
  <c r="AT207" i="12" s="1"/>
  <c r="AN174" i="12"/>
  <c r="AT52" i="12"/>
  <c r="AA34" i="12"/>
  <c r="AE34" i="12" s="1"/>
  <c r="B60" i="2"/>
  <c r="Z54" i="12"/>
  <c r="AY25" i="12"/>
  <c r="AA45" i="12"/>
  <c r="AI45" i="12" s="1"/>
  <c r="AY34" i="12"/>
  <c r="AA54" i="12"/>
  <c r="AE54" i="12" s="1"/>
  <c r="AQ54" i="12" s="1"/>
  <c r="H34" i="12"/>
  <c r="L34" i="12" s="1"/>
  <c r="AT196" i="12"/>
  <c r="AN203" i="12"/>
  <c r="AT203" i="12" s="1"/>
  <c r="F34" i="12"/>
  <c r="F39" i="11"/>
  <c r="J34" i="12"/>
  <c r="AF34" i="12" s="1"/>
  <c r="AU34" i="12" s="1"/>
  <c r="W25" i="12"/>
  <c r="AA28" i="12"/>
  <c r="AI28" i="12" s="1"/>
  <c r="AA63" i="12"/>
  <c r="AP63" i="12" s="1"/>
  <c r="W13" i="12"/>
  <c r="F38" i="11"/>
  <c r="H11" i="2"/>
  <c r="H26" i="2" s="1"/>
  <c r="H11" i="17"/>
  <c r="H51" i="17" s="1"/>
  <c r="W40" i="12"/>
  <c r="AA48" i="12"/>
  <c r="AE48" i="12" s="1"/>
  <c r="C12" i="2"/>
  <c r="C78" i="2" s="1"/>
  <c r="C107" i="2"/>
  <c r="I99" i="12"/>
  <c r="M99" i="12" s="1"/>
  <c r="F10" i="12"/>
  <c r="I34" i="12"/>
  <c r="E35" i="11"/>
  <c r="H21" i="2" s="1"/>
  <c r="AY31" i="12"/>
  <c r="W84" i="12"/>
  <c r="I25" i="12"/>
  <c r="M25" i="12" s="1"/>
  <c r="I118" i="12"/>
  <c r="M118" i="12" s="1"/>
  <c r="W34" i="12"/>
  <c r="F123" i="12"/>
  <c r="J123" i="12" s="1"/>
  <c r="AF123" i="12" s="1"/>
  <c r="AU123" i="12" s="1"/>
  <c r="E31" i="11"/>
  <c r="H17" i="2" s="1"/>
  <c r="H57" i="2" s="1"/>
  <c r="AT128" i="12"/>
  <c r="AT158" i="12"/>
  <c r="AN216" i="12"/>
  <c r="AT218" i="12"/>
  <c r="AT142" i="12"/>
  <c r="AN9" i="12"/>
  <c r="AN151" i="12"/>
  <c r="AN116" i="12"/>
  <c r="AT116" i="12" s="1"/>
  <c r="AN129" i="12"/>
  <c r="I111" i="12"/>
  <c r="M111" i="12" s="1"/>
  <c r="H19" i="12"/>
  <c r="L19" i="12" s="1"/>
  <c r="K34" i="12"/>
  <c r="F35" i="11"/>
  <c r="F36" i="11" s="1"/>
  <c r="Z34" i="12"/>
  <c r="Z63" i="12"/>
  <c r="AY13" i="12"/>
  <c r="I126" i="12"/>
  <c r="AY84" i="12"/>
  <c r="I121" i="12"/>
  <c r="M121" i="12" s="1"/>
  <c r="F93" i="12"/>
  <c r="J93" i="12" s="1"/>
  <c r="AF93" i="12" s="1"/>
  <c r="AU93" i="12" s="1"/>
  <c r="J28" i="12"/>
  <c r="AF28" i="12" s="1"/>
  <c r="AU28" i="12" s="1"/>
  <c r="E38" i="11"/>
  <c r="H24" i="2" s="1"/>
  <c r="H64" i="2" s="1"/>
  <c r="F31" i="11"/>
  <c r="F25" i="11"/>
  <c r="F34" i="11" s="1"/>
  <c r="Z14" i="12"/>
  <c r="F14" i="12"/>
  <c r="AA14" i="12"/>
  <c r="K14" i="12"/>
  <c r="J14" i="12"/>
  <c r="AF14" i="12" s="1"/>
  <c r="AK127" i="12"/>
  <c r="AM127" i="12"/>
  <c r="AI152" i="12"/>
  <c r="AJ152" i="12" s="1"/>
  <c r="AG152" i="12"/>
  <c r="AA109" i="12"/>
  <c r="Z109" i="12"/>
  <c r="K109" i="12"/>
  <c r="H109" i="12"/>
  <c r="AM66" i="12"/>
  <c r="AN66" i="12" s="1"/>
  <c r="AI64" i="12"/>
  <c r="AJ64" i="12" s="1"/>
  <c r="AR64" i="12"/>
  <c r="AS64" i="12" s="1"/>
  <c r="AV64" i="12" s="1"/>
  <c r="AG64" i="12"/>
  <c r="AM54" i="12"/>
  <c r="AN54" i="12" s="1"/>
  <c r="AY94" i="12"/>
  <c r="W94" i="12"/>
  <c r="AG229" i="12"/>
  <c r="AP229" i="12"/>
  <c r="W106" i="12"/>
  <c r="AY106" i="12"/>
  <c r="AK82" i="12"/>
  <c r="AM82" i="12"/>
  <c r="AI168" i="12"/>
  <c r="AJ168" i="12" s="1"/>
  <c r="AG168" i="12"/>
  <c r="AP168" i="12"/>
  <c r="AG47" i="12"/>
  <c r="AP47" i="12"/>
  <c r="AR168" i="12"/>
  <c r="AS168" i="12" s="1"/>
  <c r="AV168" i="12" s="1"/>
  <c r="AI73" i="12"/>
  <c r="AJ73" i="12" s="1"/>
  <c r="AR73" i="12"/>
  <c r="AS73" i="12" s="1"/>
  <c r="AV73" i="12" s="1"/>
  <c r="AM86" i="12"/>
  <c r="AK86" i="12"/>
  <c r="AR141" i="12"/>
  <c r="AS141" i="12" s="1"/>
  <c r="AV141" i="12" s="1"/>
  <c r="AP141" i="12"/>
  <c r="AI141" i="12"/>
  <c r="AJ141" i="12" s="1"/>
  <c r="AG141" i="12"/>
  <c r="AR212" i="12"/>
  <c r="AS212" i="12" s="1"/>
  <c r="AV212" i="12" s="1"/>
  <c r="AI212" i="12"/>
  <c r="AJ212" i="12" s="1"/>
  <c r="AG212" i="12"/>
  <c r="AM232" i="12"/>
  <c r="AN232" i="12" s="1"/>
  <c r="AK232" i="12"/>
  <c r="AI181" i="12"/>
  <c r="AJ181" i="12" s="1"/>
  <c r="AR181" i="12"/>
  <c r="AS181" i="12" s="1"/>
  <c r="AV181" i="12" s="1"/>
  <c r="AP181" i="12"/>
  <c r="AG181" i="12"/>
  <c r="AM156" i="12"/>
  <c r="AN156" i="12" s="1"/>
  <c r="AK156" i="12"/>
  <c r="AK74" i="12"/>
  <c r="AM74" i="12"/>
  <c r="AK132" i="12"/>
  <c r="AM132" i="12"/>
  <c r="AN132" i="12" s="1"/>
  <c r="W17" i="12"/>
  <c r="I17" i="12"/>
  <c r="AY17" i="12"/>
  <c r="J17" i="12"/>
  <c r="AF17" i="12" s="1"/>
  <c r="K17" i="12"/>
  <c r="K46" i="12"/>
  <c r="J46" i="12"/>
  <c r="AF46" i="12" s="1"/>
  <c r="F46" i="12"/>
  <c r="AA46" i="12"/>
  <c r="Z46" i="12"/>
  <c r="AI197" i="12"/>
  <c r="AJ197" i="12" s="1"/>
  <c r="AT197" i="12" s="1"/>
  <c r="AR197" i="12"/>
  <c r="AS197" i="12" s="1"/>
  <c r="AV197" i="12" s="1"/>
  <c r="AP197" i="12"/>
  <c r="AG218" i="12"/>
  <c r="AP218" i="12"/>
  <c r="AS120" i="12"/>
  <c r="AV120" i="12" s="1"/>
  <c r="AM175" i="12"/>
  <c r="AN175" i="12" s="1"/>
  <c r="AT175" i="12" s="1"/>
  <c r="AK175" i="12"/>
  <c r="AK236" i="12"/>
  <c r="AM236" i="12"/>
  <c r="AN236" i="12" s="1"/>
  <c r="AK177" i="12"/>
  <c r="AK176" i="12"/>
  <c r="AA69" i="12"/>
  <c r="Z69" i="12"/>
  <c r="W60" i="12"/>
  <c r="X60" i="12" s="1"/>
  <c r="Y60" i="12" s="1"/>
  <c r="AY60" i="12"/>
  <c r="AR95" i="12"/>
  <c r="AG53" i="12"/>
  <c r="AM152" i="12"/>
  <c r="AK152" i="12"/>
  <c r="AR241" i="12"/>
  <c r="AS241" i="12" s="1"/>
  <c r="AV241" i="12" s="1"/>
  <c r="AP241" i="12"/>
  <c r="AI241" i="12"/>
  <c r="AJ241" i="12" s="1"/>
  <c r="AT241" i="12" s="1"/>
  <c r="AG241" i="12"/>
  <c r="H155" i="2"/>
  <c r="H97" i="2"/>
  <c r="AG196" i="12"/>
  <c r="AH41" i="12"/>
  <c r="W23" i="12"/>
  <c r="AY23" i="12"/>
  <c r="I23" i="12"/>
  <c r="H23" i="12"/>
  <c r="J23" i="12"/>
  <c r="AF23" i="12" s="1"/>
  <c r="AY85" i="12"/>
  <c r="W85" i="12"/>
  <c r="I85" i="12"/>
  <c r="AM187" i="12"/>
  <c r="AN187" i="12" s="1"/>
  <c r="AP65" i="12"/>
  <c r="AR65" i="12"/>
  <c r="AS65" i="12" s="1"/>
  <c r="AV65" i="12" s="1"/>
  <c r="AI65" i="12"/>
  <c r="AJ65" i="12" s="1"/>
  <c r="AY32" i="12"/>
  <c r="W32" i="12"/>
  <c r="F32" i="12"/>
  <c r="I32" i="12"/>
  <c r="Z32" i="12"/>
  <c r="H32" i="12"/>
  <c r="J32" i="12"/>
  <c r="AF32" i="12" s="1"/>
  <c r="K32" i="12"/>
  <c r="AA93" i="12"/>
  <c r="I93" i="12"/>
  <c r="H93" i="12"/>
  <c r="Z93" i="12"/>
  <c r="K93" i="12"/>
  <c r="AA96" i="12"/>
  <c r="K96" i="12"/>
  <c r="Z96" i="12"/>
  <c r="C97" i="12"/>
  <c r="H96" i="12"/>
  <c r="F96" i="12"/>
  <c r="J96" i="12" s="1"/>
  <c r="AF96" i="12" s="1"/>
  <c r="AI12" i="12"/>
  <c r="AJ12" i="12" s="1"/>
  <c r="AG88" i="12"/>
  <c r="AR88" i="12"/>
  <c r="AS88" i="12" s="1"/>
  <c r="AV88" i="12" s="1"/>
  <c r="AP88" i="12"/>
  <c r="AP148" i="12"/>
  <c r="AG148" i="12"/>
  <c r="AR148" i="12"/>
  <c r="AS148" i="12" s="1"/>
  <c r="AV148" i="12" s="1"/>
  <c r="AI148" i="12"/>
  <c r="AJ148" i="12" s="1"/>
  <c r="AK194" i="12"/>
  <c r="AR178" i="12"/>
  <c r="AS178" i="12" s="1"/>
  <c r="AV178" i="12" s="1"/>
  <c r="AI178" i="12"/>
  <c r="AJ178" i="12" s="1"/>
  <c r="AG178" i="12"/>
  <c r="AP178" i="12"/>
  <c r="H17" i="12"/>
  <c r="AR201" i="12"/>
  <c r="AS201" i="12" s="1"/>
  <c r="AV201" i="12" s="1"/>
  <c r="AG201" i="12"/>
  <c r="AI201" i="12"/>
  <c r="AJ201" i="12" s="1"/>
  <c r="AP201" i="12"/>
  <c r="AK133" i="12"/>
  <c r="AM133" i="12"/>
  <c r="K23" i="12"/>
  <c r="AT238" i="12"/>
  <c r="AI155" i="12"/>
  <c r="AJ155" i="12" s="1"/>
  <c r="AK220" i="12"/>
  <c r="I91" i="12"/>
  <c r="AA91" i="12"/>
  <c r="Z91" i="12"/>
  <c r="W91" i="12"/>
  <c r="K91" i="12"/>
  <c r="H91" i="12"/>
  <c r="AY91" i="12"/>
  <c r="AR12" i="12"/>
  <c r="AS12" i="12" s="1"/>
  <c r="AV12" i="12" s="1"/>
  <c r="AR82" i="12"/>
  <c r="AS82" i="12" s="1"/>
  <c r="AV82" i="12" s="1"/>
  <c r="AG82" i="12"/>
  <c r="AP82" i="12"/>
  <c r="AK79" i="12"/>
  <c r="AN79" i="12" s="1"/>
  <c r="AK101" i="12"/>
  <c r="AM101" i="12"/>
  <c r="AK201" i="12"/>
  <c r="AM201" i="12"/>
  <c r="AP140" i="12"/>
  <c r="F23" i="12"/>
  <c r="AG215" i="12"/>
  <c r="AP215" i="12"/>
  <c r="K105" i="12"/>
  <c r="Z105" i="12"/>
  <c r="H105" i="12"/>
  <c r="AA105" i="12"/>
  <c r="AY43" i="12"/>
  <c r="W43" i="12"/>
  <c r="I43" i="12"/>
  <c r="AG176" i="12"/>
  <c r="AP176" i="12"/>
  <c r="AR176" i="12"/>
  <c r="AS176" i="12" s="1"/>
  <c r="AV176" i="12" s="1"/>
  <c r="AR217" i="12"/>
  <c r="AS217" i="12" s="1"/>
  <c r="AV217" i="12" s="1"/>
  <c r="AI217" i="12"/>
  <c r="AJ217" i="12" s="1"/>
  <c r="AG217" i="12"/>
  <c r="AP217" i="12"/>
  <c r="AM88" i="12"/>
  <c r="AK88" i="12"/>
  <c r="AM150" i="12"/>
  <c r="AN150" i="12" s="1"/>
  <c r="AK150" i="12"/>
  <c r="AK170" i="12"/>
  <c r="AM170" i="12"/>
  <c r="AN170" i="12" s="1"/>
  <c r="H96" i="17"/>
  <c r="B50" i="17"/>
  <c r="H154" i="17"/>
  <c r="C135" i="17"/>
  <c r="C136" i="17" s="1"/>
  <c r="C118" i="17"/>
  <c r="C150" i="17"/>
  <c r="C162" i="17" s="1"/>
  <c r="C163" i="17" s="1"/>
  <c r="C164" i="17" s="1"/>
  <c r="D36" i="17" s="1"/>
  <c r="B93" i="17"/>
  <c r="AR155" i="12"/>
  <c r="AS155" i="12" s="1"/>
  <c r="AV155" i="12" s="1"/>
  <c r="AP155" i="12"/>
  <c r="I38" i="12"/>
  <c r="W38" i="12"/>
  <c r="AY38" i="12"/>
  <c r="Z38" i="12"/>
  <c r="AK110" i="12"/>
  <c r="AM110" i="12"/>
  <c r="AG65" i="12"/>
  <c r="AR98" i="12"/>
  <c r="AS98" i="12" s="1"/>
  <c r="AV98" i="12" s="1"/>
  <c r="AI98" i="12"/>
  <c r="AJ98" i="12" s="1"/>
  <c r="AP98" i="12"/>
  <c r="AG73" i="12"/>
  <c r="AK157" i="12"/>
  <c r="AD52" i="12"/>
  <c r="AL52" i="12" s="1"/>
  <c r="V52" i="12"/>
  <c r="AK52" i="12" s="1"/>
  <c r="F38" i="12"/>
  <c r="AY22" i="12"/>
  <c r="I22" i="12"/>
  <c r="W22" i="12"/>
  <c r="W28" i="12"/>
  <c r="AY28" i="12"/>
  <c r="I28" i="12"/>
  <c r="F28" i="12"/>
  <c r="Z28" i="12"/>
  <c r="H102" i="12"/>
  <c r="AA102" i="12"/>
  <c r="Z102" i="12"/>
  <c r="K102" i="12"/>
  <c r="I45" i="12"/>
  <c r="AY45" i="12"/>
  <c r="W45" i="12"/>
  <c r="K108" i="12"/>
  <c r="H108" i="12"/>
  <c r="Z108" i="12"/>
  <c r="AA108" i="12"/>
  <c r="AG79" i="12"/>
  <c r="Z17" i="12"/>
  <c r="AP170" i="12"/>
  <c r="AG170" i="12"/>
  <c r="AG223" i="12"/>
  <c r="AP223" i="12"/>
  <c r="AM120" i="12"/>
  <c r="AK120" i="12"/>
  <c r="AR164" i="12"/>
  <c r="AS164" i="12" s="1"/>
  <c r="AV164" i="12" s="1"/>
  <c r="AI164" i="12"/>
  <c r="AJ164" i="12" s="1"/>
  <c r="AT164" i="12" s="1"/>
  <c r="AP164" i="12"/>
  <c r="AG164" i="12"/>
  <c r="AR165" i="12"/>
  <c r="AS165" i="12" s="1"/>
  <c r="AV165" i="12" s="1"/>
  <c r="AI165" i="12"/>
  <c r="AJ165" i="12" s="1"/>
  <c r="AT240" i="12"/>
  <c r="AG24" i="12"/>
  <c r="AR24" i="12"/>
  <c r="AI24" i="12"/>
  <c r="F37" i="12"/>
  <c r="Z37" i="12"/>
  <c r="AA37" i="12"/>
  <c r="J37" i="12"/>
  <c r="AF37" i="12" s="1"/>
  <c r="K37" i="12"/>
  <c r="AP220" i="12"/>
  <c r="AG77" i="12"/>
  <c r="AI41" i="12"/>
  <c r="AR41" i="12"/>
  <c r="AE41" i="12"/>
  <c r="AI132" i="12"/>
  <c r="AJ132" i="12" s="1"/>
  <c r="AR132" i="12"/>
  <c r="AS132" i="12" s="1"/>
  <c r="AV132" i="12" s="1"/>
  <c r="AG132" i="12"/>
  <c r="K40" i="12"/>
  <c r="J40" i="12"/>
  <c r="AF40" i="12" s="1"/>
  <c r="Z40" i="12"/>
  <c r="AA40" i="12"/>
  <c r="F40" i="12"/>
  <c r="AM168" i="12"/>
  <c r="AN168" i="12" s="1"/>
  <c r="AK168" i="12"/>
  <c r="AG30" i="12"/>
  <c r="H14" i="12"/>
  <c r="H40" i="12"/>
  <c r="I40" i="12"/>
  <c r="AY111" i="12"/>
  <c r="W111" i="12"/>
  <c r="F17" i="12"/>
  <c r="K121" i="12"/>
  <c r="AA121" i="12"/>
  <c r="H121" i="12"/>
  <c r="Z121" i="12"/>
  <c r="AI88" i="12"/>
  <c r="AJ88" i="12" s="1"/>
  <c r="AR74" i="12"/>
  <c r="AS74" i="12" s="1"/>
  <c r="AV74" i="12" s="1"/>
  <c r="AP74" i="12"/>
  <c r="AH73" i="12"/>
  <c r="AI42" i="12"/>
  <c r="AJ42" i="12" s="1"/>
  <c r="AR42" i="12"/>
  <c r="AS42" i="12" s="1"/>
  <c r="AV42" i="12" s="1"/>
  <c r="AG42" i="12"/>
  <c r="AP42" i="12"/>
  <c r="AR144" i="12"/>
  <c r="AS144" i="12" s="1"/>
  <c r="AV144" i="12" s="1"/>
  <c r="AP144" i="12"/>
  <c r="AG144" i="12"/>
  <c r="AI144" i="12"/>
  <c r="AJ144" i="12" s="1"/>
  <c r="AR167" i="12"/>
  <c r="AS167" i="12" s="1"/>
  <c r="AV167" i="12" s="1"/>
  <c r="AG167" i="12"/>
  <c r="AI167" i="12"/>
  <c r="AJ167" i="12" s="1"/>
  <c r="AP167" i="12"/>
  <c r="AM225" i="12"/>
  <c r="AN225" i="12" s="1"/>
  <c r="AT225" i="12" s="1"/>
  <c r="AR224" i="12"/>
  <c r="AS224" i="12" s="1"/>
  <c r="AV224" i="12" s="1"/>
  <c r="AG224" i="12"/>
  <c r="AI224" i="12"/>
  <c r="AJ224" i="12" s="1"/>
  <c r="AP224" i="12"/>
  <c r="Z45" i="12"/>
  <c r="AM42" i="12"/>
  <c r="AK42" i="12"/>
  <c r="AM173" i="12"/>
  <c r="AK173" i="12"/>
  <c r="AG197" i="12"/>
  <c r="AD70" i="12"/>
  <c r="AL70" i="12" s="1"/>
  <c r="V70" i="12"/>
  <c r="AK70" i="12" s="1"/>
  <c r="AR134" i="12"/>
  <c r="AI134" i="12"/>
  <c r="AG134" i="12"/>
  <c r="AP134" i="12"/>
  <c r="AD73" i="12"/>
  <c r="AL73" i="12" s="1"/>
  <c r="AK130" i="12"/>
  <c r="H31" i="12"/>
  <c r="I31" i="12"/>
  <c r="AP128" i="12"/>
  <c r="AG128" i="12"/>
  <c r="AR137" i="12"/>
  <c r="AS137" i="12" s="1"/>
  <c r="AV137" i="12" s="1"/>
  <c r="AI137" i="12"/>
  <c r="AJ137" i="12" s="1"/>
  <c r="AP137" i="12"/>
  <c r="AG137" i="12"/>
  <c r="J16" i="12"/>
  <c r="AF16" i="12" s="1"/>
  <c r="F16" i="12"/>
  <c r="AA16" i="12"/>
  <c r="Z16" i="12"/>
  <c r="K16" i="12"/>
  <c r="AK138" i="12"/>
  <c r="AK219" i="12"/>
  <c r="AA13" i="12"/>
  <c r="Z13" i="12"/>
  <c r="K13" i="12"/>
  <c r="J13" i="12"/>
  <c r="AF13" i="12" s="1"/>
  <c r="F13" i="12"/>
  <c r="I13" i="12"/>
  <c r="K123" i="12"/>
  <c r="H123" i="12"/>
  <c r="AA123" i="12"/>
  <c r="Z123" i="12"/>
  <c r="W66" i="12"/>
  <c r="X66" i="12" s="1"/>
  <c r="Y66" i="12" s="1"/>
  <c r="AY66" i="12"/>
  <c r="AK87" i="12"/>
  <c r="AN87" i="12" s="1"/>
  <c r="AT87" i="12" s="1"/>
  <c r="AP76" i="12"/>
  <c r="AI76" i="12"/>
  <c r="AJ76" i="12" s="1"/>
  <c r="AR76" i="12"/>
  <c r="AS76" i="12" s="1"/>
  <c r="AV76" i="12" s="1"/>
  <c r="AE76" i="12"/>
  <c r="AQ76" i="12" s="1"/>
  <c r="AG76" i="12"/>
  <c r="K28" i="12"/>
  <c r="AK167" i="12"/>
  <c r="AM167" i="12"/>
  <c r="AN167" i="12" s="1"/>
  <c r="AI239" i="12"/>
  <c r="AJ239" i="12" s="1"/>
  <c r="AT239" i="12" s="1"/>
  <c r="AR239" i="12"/>
  <c r="AS239" i="12" s="1"/>
  <c r="AV239" i="12" s="1"/>
  <c r="AG239" i="12"/>
  <c r="AP239" i="12"/>
  <c r="AR221" i="12"/>
  <c r="AS221" i="12" s="1"/>
  <c r="AV221" i="12" s="1"/>
  <c r="AG221" i="12"/>
  <c r="AP221" i="12"/>
  <c r="V61" i="12"/>
  <c r="AK61" i="12" s="1"/>
  <c r="AD61" i="12"/>
  <c r="AL61" i="12" s="1"/>
  <c r="AI226" i="12"/>
  <c r="AJ226" i="12" s="1"/>
  <c r="AR226" i="12"/>
  <c r="AS226" i="12" s="1"/>
  <c r="AV226" i="12" s="1"/>
  <c r="AG226" i="12"/>
  <c r="V58" i="12"/>
  <c r="AM58" i="12" s="1"/>
  <c r="AD58" i="12"/>
  <c r="AL58" i="12" s="1"/>
  <c r="AR138" i="12"/>
  <c r="AS138" i="12" s="1"/>
  <c r="AV138" i="12" s="1"/>
  <c r="AI138" i="12"/>
  <c r="AJ138" i="12" s="1"/>
  <c r="AT138" i="12" s="1"/>
  <c r="AG138" i="12"/>
  <c r="AP138" i="12"/>
  <c r="AM229" i="12"/>
  <c r="AN229" i="12" s="1"/>
  <c r="AT229" i="12" s="1"/>
  <c r="AK229" i="12"/>
  <c r="B41" i="35"/>
  <c r="B45" i="35"/>
  <c r="B42" i="35"/>
  <c r="B37" i="35"/>
  <c r="B23" i="35"/>
  <c r="B38" i="35"/>
  <c r="B44" i="35"/>
  <c r="B40" i="35"/>
  <c r="B39" i="35"/>
  <c r="B43" i="35"/>
  <c r="AR186" i="12"/>
  <c r="AS186" i="12" s="1"/>
  <c r="AV186" i="12" s="1"/>
  <c r="AI186" i="12"/>
  <c r="AJ186" i="12" s="1"/>
  <c r="AT186" i="12" s="1"/>
  <c r="AG186" i="12"/>
  <c r="AP186" i="12"/>
  <c r="AI104" i="12"/>
  <c r="AI150" i="12"/>
  <c r="AJ150" i="12" s="1"/>
  <c r="AP150" i="12"/>
  <c r="AR150" i="12"/>
  <c r="AS150" i="12" s="1"/>
  <c r="AV150" i="12" s="1"/>
  <c r="AK98" i="12"/>
  <c r="H92" i="2"/>
  <c r="H150" i="2"/>
  <c r="AP202" i="12"/>
  <c r="AG202" i="12"/>
  <c r="AG203" i="12"/>
  <c r="AI68" i="12"/>
  <c r="AJ68" i="12" s="1"/>
  <c r="AR68" i="12"/>
  <c r="AP68" i="12"/>
  <c r="AM134" i="12"/>
  <c r="AK134" i="12"/>
  <c r="AR188" i="12"/>
  <c r="AS188" i="12" s="1"/>
  <c r="AV188" i="12" s="1"/>
  <c r="AG188" i="12"/>
  <c r="AI188" i="12"/>
  <c r="AJ188" i="12" s="1"/>
  <c r="AP188" i="12"/>
  <c r="AG95" i="12"/>
  <c r="AK144" i="12"/>
  <c r="AM144" i="12"/>
  <c r="AR205" i="12"/>
  <c r="AS205" i="12" s="1"/>
  <c r="AV205" i="12" s="1"/>
  <c r="AI205" i="12"/>
  <c r="AJ205" i="12" s="1"/>
  <c r="AP205" i="12"/>
  <c r="AG205" i="12"/>
  <c r="AR152" i="12"/>
  <c r="AS152" i="12" s="1"/>
  <c r="AV152" i="12" s="1"/>
  <c r="Z94" i="12"/>
  <c r="K94" i="12"/>
  <c r="H94" i="12"/>
  <c r="AA94" i="12"/>
  <c r="W90" i="12"/>
  <c r="AY90" i="12"/>
  <c r="G3" i="12"/>
  <c r="G4" i="12"/>
  <c r="I4" i="12"/>
  <c r="Z75" i="12"/>
  <c r="AA75" i="12"/>
  <c r="Z23" i="12"/>
  <c r="AP214" i="12"/>
  <c r="AK162" i="12"/>
  <c r="AM162" i="12"/>
  <c r="H48" i="12"/>
  <c r="J48" i="12"/>
  <c r="AF48" i="12" s="1"/>
  <c r="Z48" i="12"/>
  <c r="K48" i="12"/>
  <c r="F48" i="12"/>
  <c r="Z57" i="12"/>
  <c r="AA57" i="12"/>
  <c r="AD76" i="12"/>
  <c r="AL76" i="12" s="1"/>
  <c r="V76" i="12"/>
  <c r="AK76" i="12" s="1"/>
  <c r="AG238" i="12"/>
  <c r="AG159" i="12"/>
  <c r="AP152" i="12"/>
  <c r="AR47" i="12"/>
  <c r="AS47" i="12" s="1"/>
  <c r="AV47" i="12" s="1"/>
  <c r="AM36" i="12"/>
  <c r="AK36" i="12"/>
  <c r="AM76" i="12"/>
  <c r="AN76" i="12" s="1"/>
  <c r="AK226" i="12"/>
  <c r="AN226" i="12" s="1"/>
  <c r="AM224" i="12"/>
  <c r="AN224" i="12" s="1"/>
  <c r="AK224" i="12"/>
  <c r="AG15" i="12"/>
  <c r="AR15" i="12"/>
  <c r="AS15" i="12" s="1"/>
  <c r="AV15" i="12" s="1"/>
  <c r="AI15" i="12"/>
  <c r="AJ15" i="12" s="1"/>
  <c r="K45" i="12"/>
  <c r="AR17" i="12"/>
  <c r="AI17" i="12"/>
  <c r="AE17" i="12"/>
  <c r="V55" i="12"/>
  <c r="AK55" i="12" s="1"/>
  <c r="AR151" i="12"/>
  <c r="AS151" i="12" s="1"/>
  <c r="AV151" i="12" s="1"/>
  <c r="AP151" i="12"/>
  <c r="AG151" i="12"/>
  <c r="AN143" i="12"/>
  <c r="AY63" i="12"/>
  <c r="W63" i="12"/>
  <c r="X63" i="12" s="1"/>
  <c r="Y63" i="12" s="1"/>
  <c r="H175" i="17"/>
  <c r="H117" i="17"/>
  <c r="AR59" i="12"/>
  <c r="AS59" i="12" s="1"/>
  <c r="AV59" i="12" s="1"/>
  <c r="AI59" i="12"/>
  <c r="AJ59" i="12" s="1"/>
  <c r="AM18" i="12"/>
  <c r="AK18" i="12"/>
  <c r="AR117" i="12"/>
  <c r="AS117" i="12" s="1"/>
  <c r="AV117" i="12" s="1"/>
  <c r="AI117" i="12"/>
  <c r="AJ117" i="12" s="1"/>
  <c r="AI182" i="12"/>
  <c r="AR182" i="12"/>
  <c r="AS182" i="12" s="1"/>
  <c r="AV182" i="12" s="1"/>
  <c r="AP232" i="12"/>
  <c r="AK200" i="12"/>
  <c r="AM230" i="12"/>
  <c r="AI173" i="12"/>
  <c r="AJ173" i="12" s="1"/>
  <c r="AA85" i="12"/>
  <c r="F85" i="12"/>
  <c r="Z85" i="12"/>
  <c r="K85" i="12"/>
  <c r="J85" i="12"/>
  <c r="AF85" i="12" s="1"/>
  <c r="AY51" i="12"/>
  <c r="W51" i="12"/>
  <c r="X51" i="12" s="1"/>
  <c r="Y51" i="12" s="1"/>
  <c r="H37" i="12"/>
  <c r="Z78" i="12"/>
  <c r="AA78" i="12"/>
  <c r="AY75" i="12"/>
  <c r="W75" i="12"/>
  <c r="X75" i="12" s="1"/>
  <c r="Y75" i="12" s="1"/>
  <c r="AY69" i="12"/>
  <c r="W69" i="12"/>
  <c r="X69" i="12" s="1"/>
  <c r="Y69" i="12" s="1"/>
  <c r="W118" i="12"/>
  <c r="AY118" i="12"/>
  <c r="W16" i="12"/>
  <c r="I16" i="12"/>
  <c r="AY16" i="12"/>
  <c r="Z22" i="12"/>
  <c r="F22" i="12"/>
  <c r="AA22" i="12"/>
  <c r="K22" i="12"/>
  <c r="J22" i="12"/>
  <c r="AF22" i="12" s="1"/>
  <c r="AW18" i="12"/>
  <c r="AP18" i="12"/>
  <c r="AS18" i="12" s="1"/>
  <c r="AV18" i="12" s="1"/>
  <c r="H43" i="12"/>
  <c r="AR101" i="12"/>
  <c r="AS101" i="12" s="1"/>
  <c r="AV101" i="12" s="1"/>
  <c r="AI101" i="12"/>
  <c r="AJ101" i="12" s="1"/>
  <c r="AT198" i="12"/>
  <c r="AR174" i="12"/>
  <c r="AS174" i="12" s="1"/>
  <c r="AV174" i="12" s="1"/>
  <c r="AG174" i="12"/>
  <c r="AI174" i="12"/>
  <c r="AJ174" i="12" s="1"/>
  <c r="AI119" i="12"/>
  <c r="AJ119" i="12" s="1"/>
  <c r="AR119" i="12"/>
  <c r="AS119" i="12" s="1"/>
  <c r="AV119" i="12" s="1"/>
  <c r="AR179" i="12"/>
  <c r="AR231" i="12"/>
  <c r="AS231" i="12" s="1"/>
  <c r="AV231" i="12" s="1"/>
  <c r="AI231" i="12"/>
  <c r="AJ231" i="12" s="1"/>
  <c r="AA43" i="12"/>
  <c r="Z43" i="12"/>
  <c r="K43" i="12"/>
  <c r="F43" i="12"/>
  <c r="J43" i="12"/>
  <c r="AF43" i="12" s="1"/>
  <c r="F84" i="12"/>
  <c r="K84" i="12"/>
  <c r="J84" i="12"/>
  <c r="AF84" i="12" s="1"/>
  <c r="AA84" i="12"/>
  <c r="Z84" i="12"/>
  <c r="L41" i="12"/>
  <c r="H20" i="12"/>
  <c r="AR32" i="12"/>
  <c r="AI32" i="12"/>
  <c r="AT233" i="12"/>
  <c r="AP175" i="12"/>
  <c r="AR173" i="12"/>
  <c r="AS173" i="12" s="1"/>
  <c r="AV173" i="12" s="1"/>
  <c r="AA118" i="12"/>
  <c r="Z118" i="12"/>
  <c r="H118" i="12"/>
  <c r="K118" i="12"/>
  <c r="W72" i="12"/>
  <c r="X72" i="12" s="1"/>
  <c r="Y72" i="12" s="1"/>
  <c r="AY72" i="12"/>
  <c r="W108" i="12"/>
  <c r="AY108" i="12"/>
  <c r="W99" i="12"/>
  <c r="AY99" i="12"/>
  <c r="H25" i="12"/>
  <c r="V67" i="12"/>
  <c r="AR125" i="12"/>
  <c r="AS125" i="12" s="1"/>
  <c r="AV125" i="12" s="1"/>
  <c r="AI125" i="12"/>
  <c r="AJ125" i="12" s="1"/>
  <c r="AT125" i="12" s="1"/>
  <c r="AI180" i="12"/>
  <c r="AJ180" i="12" s="1"/>
  <c r="AG180" i="12"/>
  <c r="X35" i="12"/>
  <c r="P35" i="12"/>
  <c r="M35" i="12"/>
  <c r="AO35" i="12" s="1"/>
  <c r="C137" i="17"/>
  <c r="C119" i="17"/>
  <c r="AG240" i="12"/>
  <c r="AM141" i="12"/>
  <c r="AP172" i="12"/>
  <c r="AI230" i="12"/>
  <c r="AJ230" i="12" s="1"/>
  <c r="AG145" i="12"/>
  <c r="AG55" i="12"/>
  <c r="K38" i="12"/>
  <c r="H85" i="12"/>
  <c r="Z72" i="12"/>
  <c r="AA72" i="12"/>
  <c r="H84" i="12"/>
  <c r="AA10" i="12"/>
  <c r="K10" i="12"/>
  <c r="J10" i="12"/>
  <c r="AF10" i="12" s="1"/>
  <c r="W20" i="12"/>
  <c r="I10" i="12"/>
  <c r="AY10" i="12"/>
  <c r="W10" i="12"/>
  <c r="J38" i="12"/>
  <c r="AF38" i="12" s="1"/>
  <c r="J41" i="12"/>
  <c r="AF41" i="12" s="1"/>
  <c r="AQ21" i="12"/>
  <c r="AR200" i="12"/>
  <c r="AS200" i="12" s="1"/>
  <c r="AV200" i="12" s="1"/>
  <c r="AI200" i="12"/>
  <c r="AJ200" i="12" s="1"/>
  <c r="AI177" i="12"/>
  <c r="AJ177" i="12" s="1"/>
  <c r="AG177" i="12"/>
  <c r="AT220" i="12"/>
  <c r="AP107" i="12"/>
  <c r="AR107" i="12"/>
  <c r="AS107" i="12" s="1"/>
  <c r="AV107" i="12" s="1"/>
  <c r="AG192" i="12"/>
  <c r="AR184" i="12"/>
  <c r="AS184" i="12" s="1"/>
  <c r="AV184" i="12" s="1"/>
  <c r="AI184" i="12"/>
  <c r="AJ184" i="12" s="1"/>
  <c r="AG184" i="12"/>
  <c r="AK185" i="12"/>
  <c r="AP24" i="12"/>
  <c r="AW24" i="12"/>
  <c r="AP21" i="12"/>
  <c r="AW21" i="12"/>
  <c r="AY105" i="12"/>
  <c r="W105" i="12"/>
  <c r="AR162" i="12"/>
  <c r="AS162" i="12" s="1"/>
  <c r="AV162" i="12" s="1"/>
  <c r="AP162" i="12"/>
  <c r="AK62" i="12"/>
  <c r="AM62" i="12"/>
  <c r="AR190" i="12"/>
  <c r="AS190" i="12" s="1"/>
  <c r="AV190" i="12" s="1"/>
  <c r="AI190" i="12"/>
  <c r="AJ190" i="12" s="1"/>
  <c r="AG190" i="12"/>
  <c r="AI23" i="12"/>
  <c r="AR23" i="12"/>
  <c r="AG162" i="12"/>
  <c r="H38" i="12"/>
  <c r="I102" i="12"/>
  <c r="E115" i="12"/>
  <c r="I114" i="12"/>
  <c r="AA60" i="12"/>
  <c r="Z60" i="12"/>
  <c r="B13" i="35"/>
  <c r="H175" i="2"/>
  <c r="H117" i="2"/>
  <c r="AR193" i="12"/>
  <c r="AS193" i="12" s="1"/>
  <c r="AV193" i="12" s="1"/>
  <c r="AI193" i="12"/>
  <c r="AJ193" i="12" s="1"/>
  <c r="AN68" i="12"/>
  <c r="AT183" i="12"/>
  <c r="AK142" i="12"/>
  <c r="I100" i="12"/>
  <c r="H22" i="12"/>
  <c r="AM50" i="12"/>
  <c r="AI89" i="12"/>
  <c r="AR89" i="12"/>
  <c r="AP27" i="12"/>
  <c r="AG230" i="12"/>
  <c r="AN59" i="12"/>
  <c r="AR58" i="12"/>
  <c r="AS58" i="12" s="1"/>
  <c r="AV58" i="12" s="1"/>
  <c r="AI58" i="12"/>
  <c r="AJ58" i="12" s="1"/>
  <c r="AG225" i="12"/>
  <c r="AK27" i="12"/>
  <c r="AK147" i="12"/>
  <c r="AM159" i="12"/>
  <c r="AN159" i="12" s="1"/>
  <c r="AT159" i="12" s="1"/>
  <c r="H16" i="12"/>
  <c r="W100" i="12"/>
  <c r="AY100" i="12"/>
  <c r="AR36" i="12"/>
  <c r="AS36" i="12" s="1"/>
  <c r="AV36" i="12" s="1"/>
  <c r="J31" i="12"/>
  <c r="AF31" i="12" s="1"/>
  <c r="F31" i="12"/>
  <c r="AA31" i="12"/>
  <c r="K31" i="12"/>
  <c r="Z31" i="12"/>
  <c r="W57" i="12"/>
  <c r="X57" i="12" s="1"/>
  <c r="Y57" i="12" s="1"/>
  <c r="AY57" i="12"/>
  <c r="B97" i="12"/>
  <c r="AY96" i="12"/>
  <c r="W96" i="12"/>
  <c r="H10" i="12"/>
  <c r="AP190" i="12"/>
  <c r="Z10" i="12"/>
  <c r="F41" i="12"/>
  <c r="O41" i="12" s="1"/>
  <c r="AE23" i="12"/>
  <c r="AK71" i="12"/>
  <c r="AK137" i="12"/>
  <c r="AN137" i="12" s="1"/>
  <c r="AR87" i="12"/>
  <c r="AS87" i="12" s="1"/>
  <c r="AV87" i="12" s="1"/>
  <c r="AG87" i="12"/>
  <c r="AR187" i="12"/>
  <c r="AS187" i="12" s="1"/>
  <c r="AV187" i="12" s="1"/>
  <c r="AI187" i="12"/>
  <c r="AJ187" i="12" s="1"/>
  <c r="AQ18" i="12"/>
  <c r="AK124" i="12"/>
  <c r="AK205" i="12"/>
  <c r="AP160" i="12"/>
  <c r="K29" i="12"/>
  <c r="J29" i="12"/>
  <c r="AF29" i="12" s="1"/>
  <c r="F29" i="12"/>
  <c r="Z29" i="12"/>
  <c r="AA29" i="12"/>
  <c r="I103" i="12"/>
  <c r="AA100" i="12"/>
  <c r="Z100" i="12"/>
  <c r="H100" i="12"/>
  <c r="K100" i="12"/>
  <c r="I48" i="12"/>
  <c r="AY48" i="12"/>
  <c r="W48" i="12"/>
  <c r="F90" i="12"/>
  <c r="L3" i="12" s="1"/>
  <c r="J4" i="12"/>
  <c r="H3" i="12"/>
  <c r="Z99" i="12"/>
  <c r="AA99" i="12"/>
  <c r="H99" i="12"/>
  <c r="K99" i="12"/>
  <c r="F99" i="12"/>
  <c r="J99" i="12" s="1"/>
  <c r="AF99" i="12" s="1"/>
  <c r="I123" i="12"/>
  <c r="H12" i="17"/>
  <c r="H52" i="17" s="1"/>
  <c r="H12" i="2"/>
  <c r="H52" i="2" s="1"/>
  <c r="Z41" i="12"/>
  <c r="AG9" i="12"/>
  <c r="AP36" i="12"/>
  <c r="AR21" i="12"/>
  <c r="AS21" i="12" s="1"/>
  <c r="AV21" i="12" s="1"/>
  <c r="AI21" i="12"/>
  <c r="AJ21" i="12" s="1"/>
  <c r="AM56" i="12"/>
  <c r="E25" i="11"/>
  <c r="AY103" i="12"/>
  <c r="AI149" i="12"/>
  <c r="AJ149" i="12" s="1"/>
  <c r="AG149" i="12"/>
  <c r="AR149" i="12"/>
  <c r="AS149" i="12" s="1"/>
  <c r="AV149" i="12" s="1"/>
  <c r="AR153" i="12"/>
  <c r="AS153" i="12" s="1"/>
  <c r="AV153" i="12" s="1"/>
  <c r="AI153" i="12"/>
  <c r="AJ153" i="12" s="1"/>
  <c r="AI211" i="12"/>
  <c r="AJ211" i="12" s="1"/>
  <c r="AT211" i="12" s="1"/>
  <c r="AP211" i="12"/>
  <c r="AI236" i="12"/>
  <c r="AJ236" i="12" s="1"/>
  <c r="AP236" i="12"/>
  <c r="AG228" i="12"/>
  <c r="AR228" i="12"/>
  <c r="AS228" i="12" s="1"/>
  <c r="AV228" i="12" s="1"/>
  <c r="H155" i="17"/>
  <c r="H97" i="17"/>
  <c r="AP153" i="12"/>
  <c r="C24" i="2"/>
  <c r="C84" i="2" s="1"/>
  <c r="C24" i="17"/>
  <c r="C84" i="17" s="1"/>
  <c r="B48" i="35"/>
  <c r="AR236" i="12"/>
  <c r="AS236" i="12" s="1"/>
  <c r="AV236" i="12" s="1"/>
  <c r="AK64" i="12"/>
  <c r="AY109" i="12"/>
  <c r="W109" i="12"/>
  <c r="H46" i="12"/>
  <c r="I109" i="12"/>
  <c r="AY121" i="12"/>
  <c r="W121" i="12"/>
  <c r="AY19" i="12"/>
  <c r="I19" i="12"/>
  <c r="W19" i="12"/>
  <c r="W126" i="12"/>
  <c r="AY126" i="12"/>
  <c r="AM61" i="12"/>
  <c r="AN61" i="12" s="1"/>
  <c r="AT61" i="12" s="1"/>
  <c r="AI30" i="12"/>
  <c r="AJ30" i="12" s="1"/>
  <c r="AT30" i="12" s="1"/>
  <c r="AK92" i="12"/>
  <c r="AR104" i="12"/>
  <c r="AP104" i="12"/>
  <c r="AI136" i="12"/>
  <c r="AJ136" i="12" s="1"/>
  <c r="AT136" i="12" s="1"/>
  <c r="AG136" i="12"/>
  <c r="AR136" i="12"/>
  <c r="AS136" i="12" s="1"/>
  <c r="AV136" i="12" s="1"/>
  <c r="AR204" i="12"/>
  <c r="AS204" i="12" s="1"/>
  <c r="AV204" i="12" s="1"/>
  <c r="AI204" i="12"/>
  <c r="AJ204" i="12" s="1"/>
  <c r="AT204" i="12" s="1"/>
  <c r="AG204" i="12"/>
  <c r="AI44" i="12"/>
  <c r="AJ44" i="12" s="1"/>
  <c r="AU11" i="12"/>
  <c r="AG235" i="12"/>
  <c r="AG236" i="12"/>
  <c r="AI219" i="12"/>
  <c r="AJ219" i="12" s="1"/>
  <c r="AG182" i="12"/>
  <c r="F111" i="12"/>
  <c r="J111" i="12" s="1"/>
  <c r="AF111" i="12" s="1"/>
  <c r="AK222" i="12"/>
  <c r="AG125" i="12"/>
  <c r="AT147" i="12"/>
  <c r="F126" i="12"/>
  <c r="J126" i="12" s="1"/>
  <c r="AF126" i="12" s="1"/>
  <c r="I46" i="12"/>
  <c r="AY46" i="12"/>
  <c r="W46" i="12"/>
  <c r="AY49" i="12"/>
  <c r="W49" i="12"/>
  <c r="I49" i="12"/>
  <c r="AY112" i="12"/>
  <c r="W112" i="12"/>
  <c r="AY123" i="12"/>
  <c r="W123" i="12"/>
  <c r="H28" i="12"/>
  <c r="AY93" i="12"/>
  <c r="W93" i="12"/>
  <c r="H111" i="12"/>
  <c r="K111" i="12"/>
  <c r="AA111" i="12"/>
  <c r="Z111" i="12"/>
  <c r="F114" i="12"/>
  <c r="J114" i="12" s="1"/>
  <c r="AF114" i="12" s="1"/>
  <c r="AG101" i="12"/>
  <c r="AP44" i="12"/>
  <c r="AM73" i="12"/>
  <c r="AK73" i="12"/>
  <c r="AI71" i="12"/>
  <c r="AJ71" i="12" s="1"/>
  <c r="AR71" i="12"/>
  <c r="AS71" i="12" s="1"/>
  <c r="AV71" i="12" s="1"/>
  <c r="AP71" i="12"/>
  <c r="AG71" i="12"/>
  <c r="AK163" i="12"/>
  <c r="AN163" i="12" s="1"/>
  <c r="AT163" i="12" s="1"/>
  <c r="AR143" i="12"/>
  <c r="AS143" i="12" s="1"/>
  <c r="AV143" i="12" s="1"/>
  <c r="AG143" i="12"/>
  <c r="AI143" i="12"/>
  <c r="AJ143" i="12" s="1"/>
  <c r="AP216" i="12"/>
  <c r="AI202" i="12"/>
  <c r="AJ202" i="12" s="1"/>
  <c r="AR202" i="12"/>
  <c r="AS202" i="12" s="1"/>
  <c r="AV202" i="12" s="1"/>
  <c r="AP80" i="12"/>
  <c r="AG21" i="12"/>
  <c r="I106" i="12"/>
  <c r="K25" i="12"/>
  <c r="J25" i="12"/>
  <c r="AF25" i="12" s="1"/>
  <c r="F25" i="12"/>
  <c r="Z25" i="12"/>
  <c r="AA25" i="12"/>
  <c r="AG120" i="12"/>
  <c r="AR140" i="12"/>
  <c r="AS140" i="12" s="1"/>
  <c r="AV140" i="12" s="1"/>
  <c r="AI140" i="12"/>
  <c r="AJ140" i="12" s="1"/>
  <c r="AU100" i="12"/>
  <c r="AI162" i="12"/>
  <c r="AJ162" i="12" s="1"/>
  <c r="AR175" i="12"/>
  <c r="AS175" i="12" s="1"/>
  <c r="AV175" i="12" s="1"/>
  <c r="AI185" i="12"/>
  <c r="AJ185" i="12" s="1"/>
  <c r="AT185" i="12" s="1"/>
  <c r="AR77" i="12"/>
  <c r="AI77" i="12"/>
  <c r="F109" i="12"/>
  <c r="J109" i="12" s="1"/>
  <c r="AF109" i="12" s="1"/>
  <c r="F49" i="12"/>
  <c r="AA49" i="12"/>
  <c r="Z49" i="12"/>
  <c r="K49" i="12"/>
  <c r="J49" i="12"/>
  <c r="AF49" i="12" s="1"/>
  <c r="H13" i="12"/>
  <c r="H90" i="12"/>
  <c r="K90" i="12"/>
  <c r="Z90" i="12"/>
  <c r="AA90" i="12"/>
  <c r="H4" i="12"/>
  <c r="X26" i="12"/>
  <c r="Y26" i="12"/>
  <c r="AR83" i="12"/>
  <c r="AP199" i="12"/>
  <c r="AI120" i="12"/>
  <c r="AM228" i="12"/>
  <c r="AP83" i="12"/>
  <c r="F105" i="12"/>
  <c r="J105" i="12" s="1"/>
  <c r="AF105" i="12" s="1"/>
  <c r="AP59" i="12"/>
  <c r="H106" i="12"/>
  <c r="K106" i="12"/>
  <c r="Z106" i="12"/>
  <c r="AA106" i="12"/>
  <c r="F91" i="12"/>
  <c r="J91" i="12" s="1"/>
  <c r="AF91" i="12" s="1"/>
  <c r="B115" i="12"/>
  <c r="AY114" i="12"/>
  <c r="W114" i="12"/>
  <c r="AA19" i="12"/>
  <c r="J19" i="12"/>
  <c r="AF19" i="12" s="1"/>
  <c r="K19" i="12"/>
  <c r="F19" i="12"/>
  <c r="Z19" i="12"/>
  <c r="I96" i="12"/>
  <c r="AA81" i="12"/>
  <c r="Z81" i="12"/>
  <c r="W78" i="12"/>
  <c r="X78" i="12" s="1"/>
  <c r="Y78" i="12" s="1"/>
  <c r="AY78" i="12"/>
  <c r="AK83" i="12"/>
  <c r="AI129" i="12"/>
  <c r="AJ129" i="12" s="1"/>
  <c r="AR129" i="12"/>
  <c r="AS129" i="12" s="1"/>
  <c r="AV129" i="12" s="1"/>
  <c r="AM39" i="12"/>
  <c r="AR171" i="12"/>
  <c r="AS171" i="12" s="1"/>
  <c r="AV171" i="12" s="1"/>
  <c r="AI171" i="12"/>
  <c r="AJ171" i="12" s="1"/>
  <c r="AP58" i="12"/>
  <c r="AR53" i="12"/>
  <c r="AS53" i="12" s="1"/>
  <c r="AV53" i="12" s="1"/>
  <c r="F118" i="12"/>
  <c r="J118" i="12" s="1"/>
  <c r="AF118" i="12" s="1"/>
  <c r="F103" i="12"/>
  <c r="J103" i="12" s="1"/>
  <c r="AF103" i="12" s="1"/>
  <c r="AR234" i="12"/>
  <c r="AS234" i="12" s="1"/>
  <c r="AV234" i="12" s="1"/>
  <c r="AI234" i="12"/>
  <c r="AJ234" i="12" s="1"/>
  <c r="AT234" i="12" s="1"/>
  <c r="AG234" i="12"/>
  <c r="I84" i="12"/>
  <c r="AN153" i="12"/>
  <c r="AG70" i="12"/>
  <c r="AR70" i="12"/>
  <c r="AS70" i="12" s="1"/>
  <c r="AV70" i="12" s="1"/>
  <c r="AI70" i="12"/>
  <c r="I112" i="12"/>
  <c r="W54" i="12"/>
  <c r="X54" i="12" s="1"/>
  <c r="Y54" i="12" s="1"/>
  <c r="AY54" i="12"/>
  <c r="K126" i="12"/>
  <c r="H126" i="12"/>
  <c r="AA126" i="12"/>
  <c r="Z126" i="12"/>
  <c r="AI95" i="12"/>
  <c r="AG208" i="12"/>
  <c r="AI208" i="12"/>
  <c r="AJ208" i="12" s="1"/>
  <c r="AM119" i="12"/>
  <c r="AN119" i="12" s="1"/>
  <c r="H29" i="12"/>
  <c r="W81" i="12"/>
  <c r="X81" i="12" s="1"/>
  <c r="Y81" i="12" s="1"/>
  <c r="AY81" i="12"/>
  <c r="I108" i="12"/>
  <c r="AG213" i="12"/>
  <c r="AR213" i="12"/>
  <c r="AS213" i="12" s="1"/>
  <c r="AV213" i="12" s="1"/>
  <c r="AP213" i="12"/>
  <c r="AP228" i="12"/>
  <c r="AG209" i="12"/>
  <c r="AT166" i="12"/>
  <c r="AR180" i="12"/>
  <c r="AS180" i="12" s="1"/>
  <c r="AV180" i="12" s="1"/>
  <c r="AK145" i="12"/>
  <c r="AK50" i="12"/>
  <c r="AP206" i="12"/>
  <c r="AT161" i="12"/>
  <c r="AY14" i="12"/>
  <c r="W14" i="12"/>
  <c r="I14" i="12"/>
  <c r="I94" i="12"/>
  <c r="I37" i="12"/>
  <c r="W37" i="12"/>
  <c r="AY37" i="12"/>
  <c r="W102" i="12"/>
  <c r="AY102" i="12"/>
  <c r="AK47" i="12"/>
  <c r="AN47" i="12" s="1"/>
  <c r="AT47" i="12" s="1"/>
  <c r="AM77" i="12"/>
  <c r="AN77" i="12" s="1"/>
  <c r="C120" i="17"/>
  <c r="C138" i="17"/>
  <c r="AS92" i="12"/>
  <c r="AV92" i="12" s="1"/>
  <c r="C120" i="2"/>
  <c r="C138" i="2"/>
  <c r="AP133" i="12"/>
  <c r="AI133" i="12"/>
  <c r="AJ133" i="12" s="1"/>
  <c r="AI215" i="12"/>
  <c r="AJ215" i="12" s="1"/>
  <c r="AR215" i="12"/>
  <c r="AS215" i="12" s="1"/>
  <c r="AV215" i="12" s="1"/>
  <c r="AI191" i="12"/>
  <c r="AJ191" i="12" s="1"/>
  <c r="AR191" i="12"/>
  <c r="AS191" i="12" s="1"/>
  <c r="AV191" i="12" s="1"/>
  <c r="AP191" i="12"/>
  <c r="AG191" i="12"/>
  <c r="AR169" i="12"/>
  <c r="AS169" i="12" s="1"/>
  <c r="AV169" i="12" s="1"/>
  <c r="AI169" i="12"/>
  <c r="AJ169" i="12" s="1"/>
  <c r="AT169" i="12" s="1"/>
  <c r="AR209" i="12"/>
  <c r="AS209" i="12" s="1"/>
  <c r="AV209" i="12" s="1"/>
  <c r="AI209" i="12"/>
  <c r="AJ209" i="12" s="1"/>
  <c r="AT209" i="12" s="1"/>
  <c r="AR35" i="12"/>
  <c r="AI35" i="12"/>
  <c r="AI53" i="12"/>
  <c r="AJ53" i="12" s="1"/>
  <c r="Z103" i="12"/>
  <c r="H103" i="12"/>
  <c r="K103" i="12"/>
  <c r="AA103" i="12"/>
  <c r="AA112" i="12"/>
  <c r="Z112" i="12"/>
  <c r="K112" i="12"/>
  <c r="H112" i="12"/>
  <c r="H45" i="12"/>
  <c r="AR9" i="12"/>
  <c r="AS9" i="12" s="1"/>
  <c r="AV9" i="12" s="1"/>
  <c r="AI9" i="12"/>
  <c r="AJ9" i="12" s="1"/>
  <c r="AP210" i="12"/>
  <c r="AR210" i="12"/>
  <c r="AS210" i="12" s="1"/>
  <c r="AV210" i="12" s="1"/>
  <c r="AG211" i="12"/>
  <c r="AG185" i="12"/>
  <c r="AG140" i="12"/>
  <c r="E39" i="11"/>
  <c r="Z66" i="12"/>
  <c r="AA66" i="12"/>
  <c r="F102" i="12"/>
  <c r="J102" i="12" s="1"/>
  <c r="AI195" i="12"/>
  <c r="AJ195" i="12" s="1"/>
  <c r="AR195" i="12"/>
  <c r="AS195" i="12" s="1"/>
  <c r="AV195" i="12" s="1"/>
  <c r="AI146" i="12"/>
  <c r="AJ146" i="12" s="1"/>
  <c r="AR146" i="12"/>
  <c r="AS146" i="12" s="1"/>
  <c r="AV146" i="12" s="1"/>
  <c r="AI210" i="12"/>
  <c r="AJ210" i="12" s="1"/>
  <c r="AT210" i="12" s="1"/>
  <c r="F106" i="12"/>
  <c r="J106" i="12" s="1"/>
  <c r="AF106" i="12" s="1"/>
  <c r="F108" i="12"/>
  <c r="J108" i="12" s="1"/>
  <c r="AF108" i="12" s="1"/>
  <c r="C119" i="2"/>
  <c r="C137" i="2"/>
  <c r="AM65" i="12"/>
  <c r="AK65" i="12"/>
  <c r="AR27" i="12"/>
  <c r="AI27" i="12"/>
  <c r="AR158" i="12"/>
  <c r="AS158" i="12" s="1"/>
  <c r="AV158" i="12" s="1"/>
  <c r="AP158" i="12"/>
  <c r="AG157" i="12"/>
  <c r="AI157" i="12"/>
  <c r="AJ157" i="12" s="1"/>
  <c r="AR157" i="12"/>
  <c r="AS157" i="12" s="1"/>
  <c r="AV157" i="12" s="1"/>
  <c r="AI151" i="12"/>
  <c r="AJ151" i="12" s="1"/>
  <c r="AK178" i="12"/>
  <c r="AP124" i="12"/>
  <c r="F121" i="12"/>
  <c r="J121" i="12" s="1"/>
  <c r="AF121" i="12" s="1"/>
  <c r="F20" i="12"/>
  <c r="AA20" i="12"/>
  <c r="K20" i="12"/>
  <c r="Z20" i="12"/>
  <c r="J20" i="12"/>
  <c r="AF20" i="12" s="1"/>
  <c r="H49" i="12"/>
  <c r="AG89" i="12"/>
  <c r="AA51" i="12"/>
  <c r="Z51" i="12"/>
  <c r="J45" i="12"/>
  <c r="AF45" i="12" s="1"/>
  <c r="F45" i="12"/>
  <c r="I105" i="12"/>
  <c r="I3" i="12"/>
  <c r="F3" i="12"/>
  <c r="I90" i="12"/>
  <c r="C115" i="12"/>
  <c r="K114" i="12"/>
  <c r="H114" i="12"/>
  <c r="Z114" i="12"/>
  <c r="AA114" i="12"/>
  <c r="F94" i="12"/>
  <c r="J94" i="12" s="1"/>
  <c r="AF94" i="12" s="1"/>
  <c r="AM89" i="12"/>
  <c r="AK89" i="12"/>
  <c r="AM44" i="12"/>
  <c r="AN44" i="12" s="1"/>
  <c r="AM80" i="12"/>
  <c r="AK80" i="12"/>
  <c r="AI130" i="12"/>
  <c r="AJ130" i="12" s="1"/>
  <c r="AT130" i="12" s="1"/>
  <c r="AR130" i="12"/>
  <c r="AS130" i="12" s="1"/>
  <c r="AV130" i="12" s="1"/>
  <c r="AI222" i="12"/>
  <c r="AJ222" i="12" s="1"/>
  <c r="AT222" i="12" s="1"/>
  <c r="AR222" i="12"/>
  <c r="AS222" i="12" s="1"/>
  <c r="AV222" i="12" s="1"/>
  <c r="AI156" i="12"/>
  <c r="AR156" i="12"/>
  <c r="AP156" i="12"/>
  <c r="AG156" i="12"/>
  <c r="AT145" i="12"/>
  <c r="AR160" i="12"/>
  <c r="AS160" i="12" s="1"/>
  <c r="AV160" i="12" s="1"/>
  <c r="AI160" i="12"/>
  <c r="AJ160" i="12" s="1"/>
  <c r="AI237" i="12"/>
  <c r="AJ237" i="12" s="1"/>
  <c r="AR237" i="12"/>
  <c r="AS237" i="12" s="1"/>
  <c r="AV237" i="12" s="1"/>
  <c r="AK95" i="12"/>
  <c r="AP53" i="12"/>
  <c r="AG58" i="12"/>
  <c r="AG59" i="12"/>
  <c r="O35" i="12" l="1"/>
  <c r="X29" i="12"/>
  <c r="AT232" i="12"/>
  <c r="AI26" i="12"/>
  <c r="AI38" i="12"/>
  <c r="AJ17" i="12"/>
  <c r="AH26" i="12"/>
  <c r="AN107" i="12"/>
  <c r="AT107" i="12" s="1"/>
  <c r="P11" i="12"/>
  <c r="AN157" i="12"/>
  <c r="X41" i="12"/>
  <c r="Y41" i="12" s="1"/>
  <c r="AN177" i="12"/>
  <c r="AN193" i="12"/>
  <c r="AK58" i="12"/>
  <c r="AN215" i="12"/>
  <c r="AR26" i="12"/>
  <c r="AR38" i="12"/>
  <c r="AT139" i="12"/>
  <c r="AN176" i="12"/>
  <c r="AT176" i="12" s="1"/>
  <c r="AN117" i="12"/>
  <c r="AS24" i="12"/>
  <c r="AV24" i="12" s="1"/>
  <c r="AT172" i="12"/>
  <c r="AN21" i="12"/>
  <c r="AN92" i="12"/>
  <c r="AS179" i="12"/>
  <c r="AV179" i="12" s="1"/>
  <c r="AT149" i="12"/>
  <c r="AN95" i="12"/>
  <c r="AT122" i="12"/>
  <c r="AN12" i="12"/>
  <c r="AT12" i="12" s="1"/>
  <c r="AO20" i="12"/>
  <c r="AS95" i="12"/>
  <c r="AV95" i="12" s="1"/>
  <c r="AS89" i="12"/>
  <c r="AV89" i="12" s="1"/>
  <c r="AJ89" i="12"/>
  <c r="X11" i="12"/>
  <c r="Y11" i="12" s="1"/>
  <c r="AD11" i="12" s="1"/>
  <c r="AL11" i="12" s="1"/>
  <c r="AO26" i="12"/>
  <c r="AN53" i="12"/>
  <c r="AT53" i="12" s="1"/>
  <c r="X20" i="12"/>
  <c r="AN140" i="12"/>
  <c r="AT140" i="12" s="1"/>
  <c r="P20" i="12"/>
  <c r="Q20" i="12" s="1"/>
  <c r="R20" i="12" s="1"/>
  <c r="S20" i="12" s="1"/>
  <c r="T20" i="12" s="1"/>
  <c r="AT184" i="12"/>
  <c r="AN230" i="12"/>
  <c r="AT230" i="12" s="1"/>
  <c r="AO11" i="12"/>
  <c r="AQ11" i="12" s="1"/>
  <c r="AJ77" i="12"/>
  <c r="AT77" i="12" s="1"/>
  <c r="P29" i="12"/>
  <c r="Q29" i="12" s="1"/>
  <c r="R29" i="12" s="1"/>
  <c r="S29" i="12" s="1"/>
  <c r="T29" i="12" s="1"/>
  <c r="AT170" i="12"/>
  <c r="AT242" i="12"/>
  <c r="AN213" i="12"/>
  <c r="AT213" i="12" s="1"/>
  <c r="AJ179" i="12"/>
  <c r="AT179" i="12" s="1"/>
  <c r="AN171" i="12"/>
  <c r="AT171" i="12" s="1"/>
  <c r="M41" i="12"/>
  <c r="AO41" i="12" s="1"/>
  <c r="AP41" i="12" s="1"/>
  <c r="AS41" i="12" s="1"/>
  <c r="AV41" i="12" s="1"/>
  <c r="AS30" i="12"/>
  <c r="AV30" i="12" s="1"/>
  <c r="AJ23" i="12"/>
  <c r="AN208" i="12"/>
  <c r="AT208" i="12" s="1"/>
  <c r="AN56" i="12"/>
  <c r="AT56" i="12" s="1"/>
  <c r="AN217" i="12"/>
  <c r="AT217" i="12" s="1"/>
  <c r="AN71" i="12"/>
  <c r="AT71" i="12" s="1"/>
  <c r="AN178" i="12"/>
  <c r="AT178" i="12" s="1"/>
  <c r="AN98" i="12"/>
  <c r="AT98" i="12" s="1"/>
  <c r="AN64" i="12"/>
  <c r="AT64" i="12" s="1"/>
  <c r="AT237" i="12"/>
  <c r="AN205" i="12"/>
  <c r="AT205" i="12" s="1"/>
  <c r="AN124" i="12"/>
  <c r="AT124" i="12" s="1"/>
  <c r="AQ26" i="12"/>
  <c r="AJ104" i="12"/>
  <c r="AT104" i="12" s="1"/>
  <c r="P41" i="12"/>
  <c r="U41" i="12" s="1"/>
  <c r="AT148" i="12"/>
  <c r="AN141" i="12"/>
  <c r="AT141" i="12" s="1"/>
  <c r="AN200" i="12"/>
  <c r="AT200" i="12" s="1"/>
  <c r="AJ95" i="12"/>
  <c r="AN39" i="12"/>
  <c r="AT39" i="12" s="1"/>
  <c r="Y35" i="12"/>
  <c r="V35" i="12" s="1"/>
  <c r="AT155" i="12"/>
  <c r="AT216" i="12"/>
  <c r="AQ35" i="12"/>
  <c r="AJ27" i="12"/>
  <c r="AT27" i="12" s="1"/>
  <c r="AT180" i="12"/>
  <c r="AS27" i="12"/>
  <c r="AV27" i="12" s="1"/>
  <c r="AG11" i="12"/>
  <c r="AJ11" i="12" s="1"/>
  <c r="AK24" i="12"/>
  <c r="AM24" i="12"/>
  <c r="AN219" i="12"/>
  <c r="AT219" i="12" s="1"/>
  <c r="AN228" i="12"/>
  <c r="AT228" i="12" s="1"/>
  <c r="AS77" i="12"/>
  <c r="AV77" i="12" s="1"/>
  <c r="O26" i="12"/>
  <c r="AJ120" i="12"/>
  <c r="AG26" i="12"/>
  <c r="AJ26" i="12" s="1"/>
  <c r="AT21" i="12"/>
  <c r="AT181" i="12"/>
  <c r="AT15" i="12"/>
  <c r="AN133" i="12"/>
  <c r="AT133" i="12" s="1"/>
  <c r="AT195" i="12"/>
  <c r="B18" i="35"/>
  <c r="B52" i="35" s="1" a="1"/>
  <c r="B52" i="35" s="1"/>
  <c r="C118" i="2"/>
  <c r="B93" i="2"/>
  <c r="B96" i="2" s="1"/>
  <c r="B134" i="2" s="1"/>
  <c r="H154" i="2"/>
  <c r="C150" i="2"/>
  <c r="C162" i="2" s="1"/>
  <c r="C163" i="2" s="1"/>
  <c r="C164" i="2" s="1"/>
  <c r="D36" i="2" s="1"/>
  <c r="AT231" i="12"/>
  <c r="C135" i="2"/>
  <c r="C136" i="2" s="1"/>
  <c r="AN152" i="12"/>
  <c r="AT152" i="12" s="1"/>
  <c r="H96" i="2"/>
  <c r="AT177" i="12"/>
  <c r="AN120" i="12"/>
  <c r="AT215" i="12"/>
  <c r="AN173" i="12"/>
  <c r="AT173" i="12" s="1"/>
  <c r="AT202" i="12"/>
  <c r="AT160" i="12"/>
  <c r="AN201" i="12"/>
  <c r="AT201" i="12" s="1"/>
  <c r="AN18" i="12"/>
  <c r="AT18" i="12" s="1"/>
  <c r="AT193" i="12"/>
  <c r="AT117" i="12"/>
  <c r="AT226" i="12"/>
  <c r="AT174" i="12"/>
  <c r="AT191" i="12"/>
  <c r="AH54" i="12"/>
  <c r="AE45" i="12"/>
  <c r="AR45" i="12"/>
  <c r="AI34" i="12"/>
  <c r="AJ34" i="12" s="1"/>
  <c r="AR34" i="12"/>
  <c r="AT165" i="12"/>
  <c r="AP54" i="12"/>
  <c r="AN74" i="12"/>
  <c r="AT74" i="12" s="1"/>
  <c r="AN82" i="12"/>
  <c r="AT82" i="12" s="1"/>
  <c r="AH34" i="12"/>
  <c r="O19" i="12"/>
  <c r="O34" i="12"/>
  <c r="AR54" i="12"/>
  <c r="AS54" i="12" s="1"/>
  <c r="AV54" i="12" s="1"/>
  <c r="AN144" i="12"/>
  <c r="AT144" i="12" s="1"/>
  <c r="AI48" i="12"/>
  <c r="AJ48" i="12" s="1"/>
  <c r="X25" i="12"/>
  <c r="P34" i="12"/>
  <c r="U34" i="12" s="1"/>
  <c r="X111" i="12"/>
  <c r="AH72" i="12"/>
  <c r="AG54" i="12"/>
  <c r="AI54" i="12"/>
  <c r="AJ54" i="12" s="1"/>
  <c r="AT54" i="12" s="1"/>
  <c r="AN162" i="12"/>
  <c r="AT162" i="12" s="1"/>
  <c r="AN101" i="12"/>
  <c r="AT101" i="12" s="1"/>
  <c r="AT188" i="12"/>
  <c r="AT132" i="12"/>
  <c r="AR48" i="12"/>
  <c r="H26" i="17"/>
  <c r="AI63" i="12"/>
  <c r="AJ63" i="12" s="1"/>
  <c r="AT63" i="12" s="1"/>
  <c r="AR63" i="12"/>
  <c r="AS63" i="12" s="1"/>
  <c r="AV63" i="12" s="1"/>
  <c r="AG63" i="12"/>
  <c r="M34" i="12"/>
  <c r="AO34" i="12" s="1"/>
  <c r="AE28" i="12"/>
  <c r="X34" i="12"/>
  <c r="Y34" i="12" s="1"/>
  <c r="AD34" i="12" s="1"/>
  <c r="AL34" i="12" s="1"/>
  <c r="AR28" i="12"/>
  <c r="X99" i="12"/>
  <c r="AH63" i="12"/>
  <c r="H51" i="2"/>
  <c r="C149" i="2" s="1"/>
  <c r="C156" i="2" s="1"/>
  <c r="C157" i="2" s="1"/>
  <c r="C158" i="2" s="1"/>
  <c r="D35" i="2" s="1"/>
  <c r="AE63" i="12"/>
  <c r="AQ63" i="12" s="1"/>
  <c r="X118" i="12"/>
  <c r="P25" i="12"/>
  <c r="Q25" i="12" s="1"/>
  <c r="R25" i="12" s="1"/>
  <c r="S25" i="12" s="1"/>
  <c r="T25" i="12" s="1"/>
  <c r="E40" i="11"/>
  <c r="H28" i="2" s="1"/>
  <c r="H68" i="2" s="1"/>
  <c r="H21" i="17"/>
  <c r="H61" i="17" s="1"/>
  <c r="E36" i="11"/>
  <c r="H22" i="2" s="1"/>
  <c r="H62" i="2" s="1"/>
  <c r="AT129" i="12"/>
  <c r="AN127" i="12"/>
  <c r="AT127" i="12" s="1"/>
  <c r="AT68" i="12"/>
  <c r="AT59" i="12"/>
  <c r="AN62" i="12"/>
  <c r="AT62" i="12" s="1"/>
  <c r="F33" i="11"/>
  <c r="X126" i="12"/>
  <c r="F32" i="11"/>
  <c r="AH75" i="12"/>
  <c r="F115" i="12"/>
  <c r="J115" i="12" s="1"/>
  <c r="AF115" i="12" s="1"/>
  <c r="AU115" i="12" s="1"/>
  <c r="E32" i="11"/>
  <c r="H18" i="17" s="1"/>
  <c r="H58" i="17" s="1"/>
  <c r="P99" i="12"/>
  <c r="Q99" i="12" s="1"/>
  <c r="R99" i="12" s="1"/>
  <c r="S99" i="12" s="1"/>
  <c r="T99" i="12" s="1"/>
  <c r="H17" i="17"/>
  <c r="H57" i="17" s="1"/>
  <c r="H158" i="17" s="1"/>
  <c r="F40" i="11"/>
  <c r="H24" i="17"/>
  <c r="H64" i="17" s="1"/>
  <c r="H107" i="17" s="1"/>
  <c r="AT143" i="12"/>
  <c r="AT44" i="12"/>
  <c r="AT212" i="12"/>
  <c r="AT92" i="12"/>
  <c r="AT157" i="12"/>
  <c r="AN73" i="12"/>
  <c r="AT73" i="12" s="1"/>
  <c r="AN65" i="12"/>
  <c r="AT65" i="12" s="1"/>
  <c r="AN42" i="12"/>
  <c r="AT42" i="12" s="1"/>
  <c r="AN50" i="12"/>
  <c r="AT50" i="12" s="1"/>
  <c r="AT151" i="12"/>
  <c r="AT137" i="12"/>
  <c r="AT190" i="12"/>
  <c r="AT187" i="12"/>
  <c r="AT9" i="12"/>
  <c r="AJ45" i="12"/>
  <c r="AO121" i="12"/>
  <c r="AP121" i="12" s="1"/>
  <c r="AH78" i="12"/>
  <c r="M126" i="12"/>
  <c r="AO126" i="12" s="1"/>
  <c r="AW126" i="12" s="1"/>
  <c r="X121" i="12"/>
  <c r="AH69" i="12"/>
  <c r="AO111" i="12"/>
  <c r="AP111" i="12" s="1"/>
  <c r="F37" i="11"/>
  <c r="B56" i="35"/>
  <c r="B57" i="35"/>
  <c r="B60" i="35"/>
  <c r="AD41" i="12"/>
  <c r="AL41" i="12" s="1"/>
  <c r="V41" i="12"/>
  <c r="V78" i="12"/>
  <c r="AD78" i="12"/>
  <c r="AL78" i="12" s="1"/>
  <c r="B7" i="35"/>
  <c r="H10" i="2"/>
  <c r="H50" i="2" s="1"/>
  <c r="H10" i="17"/>
  <c r="H50" i="17" s="1"/>
  <c r="E34" i="11"/>
  <c r="AR31" i="12"/>
  <c r="AI31" i="12"/>
  <c r="AE31" i="12"/>
  <c r="AU37" i="12"/>
  <c r="AN58" i="12"/>
  <c r="AT58" i="12" s="1"/>
  <c r="AS83" i="12"/>
  <c r="AV83" i="12" s="1"/>
  <c r="M16" i="12"/>
  <c r="AO16" i="12" s="1"/>
  <c r="X16" i="12"/>
  <c r="P16" i="12"/>
  <c r="AJ134" i="12"/>
  <c r="AR37" i="12"/>
  <c r="AI37" i="12"/>
  <c r="AJ37" i="12" s="1"/>
  <c r="AE37" i="12"/>
  <c r="X108" i="12"/>
  <c r="P108" i="12"/>
  <c r="M108" i="12"/>
  <c r="AO108" i="12" s="1"/>
  <c r="X48" i="12"/>
  <c r="P48" i="12"/>
  <c r="M48" i="12"/>
  <c r="AO48" i="12" s="1"/>
  <c r="H61" i="2"/>
  <c r="AS134" i="12"/>
  <c r="AV134" i="12" s="1"/>
  <c r="AH60" i="12"/>
  <c r="AU46" i="12"/>
  <c r="O22" i="12"/>
  <c r="L22" i="12"/>
  <c r="AH22" i="12" s="1"/>
  <c r="AN134" i="12"/>
  <c r="M84" i="12"/>
  <c r="AO84" i="12" s="1"/>
  <c r="X84" i="12"/>
  <c r="P84" i="12"/>
  <c r="AU111" i="12"/>
  <c r="P100" i="12"/>
  <c r="X100" i="12"/>
  <c r="M100" i="12"/>
  <c r="AO100" i="12" s="1"/>
  <c r="AR40" i="12"/>
  <c r="AI40" i="12"/>
  <c r="AJ40" i="12" s="1"/>
  <c r="AE40" i="12"/>
  <c r="AI46" i="12"/>
  <c r="AR46" i="12"/>
  <c r="AE46" i="12"/>
  <c r="O109" i="12"/>
  <c r="L109" i="12"/>
  <c r="AH109" i="12" s="1"/>
  <c r="AJ156" i="12"/>
  <c r="AT156" i="12" s="1"/>
  <c r="AP81" i="12"/>
  <c r="AI81" i="12"/>
  <c r="AJ81" i="12" s="1"/>
  <c r="AR81" i="12"/>
  <c r="AS81" i="12" s="1"/>
  <c r="AV81" i="12" s="1"/>
  <c r="AG81" i="12"/>
  <c r="AE81" i="12"/>
  <c r="AQ81" i="12" s="1"/>
  <c r="V26" i="12"/>
  <c r="AD26" i="12"/>
  <c r="AL26" i="12" s="1"/>
  <c r="AU31" i="12"/>
  <c r="V72" i="12"/>
  <c r="AK72" i="12" s="1"/>
  <c r="AD72" i="12"/>
  <c r="AL72" i="12" s="1"/>
  <c r="AJ182" i="12"/>
  <c r="AT182" i="12" s="1"/>
  <c r="B58" i="35"/>
  <c r="AU40" i="12"/>
  <c r="AU96" i="12"/>
  <c r="X37" i="12"/>
  <c r="P37" i="12"/>
  <c r="M37" i="12"/>
  <c r="AO37" i="12" s="1"/>
  <c r="X96" i="12"/>
  <c r="P96" i="12"/>
  <c r="M96" i="12"/>
  <c r="AO96" i="12" s="1"/>
  <c r="X19" i="12"/>
  <c r="Y19" i="12" s="1"/>
  <c r="P19" i="12"/>
  <c r="M19" i="12"/>
  <c r="AO19" i="12" s="1"/>
  <c r="AR57" i="12"/>
  <c r="AS57" i="12" s="1"/>
  <c r="AV57" i="12" s="1"/>
  <c r="AI57" i="12"/>
  <c r="AJ57" i="12" s="1"/>
  <c r="AT57" i="12" s="1"/>
  <c r="AP57" i="12"/>
  <c r="AE57" i="12"/>
  <c r="AQ57" i="12" s="1"/>
  <c r="AG57" i="12"/>
  <c r="B59" i="35"/>
  <c r="L96" i="12"/>
  <c r="O96" i="12"/>
  <c r="M94" i="12"/>
  <c r="AO94" i="12" s="1"/>
  <c r="P94" i="12"/>
  <c r="X94" i="12"/>
  <c r="V81" i="12"/>
  <c r="AD81" i="12"/>
  <c r="AL81" i="12" s="1"/>
  <c r="Q26" i="12"/>
  <c r="R26" i="12" s="1"/>
  <c r="S26" i="12" s="1"/>
  <c r="T26" i="12" s="1"/>
  <c r="U26" i="12"/>
  <c r="AH19" i="12"/>
  <c r="AT236" i="12"/>
  <c r="O100" i="12"/>
  <c r="L100" i="12"/>
  <c r="AH100" i="12" s="1"/>
  <c r="O118" i="12"/>
  <c r="L118" i="12"/>
  <c r="AH118" i="12" s="1"/>
  <c r="O94" i="12"/>
  <c r="L94" i="12"/>
  <c r="AT76" i="12"/>
  <c r="AR108" i="12"/>
  <c r="AI108" i="12"/>
  <c r="AJ108" i="12" s="1"/>
  <c r="AE108" i="12"/>
  <c r="H97" i="12"/>
  <c r="AA97" i="12"/>
  <c r="K97" i="12"/>
  <c r="Z97" i="12"/>
  <c r="F97" i="12"/>
  <c r="J97" i="12" s="1"/>
  <c r="AF97" i="12" s="1"/>
  <c r="I97" i="12"/>
  <c r="V60" i="12"/>
  <c r="AD60" i="12"/>
  <c r="AL60" i="12" s="1"/>
  <c r="AR109" i="12"/>
  <c r="AI109" i="12"/>
  <c r="AE109" i="12"/>
  <c r="AI66" i="12"/>
  <c r="AJ66" i="12" s="1"/>
  <c r="AT66" i="12" s="1"/>
  <c r="AP66" i="12"/>
  <c r="AR66" i="12"/>
  <c r="AS66" i="12" s="1"/>
  <c r="AV66" i="12" s="1"/>
  <c r="AE66" i="12"/>
  <c r="AQ66" i="12" s="1"/>
  <c r="AG66" i="12"/>
  <c r="AW35" i="12"/>
  <c r="AP35" i="12"/>
  <c r="AS35" i="12" s="1"/>
  <c r="AV35" i="12" s="1"/>
  <c r="AD57" i="12"/>
  <c r="AL57" i="12" s="1"/>
  <c r="V57" i="12"/>
  <c r="AK57" i="12" s="1"/>
  <c r="H27" i="17"/>
  <c r="H67" i="17" s="1"/>
  <c r="H27" i="2"/>
  <c r="H67" i="2" s="1"/>
  <c r="E37" i="11"/>
  <c r="AS156" i="12"/>
  <c r="AV156" i="12" s="1"/>
  <c r="AR111" i="12"/>
  <c r="AI111" i="12"/>
  <c r="AJ111" i="12" s="1"/>
  <c r="AE111" i="12"/>
  <c r="AS68" i="12"/>
  <c r="AV68" i="12" s="1"/>
  <c r="B61" i="35"/>
  <c r="AI16" i="12"/>
  <c r="AJ16" i="12" s="1"/>
  <c r="AR16" i="12"/>
  <c r="AE16" i="12"/>
  <c r="M105" i="12"/>
  <c r="AO105" i="12" s="1"/>
  <c r="P105" i="12"/>
  <c r="X105" i="12"/>
  <c r="AT119" i="12"/>
  <c r="AH81" i="12"/>
  <c r="L111" i="12"/>
  <c r="AG111" i="12" s="1"/>
  <c r="O111" i="12"/>
  <c r="AO118" i="12"/>
  <c r="AI94" i="12"/>
  <c r="AR94" i="12"/>
  <c r="AE94" i="12"/>
  <c r="AU16" i="12"/>
  <c r="M43" i="12"/>
  <c r="AO43" i="12" s="1"/>
  <c r="X43" i="12"/>
  <c r="P43" i="12"/>
  <c r="O17" i="12"/>
  <c r="L17" i="12"/>
  <c r="AH17" i="12" s="1"/>
  <c r="AU45" i="12"/>
  <c r="P14" i="12"/>
  <c r="X14" i="12"/>
  <c r="M14" i="12"/>
  <c r="AO14" i="12" s="1"/>
  <c r="L29" i="12"/>
  <c r="AH29" i="12" s="1"/>
  <c r="O29" i="12"/>
  <c r="AU103" i="12"/>
  <c r="AU41" i="12"/>
  <c r="AG41" i="12"/>
  <c r="AJ41" i="12" s="1"/>
  <c r="AD69" i="12"/>
  <c r="AL69" i="12" s="1"/>
  <c r="V69" i="12"/>
  <c r="AK69" i="12" s="1"/>
  <c r="AT224" i="12"/>
  <c r="E33" i="11"/>
  <c r="AJ24" i="12"/>
  <c r="O91" i="12"/>
  <c r="L91" i="12"/>
  <c r="AG91" i="12" s="1"/>
  <c r="AT168" i="12"/>
  <c r="AU114" i="12"/>
  <c r="L16" i="12"/>
  <c r="O16" i="12"/>
  <c r="AI84" i="12"/>
  <c r="AR84" i="12"/>
  <c r="AE84" i="12"/>
  <c r="AT79" i="12"/>
  <c r="AR96" i="12"/>
  <c r="AI96" i="12"/>
  <c r="AE96" i="12"/>
  <c r="AU48" i="12"/>
  <c r="AU20" i="12"/>
  <c r="AG78" i="12"/>
  <c r="AI78" i="12"/>
  <c r="AR78" i="12"/>
  <c r="AE78" i="12"/>
  <c r="AQ78" i="12" s="1"/>
  <c r="AP78" i="12"/>
  <c r="AU10" i="12"/>
  <c r="AR20" i="12"/>
  <c r="AI20" i="12"/>
  <c r="AE20" i="12"/>
  <c r="AQ20" i="12" s="1"/>
  <c r="AI126" i="12"/>
  <c r="AJ126" i="12" s="1"/>
  <c r="AR126" i="12"/>
  <c r="AE126" i="12"/>
  <c r="AU91" i="12"/>
  <c r="O13" i="12"/>
  <c r="L13" i="12"/>
  <c r="AH13" i="12" s="1"/>
  <c r="H153" i="17"/>
  <c r="H95" i="17"/>
  <c r="AO29" i="12"/>
  <c r="AH35" i="12"/>
  <c r="AG35" i="12"/>
  <c r="AJ35" i="12" s="1"/>
  <c r="AD51" i="12"/>
  <c r="AL51" i="12" s="1"/>
  <c r="V51" i="12"/>
  <c r="AK51" i="12" s="1"/>
  <c r="AN36" i="12"/>
  <c r="AT36" i="12" s="1"/>
  <c r="B36" i="35"/>
  <c r="B54" i="35"/>
  <c r="P31" i="12"/>
  <c r="X31" i="12"/>
  <c r="M31" i="12"/>
  <c r="AO31" i="12" s="1"/>
  <c r="AN110" i="12"/>
  <c r="AT110" i="12" s="1"/>
  <c r="AN88" i="12"/>
  <c r="AT88" i="12" s="1"/>
  <c r="M85" i="12"/>
  <c r="AO85" i="12" s="1"/>
  <c r="P85" i="12"/>
  <c r="X85" i="12"/>
  <c r="AN86" i="12"/>
  <c r="AT86" i="12" s="1"/>
  <c r="AI14" i="12"/>
  <c r="AR14" i="12"/>
  <c r="AE14" i="12"/>
  <c r="L108" i="12"/>
  <c r="AG108" i="12" s="1"/>
  <c r="O108" i="12"/>
  <c r="AT153" i="12"/>
  <c r="O105" i="12"/>
  <c r="L105" i="12"/>
  <c r="AH105" i="12" s="1"/>
  <c r="B98" i="17"/>
  <c r="H152" i="17"/>
  <c r="H66" i="17"/>
  <c r="H94" i="17"/>
  <c r="C117" i="17"/>
  <c r="C149" i="17"/>
  <c r="C156" i="17" s="1"/>
  <c r="C157" i="17" s="1"/>
  <c r="C158" i="17" s="1"/>
  <c r="D35" i="17" s="1"/>
  <c r="C116" i="17"/>
  <c r="B54" i="17"/>
  <c r="O46" i="12"/>
  <c r="L46" i="12"/>
  <c r="AG46" i="12" s="1"/>
  <c r="Q35" i="12"/>
  <c r="R35" i="12" s="1"/>
  <c r="S35" i="12" s="1"/>
  <c r="T35" i="12" s="1"/>
  <c r="U35" i="12"/>
  <c r="V66" i="12"/>
  <c r="AK66" i="12" s="1"/>
  <c r="AD66" i="12"/>
  <c r="AL66" i="12" s="1"/>
  <c r="O45" i="12"/>
  <c r="L45" i="12"/>
  <c r="AG45" i="12" s="1"/>
  <c r="O112" i="12"/>
  <c r="L112" i="12"/>
  <c r="AI123" i="12"/>
  <c r="AJ123" i="12" s="1"/>
  <c r="AR123" i="12"/>
  <c r="AE123" i="12"/>
  <c r="X45" i="12"/>
  <c r="M45" i="12"/>
  <c r="AO45" i="12" s="1"/>
  <c r="P45" i="12"/>
  <c r="P49" i="12"/>
  <c r="X49" i="12"/>
  <c r="M49" i="12"/>
  <c r="AO49" i="12" s="1"/>
  <c r="AH51" i="12"/>
  <c r="AT150" i="12"/>
  <c r="X13" i="12"/>
  <c r="P13" i="12"/>
  <c r="M13" i="12"/>
  <c r="AO13" i="12" s="1"/>
  <c r="O31" i="12"/>
  <c r="L31" i="12"/>
  <c r="AH31" i="12" s="1"/>
  <c r="P111" i="12"/>
  <c r="AR102" i="12"/>
  <c r="BB102" i="12"/>
  <c r="BB103" i="12" s="1"/>
  <c r="AI102" i="12"/>
  <c r="AE102" i="12"/>
  <c r="P106" i="12"/>
  <c r="X106" i="12"/>
  <c r="M106" i="12"/>
  <c r="AO106" i="12" s="1"/>
  <c r="AU118" i="12"/>
  <c r="AR118" i="12"/>
  <c r="AI118" i="12"/>
  <c r="AJ118" i="12" s="1"/>
  <c r="AE118" i="12"/>
  <c r="AI105" i="12"/>
  <c r="AR105" i="12"/>
  <c r="AE105" i="12"/>
  <c r="P109" i="12"/>
  <c r="M109" i="12"/>
  <c r="AO109" i="12" s="1"/>
  <c r="X109" i="12"/>
  <c r="AD75" i="12"/>
  <c r="AL75" i="12" s="1"/>
  <c r="V75" i="12"/>
  <c r="AN80" i="12"/>
  <c r="AT80" i="12" s="1"/>
  <c r="AI29" i="12"/>
  <c r="AR29" i="12"/>
  <c r="AE29" i="12"/>
  <c r="L121" i="12"/>
  <c r="AG121" i="12" s="1"/>
  <c r="O121" i="12"/>
  <c r="P118" i="12"/>
  <c r="M17" i="12"/>
  <c r="AO17" i="12" s="1"/>
  <c r="AS17" i="12" s="1"/>
  <c r="AV17" i="12" s="1"/>
  <c r="X17" i="12"/>
  <c r="P17" i="12"/>
  <c r="AU108" i="12"/>
  <c r="B64" i="35"/>
  <c r="AN89" i="12"/>
  <c r="L90" i="12"/>
  <c r="AH90" i="12" s="1"/>
  <c r="O90" i="12"/>
  <c r="J3" i="12"/>
  <c r="H153" i="2"/>
  <c r="H95" i="2"/>
  <c r="L37" i="12"/>
  <c r="O37" i="12"/>
  <c r="L123" i="12"/>
  <c r="AH123" i="12" s="1"/>
  <c r="O123" i="12"/>
  <c r="AR112" i="12"/>
  <c r="AI112" i="12"/>
  <c r="AJ112" i="12" s="1"/>
  <c r="AE112" i="12"/>
  <c r="AU49" i="12"/>
  <c r="AI10" i="12"/>
  <c r="AJ10" i="12" s="1"/>
  <c r="AR10" i="12"/>
  <c r="AE10" i="12"/>
  <c r="AT146" i="12"/>
  <c r="AI25" i="12"/>
  <c r="AR25" i="12"/>
  <c r="AE25" i="12"/>
  <c r="L10" i="12"/>
  <c r="O10" i="12"/>
  <c r="X114" i="12"/>
  <c r="M114" i="12"/>
  <c r="AO114" i="12" s="1"/>
  <c r="P114" i="12"/>
  <c r="L84" i="12"/>
  <c r="AH84" i="12" s="1"/>
  <c r="O84" i="12"/>
  <c r="AI43" i="12"/>
  <c r="AJ43" i="12" s="1"/>
  <c r="AR43" i="12"/>
  <c r="AE43" i="12"/>
  <c r="O43" i="12"/>
  <c r="L43" i="12"/>
  <c r="AH43" i="12" s="1"/>
  <c r="AU85" i="12"/>
  <c r="X40" i="12"/>
  <c r="P40" i="12"/>
  <c r="M40" i="12"/>
  <c r="AO40" i="12" s="1"/>
  <c r="O102" i="12"/>
  <c r="L102" i="12"/>
  <c r="AH102" i="12" s="1"/>
  <c r="O93" i="12"/>
  <c r="L93" i="12"/>
  <c r="AH93" i="12" s="1"/>
  <c r="AU94" i="12"/>
  <c r="AN83" i="12"/>
  <c r="AT83" i="12" s="1"/>
  <c r="AO99" i="12"/>
  <c r="I115" i="12"/>
  <c r="AR72" i="12"/>
  <c r="AS72" i="12" s="1"/>
  <c r="AV72" i="12" s="1"/>
  <c r="AP72" i="12"/>
  <c r="AG72" i="12"/>
  <c r="AI72" i="12"/>
  <c r="AJ72" i="12" s="1"/>
  <c r="AT72" i="12" s="1"/>
  <c r="AE72" i="12"/>
  <c r="AQ72" i="12" s="1"/>
  <c r="AM67" i="12"/>
  <c r="AK67" i="12"/>
  <c r="AU13" i="12"/>
  <c r="O40" i="12"/>
  <c r="L40" i="12"/>
  <c r="AH40" i="12" s="1"/>
  <c r="P93" i="12"/>
  <c r="M93" i="12"/>
  <c r="AO93" i="12" s="1"/>
  <c r="X93" i="12"/>
  <c r="AU23" i="12"/>
  <c r="AA115" i="12"/>
  <c r="K115" i="12"/>
  <c r="H115" i="12"/>
  <c r="Z115" i="12"/>
  <c r="AR100" i="12"/>
  <c r="AI100" i="12"/>
  <c r="AE100" i="12"/>
  <c r="AH66" i="12"/>
  <c r="H158" i="2"/>
  <c r="H100" i="2"/>
  <c r="AU43" i="12"/>
  <c r="AU29" i="12"/>
  <c r="B62" i="35"/>
  <c r="AQ41" i="12"/>
  <c r="AR22" i="12"/>
  <c r="AI22" i="12"/>
  <c r="AJ22" i="12" s="1"/>
  <c r="AE22" i="12"/>
  <c r="X90" i="12"/>
  <c r="M90" i="12"/>
  <c r="AO90" i="12" s="1"/>
  <c r="P90" i="12"/>
  <c r="J90" i="12"/>
  <c r="K3" i="12"/>
  <c r="M3" i="12"/>
  <c r="L4" i="12"/>
  <c r="N3" i="12"/>
  <c r="K4" i="12"/>
  <c r="F4" i="12"/>
  <c r="P22" i="12"/>
  <c r="X22" i="12"/>
  <c r="M22" i="12"/>
  <c r="AO22" i="12" s="1"/>
  <c r="P32" i="12"/>
  <c r="X32" i="12"/>
  <c r="M32" i="12"/>
  <c r="AO32" i="12" s="1"/>
  <c r="O28" i="12"/>
  <c r="L28" i="12"/>
  <c r="AH28" i="12" s="1"/>
  <c r="AI69" i="12"/>
  <c r="AR69" i="12"/>
  <c r="AE69" i="12"/>
  <c r="AQ69" i="12" s="1"/>
  <c r="AP69" i="12"/>
  <c r="AG69" i="12"/>
  <c r="AR90" i="12"/>
  <c r="AI90" i="12"/>
  <c r="AE90" i="12"/>
  <c r="P103" i="12"/>
  <c r="M103" i="12"/>
  <c r="AO103" i="12" s="1"/>
  <c r="X103" i="12"/>
  <c r="Y103" i="12" s="1"/>
  <c r="AU84" i="12"/>
  <c r="O49" i="12"/>
  <c r="L49" i="12"/>
  <c r="AG49" i="12" s="1"/>
  <c r="B63" i="35"/>
  <c r="X10" i="12"/>
  <c r="P10" i="12"/>
  <c r="M10" i="12"/>
  <c r="AO10" i="12" s="1"/>
  <c r="AR91" i="12"/>
  <c r="AI91" i="12"/>
  <c r="AE91" i="12"/>
  <c r="AU106" i="12"/>
  <c r="AU14" i="12"/>
  <c r="AP20" i="12"/>
  <c r="AW20" i="12"/>
  <c r="AW26" i="12"/>
  <c r="AP26" i="12"/>
  <c r="AS26" i="12" s="1"/>
  <c r="AV26" i="12" s="1"/>
  <c r="AR106" i="12"/>
  <c r="AI106" i="12"/>
  <c r="AE106" i="12"/>
  <c r="M123" i="12"/>
  <c r="AO123" i="12" s="1"/>
  <c r="X123" i="12"/>
  <c r="P123" i="12"/>
  <c r="AR60" i="12"/>
  <c r="AS60" i="12" s="1"/>
  <c r="AV60" i="12" s="1"/>
  <c r="AP60" i="12"/>
  <c r="AI60" i="12"/>
  <c r="AJ60" i="12" s="1"/>
  <c r="AE60" i="12"/>
  <c r="AQ60" i="12" s="1"/>
  <c r="AG60" i="12"/>
  <c r="AU99" i="12"/>
  <c r="O103" i="12"/>
  <c r="L103" i="12"/>
  <c r="AG103" i="12" s="1"/>
  <c r="AD54" i="12"/>
  <c r="AL54" i="12" s="1"/>
  <c r="V54" i="12"/>
  <c r="AK54" i="12" s="1"/>
  <c r="O20" i="12"/>
  <c r="L20" i="12"/>
  <c r="AH20" i="12" s="1"/>
  <c r="P121" i="12"/>
  <c r="O14" i="12"/>
  <c r="L14" i="12"/>
  <c r="AH14" i="12" s="1"/>
  <c r="AI93" i="12"/>
  <c r="AR93" i="12"/>
  <c r="AE93" i="12"/>
  <c r="O23" i="12"/>
  <c r="L23" i="12"/>
  <c r="AH23" i="12" s="1"/>
  <c r="AM55" i="12"/>
  <c r="AN55" i="12" s="1"/>
  <c r="AT55" i="12" s="1"/>
  <c r="X112" i="12"/>
  <c r="M112" i="12"/>
  <c r="AO112" i="12" s="1"/>
  <c r="P112" i="12"/>
  <c r="AU25" i="12"/>
  <c r="AU126" i="12"/>
  <c r="AS104" i="12"/>
  <c r="AV104" i="12" s="1"/>
  <c r="AI99" i="12"/>
  <c r="AJ99" i="12" s="1"/>
  <c r="AR99" i="12"/>
  <c r="AE99" i="12"/>
  <c r="W97" i="12"/>
  <c r="AY97" i="12"/>
  <c r="O38" i="12"/>
  <c r="L38" i="12"/>
  <c r="AH38" i="12" s="1"/>
  <c r="O85" i="12"/>
  <c r="L85" i="12"/>
  <c r="AH85" i="12" s="1"/>
  <c r="AU22" i="12"/>
  <c r="X28" i="12"/>
  <c r="M28" i="12"/>
  <c r="P28" i="12"/>
  <c r="M23" i="12"/>
  <c r="AO23" i="12" s="1"/>
  <c r="AS23" i="12" s="1"/>
  <c r="AV23" i="12" s="1"/>
  <c r="X23" i="12"/>
  <c r="P23" i="12"/>
  <c r="O32" i="12"/>
  <c r="L32" i="12"/>
  <c r="AG32" i="12" s="1"/>
  <c r="AJ32" i="12" s="1"/>
  <c r="AP51" i="12"/>
  <c r="AG51" i="12"/>
  <c r="AI51" i="12"/>
  <c r="AJ51" i="12" s="1"/>
  <c r="AT51" i="12" s="1"/>
  <c r="AR51" i="12"/>
  <c r="AS51" i="12" s="1"/>
  <c r="AV51" i="12" s="1"/>
  <c r="AE51" i="12"/>
  <c r="AQ51" i="12" s="1"/>
  <c r="AU38" i="12"/>
  <c r="AU17" i="12"/>
  <c r="AG19" i="12"/>
  <c r="AU19" i="12"/>
  <c r="AI19" i="12"/>
  <c r="AR19" i="12"/>
  <c r="AE19" i="12"/>
  <c r="L48" i="12"/>
  <c r="AG48" i="12" s="1"/>
  <c r="O48" i="12"/>
  <c r="H107" i="2"/>
  <c r="H165" i="2"/>
  <c r="AI121" i="12"/>
  <c r="AR121" i="12"/>
  <c r="AE121" i="12"/>
  <c r="AT167" i="12"/>
  <c r="P91" i="12"/>
  <c r="M91" i="12"/>
  <c r="AO91" i="12" s="1"/>
  <c r="X91" i="12"/>
  <c r="AY115" i="12"/>
  <c r="W115" i="12"/>
  <c r="V63" i="12"/>
  <c r="AK63" i="12" s="1"/>
  <c r="AD63" i="12"/>
  <c r="AL63" i="12" s="1"/>
  <c r="L126" i="12"/>
  <c r="O126" i="12"/>
  <c r="Q11" i="12"/>
  <c r="R11" i="12" s="1"/>
  <c r="S11" i="12" s="1"/>
  <c r="T11" i="12" s="1"/>
  <c r="U11" i="12"/>
  <c r="AU121" i="12"/>
  <c r="AR103" i="12"/>
  <c r="AI103" i="12"/>
  <c r="AE103" i="12"/>
  <c r="AR114" i="12"/>
  <c r="AI114" i="12"/>
  <c r="AJ114" i="12" s="1"/>
  <c r="AE114" i="12"/>
  <c r="L106" i="12"/>
  <c r="AH106" i="12" s="1"/>
  <c r="O106" i="12"/>
  <c r="AR49" i="12"/>
  <c r="AI49" i="12"/>
  <c r="AE49" i="12"/>
  <c r="X46" i="12"/>
  <c r="P46" i="12"/>
  <c r="M46" i="12"/>
  <c r="AO46" i="12" s="1"/>
  <c r="O99" i="12"/>
  <c r="L99" i="12"/>
  <c r="AG99" i="12" s="1"/>
  <c r="X102" i="12"/>
  <c r="M102" i="12"/>
  <c r="AO102" i="12" s="1"/>
  <c r="P102" i="12"/>
  <c r="AG34" i="12"/>
  <c r="L114" i="12"/>
  <c r="AH114" i="12" s="1"/>
  <c r="O114" i="12"/>
  <c r="AF102" i="12"/>
  <c r="BA102" i="12"/>
  <c r="BA103" i="12" s="1"/>
  <c r="AJ70" i="12"/>
  <c r="AT70" i="12" s="1"/>
  <c r="AU105" i="12"/>
  <c r="AU109" i="12"/>
  <c r="AO25" i="12"/>
  <c r="AH57" i="12"/>
  <c r="O25" i="12"/>
  <c r="L25" i="12"/>
  <c r="AG25" i="12" s="1"/>
  <c r="AI85" i="12"/>
  <c r="AR85" i="12"/>
  <c r="AE85" i="12"/>
  <c r="AP75" i="12"/>
  <c r="AI75" i="12"/>
  <c r="AJ75" i="12" s="1"/>
  <c r="AR75" i="12"/>
  <c r="AS75" i="12" s="1"/>
  <c r="AV75" i="12" s="1"/>
  <c r="AE75" i="12"/>
  <c r="AQ75" i="12" s="1"/>
  <c r="AG75" i="12"/>
  <c r="AR13" i="12"/>
  <c r="AI13" i="12"/>
  <c r="AJ13" i="12" s="1"/>
  <c r="AE13" i="12"/>
  <c r="X38" i="12"/>
  <c r="P38" i="12"/>
  <c r="M38" i="12"/>
  <c r="AO38" i="12" s="1"/>
  <c r="AU32" i="12"/>
  <c r="P126" i="12"/>
  <c r="B55" i="35"/>
  <c r="AW41" i="12" l="1"/>
  <c r="AT95" i="12"/>
  <c r="Y14" i="12"/>
  <c r="AD35" i="12"/>
  <c r="AL35" i="12" s="1"/>
  <c r="AQ46" i="12"/>
  <c r="Y17" i="12"/>
  <c r="AW11" i="12"/>
  <c r="V11" i="12"/>
  <c r="U20" i="12"/>
  <c r="AT120" i="12"/>
  <c r="Q41" i="12"/>
  <c r="R41" i="12" s="1"/>
  <c r="S41" i="12" s="1"/>
  <c r="T41" i="12" s="1"/>
  <c r="AG17" i="12"/>
  <c r="Y91" i="12"/>
  <c r="AD91" i="12" s="1"/>
  <c r="AL91" i="12" s="1"/>
  <c r="Y46" i="12"/>
  <c r="U29" i="12"/>
  <c r="AM29" i="12" s="1"/>
  <c r="AN29" i="12" s="1"/>
  <c r="AG23" i="12"/>
  <c r="AP11" i="12"/>
  <c r="AS11" i="12" s="1"/>
  <c r="AV11" i="12" s="1"/>
  <c r="AQ29" i="12"/>
  <c r="AT89" i="12"/>
  <c r="AH103" i="12"/>
  <c r="Y106" i="12"/>
  <c r="V106" i="12" s="1"/>
  <c r="AG106" i="12"/>
  <c r="AJ106" i="12" s="1"/>
  <c r="Y94" i="12"/>
  <c r="V94" i="12" s="1"/>
  <c r="AN24" i="12"/>
  <c r="AT24" i="12" s="1"/>
  <c r="AG38" i="12"/>
  <c r="AJ38" i="12" s="1"/>
  <c r="AM41" i="12"/>
  <c r="AH49" i="12"/>
  <c r="Y109" i="12"/>
  <c r="V109" i="12" s="1"/>
  <c r="Y112" i="12"/>
  <c r="AG109" i="12"/>
  <c r="AJ109" i="12" s="1"/>
  <c r="Y38" i="12"/>
  <c r="AD38" i="12" s="1"/>
  <c r="AL38" i="12" s="1"/>
  <c r="AQ23" i="12"/>
  <c r="Y29" i="12"/>
  <c r="AD29" i="12" s="1"/>
  <c r="AL29" i="12" s="1"/>
  <c r="Y85" i="12"/>
  <c r="AD85" i="12" s="1"/>
  <c r="AL85" i="12" s="1"/>
  <c r="AS20" i="12"/>
  <c r="AV20" i="12" s="1"/>
  <c r="AH46" i="12"/>
  <c r="Y49" i="12"/>
  <c r="AH91" i="12"/>
  <c r="AS118" i="12"/>
  <c r="AV118" i="12" s="1"/>
  <c r="AS34" i="12"/>
  <c r="AV34" i="12" s="1"/>
  <c r="Y126" i="12"/>
  <c r="AD126" i="12" s="1"/>
  <c r="AL126" i="12" s="1"/>
  <c r="AP34" i="12"/>
  <c r="U25" i="12"/>
  <c r="AW111" i="12"/>
  <c r="Q34" i="12"/>
  <c r="R34" i="12" s="1"/>
  <c r="S34" i="12" s="1"/>
  <c r="T34" i="12" s="1"/>
  <c r="AQ34" i="12"/>
  <c r="H22" i="17"/>
  <c r="H62" i="17" s="1"/>
  <c r="H105" i="17" s="1"/>
  <c r="AQ25" i="12"/>
  <c r="Y96" i="12"/>
  <c r="V96" i="12" s="1"/>
  <c r="Y102" i="12"/>
  <c r="V102" i="12" s="1"/>
  <c r="Y13" i="12"/>
  <c r="V13" i="12" s="1"/>
  <c r="AS48" i="12"/>
  <c r="AV48" i="12" s="1"/>
  <c r="AG118" i="12"/>
  <c r="AG126" i="12"/>
  <c r="AQ121" i="12"/>
  <c r="H28" i="17"/>
  <c r="H68" i="17" s="1"/>
  <c r="H111" i="17" s="1"/>
  <c r="B98" i="2"/>
  <c r="B101" i="2" s="1"/>
  <c r="B115" i="2" s="1"/>
  <c r="H152" i="2"/>
  <c r="C116" i="2"/>
  <c r="AW121" i="12"/>
  <c r="Y108" i="12"/>
  <c r="AD108" i="12" s="1"/>
  <c r="AL108" i="12" s="1"/>
  <c r="Y84" i="12"/>
  <c r="V84" i="12" s="1"/>
  <c r="V34" i="12"/>
  <c r="AK34" i="12" s="1"/>
  <c r="Y121" i="12"/>
  <c r="V121" i="12" s="1"/>
  <c r="Y111" i="12"/>
  <c r="V111" i="12" s="1"/>
  <c r="AW34" i="12"/>
  <c r="B54" i="2"/>
  <c r="B56" i="2" s="1"/>
  <c r="U99" i="12"/>
  <c r="AG22" i="12"/>
  <c r="H94" i="2"/>
  <c r="C117" i="2"/>
  <c r="H66" i="2"/>
  <c r="H109" i="2" s="1"/>
  <c r="Y28" i="12"/>
  <c r="V28" i="12" s="1"/>
  <c r="Y48" i="12"/>
  <c r="V48" i="12" s="1"/>
  <c r="H18" i="2"/>
  <c r="H58" i="2" s="1"/>
  <c r="H101" i="2" s="1"/>
  <c r="H165" i="17"/>
  <c r="H100" i="17"/>
  <c r="AQ126" i="12"/>
  <c r="Y40" i="12"/>
  <c r="AD40" i="12" s="1"/>
  <c r="AL40" i="12" s="1"/>
  <c r="Y31" i="12"/>
  <c r="AD31" i="12" s="1"/>
  <c r="AL31" i="12" s="1"/>
  <c r="AS126" i="12"/>
  <c r="AV126" i="12" s="1"/>
  <c r="AQ111" i="12"/>
  <c r="Y10" i="12"/>
  <c r="V10" i="12" s="1"/>
  <c r="AS111" i="12"/>
  <c r="AV111" i="12" s="1"/>
  <c r="AG40" i="12"/>
  <c r="AT134" i="12"/>
  <c r="AS69" i="12"/>
  <c r="AV69" i="12" s="1"/>
  <c r="AS16" i="12"/>
  <c r="AV16" i="12" s="1"/>
  <c r="AJ69" i="12"/>
  <c r="AT69" i="12" s="1"/>
  <c r="Y16" i="12"/>
  <c r="AD16" i="12" s="1"/>
  <c r="AL16" i="12" s="1"/>
  <c r="AG114" i="12"/>
  <c r="AJ19" i="12"/>
  <c r="AQ16" i="12"/>
  <c r="Y105" i="12"/>
  <c r="V105" i="12" s="1"/>
  <c r="AH121" i="12"/>
  <c r="Y123" i="12"/>
  <c r="V123" i="12" s="1"/>
  <c r="Y93" i="12"/>
  <c r="V93" i="12" s="1"/>
  <c r="Y22" i="12"/>
  <c r="V22" i="12" s="1"/>
  <c r="AP126" i="12"/>
  <c r="AG105" i="12"/>
  <c r="AJ105" i="12" s="1"/>
  <c r="AS99" i="12"/>
  <c r="AV99" i="12" s="1"/>
  <c r="AO28" i="12"/>
  <c r="AW28" i="12" s="1"/>
  <c r="AH16" i="12"/>
  <c r="AQ48" i="12"/>
  <c r="Y118" i="12"/>
  <c r="AD118" i="12" s="1"/>
  <c r="AL118" i="12" s="1"/>
  <c r="AQ99" i="12"/>
  <c r="AS121" i="12"/>
  <c r="AV121" i="12" s="1"/>
  <c r="AG43" i="12"/>
  <c r="AQ31" i="12"/>
  <c r="Y114" i="12"/>
  <c r="AD114" i="12" s="1"/>
  <c r="AL114" i="12" s="1"/>
  <c r="Y43" i="12"/>
  <c r="AD43" i="12" s="1"/>
  <c r="AL43" i="12" s="1"/>
  <c r="AW22" i="12"/>
  <c r="AP22" i="12"/>
  <c r="AW93" i="12"/>
  <c r="AP93" i="12"/>
  <c r="AS93" i="12" s="1"/>
  <c r="AV93" i="12" s="1"/>
  <c r="AW91" i="12"/>
  <c r="AP91" i="12"/>
  <c r="AS91" i="12" s="1"/>
  <c r="AV91" i="12" s="1"/>
  <c r="AW38" i="12"/>
  <c r="AP38" i="12"/>
  <c r="AS38" i="12" s="1"/>
  <c r="AV38" i="12" s="1"/>
  <c r="AW103" i="12"/>
  <c r="AP103" i="12"/>
  <c r="AP100" i="12"/>
  <c r="AS100" i="12" s="1"/>
  <c r="AV100" i="12" s="1"/>
  <c r="AW100" i="12"/>
  <c r="AP90" i="12"/>
  <c r="AS90" i="12" s="1"/>
  <c r="AV90" i="12" s="1"/>
  <c r="AW90" i="12"/>
  <c r="V49" i="12"/>
  <c r="AD49" i="12"/>
  <c r="AL49" i="12" s="1"/>
  <c r="AD14" i="12"/>
  <c r="AL14" i="12" s="1"/>
  <c r="V14" i="12"/>
  <c r="AP84" i="12"/>
  <c r="AS84" i="12" s="1"/>
  <c r="AV84" i="12" s="1"/>
  <c r="AW84" i="12"/>
  <c r="AW109" i="12"/>
  <c r="AP109" i="12"/>
  <c r="AS109" i="12" s="1"/>
  <c r="AV109" i="12" s="1"/>
  <c r="AP13" i="12"/>
  <c r="AW13" i="12"/>
  <c r="AP105" i="12"/>
  <c r="AS105" i="12" s="1"/>
  <c r="AV105" i="12" s="1"/>
  <c r="AW105" i="12"/>
  <c r="AP102" i="12"/>
  <c r="AW102" i="12"/>
  <c r="AW49" i="12"/>
  <c r="AP49" i="12"/>
  <c r="AS49" i="12" s="1"/>
  <c r="AV49" i="12" s="1"/>
  <c r="AW112" i="12"/>
  <c r="AP112" i="12"/>
  <c r="AP108" i="12"/>
  <c r="AW108" i="12"/>
  <c r="V19" i="12"/>
  <c r="AD19" i="12"/>
  <c r="AL19" i="12" s="1"/>
  <c r="AP10" i="12"/>
  <c r="AW10" i="12"/>
  <c r="V112" i="12"/>
  <c r="AD112" i="12"/>
  <c r="AL112" i="12" s="1"/>
  <c r="AW43" i="12"/>
  <c r="AP43" i="12"/>
  <c r="AW40" i="12"/>
  <c r="AP40" i="12"/>
  <c r="AW106" i="12"/>
  <c r="AP106" i="12"/>
  <c r="AW45" i="12"/>
  <c r="AP45" i="12"/>
  <c r="AQ45" i="12"/>
  <c r="AS45" i="12"/>
  <c r="AV45" i="12" s="1"/>
  <c r="AW96" i="12"/>
  <c r="AP96" i="12"/>
  <c r="AS96" i="12" s="1"/>
  <c r="AV96" i="12" s="1"/>
  <c r="H101" i="17"/>
  <c r="H159" i="17"/>
  <c r="Q108" i="12"/>
  <c r="R108" i="12" s="1"/>
  <c r="S108" i="12" s="1"/>
  <c r="T108" i="12" s="1"/>
  <c r="U108" i="12"/>
  <c r="AP16" i="12"/>
  <c r="AW16" i="12"/>
  <c r="AQ84" i="12"/>
  <c r="H163" i="2"/>
  <c r="H105" i="2"/>
  <c r="AH10" i="12"/>
  <c r="AG29" i="12"/>
  <c r="AJ29" i="12" s="1"/>
  <c r="AT29" i="12" s="1"/>
  <c r="V29" i="12"/>
  <c r="AK29" i="12" s="1"/>
  <c r="L115" i="12"/>
  <c r="AH115" i="12" s="1"/>
  <c r="O115" i="12"/>
  <c r="AP114" i="12"/>
  <c r="AW114" i="12"/>
  <c r="AP14" i="12"/>
  <c r="AS14" i="12" s="1"/>
  <c r="AV14" i="12" s="1"/>
  <c r="AW14" i="12"/>
  <c r="Q23" i="12"/>
  <c r="R23" i="12" s="1"/>
  <c r="S23" i="12" s="1"/>
  <c r="T23" i="12" s="1"/>
  <c r="U23" i="12"/>
  <c r="AM35" i="12"/>
  <c r="H20" i="2"/>
  <c r="H60" i="2" s="1"/>
  <c r="H20" i="17"/>
  <c r="H60" i="17" s="1"/>
  <c r="AI115" i="12"/>
  <c r="AJ115" i="12" s="1"/>
  <c r="AR115" i="12"/>
  <c r="AE115" i="12"/>
  <c r="AH48" i="12"/>
  <c r="C169" i="17"/>
  <c r="C174" i="17" s="1"/>
  <c r="C175" i="17" s="1"/>
  <c r="C170" i="17"/>
  <c r="C176" i="17" s="1"/>
  <c r="C177" i="17" s="1"/>
  <c r="H151" i="17"/>
  <c r="H93" i="17"/>
  <c r="AW123" i="12"/>
  <c r="AP123" i="12"/>
  <c r="AH108" i="12"/>
  <c r="AQ90" i="12"/>
  <c r="AN67" i="12"/>
  <c r="AT67" i="12" s="1"/>
  <c r="Q40" i="12"/>
  <c r="R40" i="12" s="1"/>
  <c r="S40" i="12" s="1"/>
  <c r="T40" i="12" s="1"/>
  <c r="U40" i="12"/>
  <c r="Y99" i="12"/>
  <c r="AP25" i="12"/>
  <c r="AS25" i="12" s="1"/>
  <c r="AV25" i="12" s="1"/>
  <c r="AW25" i="12"/>
  <c r="AQ91" i="12"/>
  <c r="AJ25" i="12"/>
  <c r="AK41" i="12"/>
  <c r="Q46" i="12"/>
  <c r="R46" i="12" s="1"/>
  <c r="S46" i="12" s="1"/>
  <c r="T46" i="12" s="1"/>
  <c r="U46" i="12"/>
  <c r="AJ91" i="12"/>
  <c r="AP31" i="12"/>
  <c r="AS31" i="12" s="1"/>
  <c r="AV31" i="12" s="1"/>
  <c r="AW31" i="12"/>
  <c r="Q13" i="12"/>
  <c r="R13" i="12" s="1"/>
  <c r="S13" i="12" s="1"/>
  <c r="T13" i="12" s="1"/>
  <c r="U13" i="12"/>
  <c r="AQ14" i="12"/>
  <c r="AG16" i="12"/>
  <c r="AQ109" i="12"/>
  <c r="AQ13" i="12"/>
  <c r="AD46" i="12"/>
  <c r="AL46" i="12" s="1"/>
  <c r="V46" i="12"/>
  <c r="AQ19" i="12"/>
  <c r="Y23" i="12"/>
  <c r="AQ93" i="12"/>
  <c r="AG85" i="12"/>
  <c r="AJ85" i="12" s="1"/>
  <c r="AM75" i="12"/>
  <c r="AK75" i="12"/>
  <c r="AK35" i="12"/>
  <c r="AG10" i="12"/>
  <c r="AQ94" i="12"/>
  <c r="AG100" i="12"/>
  <c r="AJ100" i="12" s="1"/>
  <c r="AG31" i="12"/>
  <c r="AJ31" i="12" s="1"/>
  <c r="AH37" i="12"/>
  <c r="H151" i="2"/>
  <c r="H93" i="2"/>
  <c r="C169" i="2"/>
  <c r="C174" i="2" s="1"/>
  <c r="C175" i="2" s="1"/>
  <c r="C170" i="2"/>
  <c r="C176" i="2" s="1"/>
  <c r="C177" i="2" s="1"/>
  <c r="Y20" i="12"/>
  <c r="U112" i="12"/>
  <c r="AM112" i="12" s="1"/>
  <c r="Q112" i="12"/>
  <c r="R112" i="12" s="1"/>
  <c r="S112" i="12" s="1"/>
  <c r="T112" i="12" s="1"/>
  <c r="Q38" i="12"/>
  <c r="R38" i="12" s="1"/>
  <c r="S38" i="12" s="1"/>
  <c r="T38" i="12" s="1"/>
  <c r="U38" i="12"/>
  <c r="AF90" i="12"/>
  <c r="BF90" i="12"/>
  <c r="BF91" i="12" s="1"/>
  <c r="Q90" i="12"/>
  <c r="R90" i="12" s="1"/>
  <c r="S90" i="12" s="1"/>
  <c r="T90" i="12" s="1"/>
  <c r="U90" i="12"/>
  <c r="Q85" i="12"/>
  <c r="R85" i="12" s="1"/>
  <c r="S85" i="12" s="1"/>
  <c r="T85" i="12" s="1"/>
  <c r="U85" i="12"/>
  <c r="AP118" i="12"/>
  <c r="AW118" i="12"/>
  <c r="AH99" i="12"/>
  <c r="AQ114" i="12"/>
  <c r="AH94" i="12"/>
  <c r="H23" i="2"/>
  <c r="H63" i="2" s="1"/>
  <c r="H23" i="17"/>
  <c r="H63" i="17" s="1"/>
  <c r="AS40" i="12"/>
  <c r="AV40" i="12" s="1"/>
  <c r="AQ85" i="12"/>
  <c r="U93" i="12"/>
  <c r="Q93" i="12"/>
  <c r="R93" i="12" s="1"/>
  <c r="S93" i="12" s="1"/>
  <c r="T93" i="12" s="1"/>
  <c r="H167" i="17"/>
  <c r="H109" i="17"/>
  <c r="AJ78" i="12"/>
  <c r="Q14" i="12"/>
  <c r="R14" i="12" s="1"/>
  <c r="S14" i="12" s="1"/>
  <c r="T14" i="12" s="1"/>
  <c r="U14" i="12"/>
  <c r="AH126" i="12"/>
  <c r="V103" i="12"/>
  <c r="AD103" i="12"/>
  <c r="AL103" i="12" s="1"/>
  <c r="U105" i="12"/>
  <c r="Q105" i="12"/>
  <c r="R105" i="12" s="1"/>
  <c r="S105" i="12" s="1"/>
  <c r="T105" i="12" s="1"/>
  <c r="AG37" i="12"/>
  <c r="AW85" i="12"/>
  <c r="AP85" i="12"/>
  <c r="AS85" i="12" s="1"/>
  <c r="AV85" i="12" s="1"/>
  <c r="Q111" i="12"/>
  <c r="R111" i="12" s="1"/>
  <c r="S111" i="12" s="1"/>
  <c r="T111" i="12" s="1"/>
  <c r="U111" i="12"/>
  <c r="AQ96" i="12"/>
  <c r="AJ46" i="12"/>
  <c r="AH45" i="12"/>
  <c r="AP46" i="12"/>
  <c r="AS46" i="12" s="1"/>
  <c r="AV46" i="12" s="1"/>
  <c r="AW46" i="12"/>
  <c r="Q19" i="12"/>
  <c r="R19" i="12" s="1"/>
  <c r="S19" i="12" s="1"/>
  <c r="T19" i="12" s="1"/>
  <c r="U19" i="12"/>
  <c r="AP99" i="12"/>
  <c r="AW99" i="12"/>
  <c r="AK60" i="12"/>
  <c r="AM60" i="12"/>
  <c r="Q121" i="12"/>
  <c r="R121" i="12" s="1"/>
  <c r="S121" i="12" s="1"/>
  <c r="T121" i="12" s="1"/>
  <c r="U121" i="12"/>
  <c r="Y90" i="12"/>
  <c r="Q49" i="12"/>
  <c r="R49" i="12" s="1"/>
  <c r="S49" i="12" s="1"/>
  <c r="T49" i="12" s="1"/>
  <c r="U49" i="12"/>
  <c r="AQ43" i="12"/>
  <c r="AQ38" i="12"/>
  <c r="AU102" i="12"/>
  <c r="AG102" i="12"/>
  <c r="U109" i="12"/>
  <c r="Q109" i="12"/>
  <c r="R109" i="12" s="1"/>
  <c r="S109" i="12" s="1"/>
  <c r="T109" i="12" s="1"/>
  <c r="AS114" i="12"/>
  <c r="AV114" i="12" s="1"/>
  <c r="AH96" i="12"/>
  <c r="AG28" i="12"/>
  <c r="AJ28" i="12" s="1"/>
  <c r="AQ112" i="12"/>
  <c r="AD17" i="12"/>
  <c r="AL17" i="12" s="1"/>
  <c r="V17" i="12"/>
  <c r="AQ105" i="12"/>
  <c r="AQ102" i="12"/>
  <c r="Y45" i="12"/>
  <c r="AP17" i="12"/>
  <c r="AW17" i="12"/>
  <c r="AI97" i="12"/>
  <c r="AR97" i="12"/>
  <c r="AE97" i="12"/>
  <c r="AK81" i="12"/>
  <c r="AM81" i="12"/>
  <c r="H104" i="17"/>
  <c r="H162" i="17"/>
  <c r="AQ17" i="12"/>
  <c r="AJ102" i="12"/>
  <c r="H168" i="2"/>
  <c r="H110" i="2"/>
  <c r="O97" i="12"/>
  <c r="L97" i="12"/>
  <c r="AG97" i="12" s="1"/>
  <c r="Q37" i="12"/>
  <c r="R37" i="12" s="1"/>
  <c r="S37" i="12" s="1"/>
  <c r="T37" i="12" s="1"/>
  <c r="U37" i="12"/>
  <c r="AW23" i="12"/>
  <c r="AP23" i="12"/>
  <c r="AG112" i="12"/>
  <c r="B71" i="35" a="1"/>
  <c r="B71" i="35" s="1"/>
  <c r="B82" i="35" s="1"/>
  <c r="B83" i="35" s="1"/>
  <c r="B65" i="35"/>
  <c r="B66" i="35" s="1"/>
  <c r="B67" i="35" s="1"/>
  <c r="AM11" i="12"/>
  <c r="AK11" i="12"/>
  <c r="U103" i="12"/>
  <c r="Q103" i="12"/>
  <c r="R103" i="12" s="1"/>
  <c r="S103" i="12" s="1"/>
  <c r="T103" i="12" s="1"/>
  <c r="AQ49" i="12"/>
  <c r="U123" i="12"/>
  <c r="Q123" i="12"/>
  <c r="R123" i="12" s="1"/>
  <c r="S123" i="12" s="1"/>
  <c r="T123" i="12" s="1"/>
  <c r="U10" i="12"/>
  <c r="Q10" i="12"/>
  <c r="R10" i="12" s="1"/>
  <c r="S10" i="12" s="1"/>
  <c r="T10" i="12" s="1"/>
  <c r="AQ10" i="12"/>
  <c r="Q28" i="12"/>
  <c r="R28" i="12" s="1"/>
  <c r="S28" i="12" s="1"/>
  <c r="T28" i="12" s="1"/>
  <c r="U28" i="12"/>
  <c r="AM28" i="12" s="1"/>
  <c r="AN28" i="12" s="1"/>
  <c r="AQ40" i="12"/>
  <c r="AP29" i="12"/>
  <c r="AW29" i="12"/>
  <c r="U96" i="12"/>
  <c r="Q96" i="12"/>
  <c r="R96" i="12" s="1"/>
  <c r="S96" i="12" s="1"/>
  <c r="T96" i="12" s="1"/>
  <c r="U91" i="12"/>
  <c r="Q91" i="12"/>
  <c r="R91" i="12" s="1"/>
  <c r="S91" i="12" s="1"/>
  <c r="T91" i="12" s="1"/>
  <c r="AS43" i="12"/>
  <c r="AV43" i="12" s="1"/>
  <c r="Q45" i="12"/>
  <c r="R45" i="12" s="1"/>
  <c r="S45" i="12" s="1"/>
  <c r="T45" i="12" s="1"/>
  <c r="U45" i="12"/>
  <c r="AQ103" i="12"/>
  <c r="AQ32" i="12"/>
  <c r="AQ22" i="12"/>
  <c r="AG94" i="12"/>
  <c r="AJ94" i="12" s="1"/>
  <c r="AS112" i="12"/>
  <c r="AV112" i="12" s="1"/>
  <c r="Q118" i="12"/>
  <c r="R118" i="12" s="1"/>
  <c r="S118" i="12" s="1"/>
  <c r="T118" i="12" s="1"/>
  <c r="U118" i="12"/>
  <c r="AQ123" i="12"/>
  <c r="AH32" i="12"/>
  <c r="H110" i="17"/>
  <c r="H168" i="17"/>
  <c r="Q94" i="12"/>
  <c r="R94" i="12" s="1"/>
  <c r="S94" i="12" s="1"/>
  <c r="T94" i="12" s="1"/>
  <c r="U94" i="12"/>
  <c r="Y100" i="12"/>
  <c r="AP19" i="12"/>
  <c r="AS19" i="12" s="1"/>
  <c r="AV19" i="12" s="1"/>
  <c r="AW19" i="12"/>
  <c r="Q43" i="12"/>
  <c r="R43" i="12" s="1"/>
  <c r="S43" i="12" s="1"/>
  <c r="T43" i="12" s="1"/>
  <c r="U43" i="12"/>
  <c r="Q48" i="12"/>
  <c r="R48" i="12" s="1"/>
  <c r="S48" i="12" s="1"/>
  <c r="T48" i="12" s="1"/>
  <c r="U48" i="12"/>
  <c r="AP37" i="12"/>
  <c r="AW37" i="12"/>
  <c r="AS29" i="12"/>
  <c r="AV29" i="12" s="1"/>
  <c r="AQ37" i="12"/>
  <c r="AP32" i="12"/>
  <c r="AS32" i="12" s="1"/>
  <c r="AV32" i="12" s="1"/>
  <c r="AW32" i="12"/>
  <c r="X115" i="12"/>
  <c r="M115" i="12"/>
  <c r="AO115" i="12" s="1"/>
  <c r="P115" i="12"/>
  <c r="AS10" i="12"/>
  <c r="AV10" i="12" s="1"/>
  <c r="AP94" i="12"/>
  <c r="AS94" i="12" s="1"/>
  <c r="AV94" i="12" s="1"/>
  <c r="AW94" i="12"/>
  <c r="Q84" i="12"/>
  <c r="R84" i="12" s="1"/>
  <c r="S84" i="12" s="1"/>
  <c r="T84" i="12" s="1"/>
  <c r="U84" i="12"/>
  <c r="C121" i="17"/>
  <c r="Q106" i="12"/>
  <c r="R106" i="12" s="1"/>
  <c r="S106" i="12" s="1"/>
  <c r="T106" i="12" s="1"/>
  <c r="U106" i="12"/>
  <c r="AU97" i="12"/>
  <c r="Q126" i="12"/>
  <c r="R126" i="12" s="1"/>
  <c r="S126" i="12" s="1"/>
  <c r="T126" i="12" s="1"/>
  <c r="U126" i="12"/>
  <c r="AM126" i="12" s="1"/>
  <c r="AN126" i="12" s="1"/>
  <c r="AT126" i="12" s="1"/>
  <c r="BB126" i="12" s="1"/>
  <c r="AJ121" i="12"/>
  <c r="AG13" i="12"/>
  <c r="Q114" i="12"/>
  <c r="R114" i="12" s="1"/>
  <c r="S114" i="12" s="1"/>
  <c r="T114" i="12" s="1"/>
  <c r="U114" i="12"/>
  <c r="AS102" i="12"/>
  <c r="AV102" i="12" s="1"/>
  <c r="U100" i="12"/>
  <c r="Q100" i="12"/>
  <c r="R100" i="12" s="1"/>
  <c r="S100" i="12" s="1"/>
  <c r="T100" i="12" s="1"/>
  <c r="AG14" i="12"/>
  <c r="AJ14" i="12" s="1"/>
  <c r="AG84" i="12"/>
  <c r="AJ84" i="12" s="1"/>
  <c r="AS22" i="12"/>
  <c r="AV22" i="12" s="1"/>
  <c r="AG123" i="12"/>
  <c r="AP48" i="12"/>
  <c r="AW48" i="12"/>
  <c r="AG96" i="12"/>
  <c r="AJ96" i="12" s="1"/>
  <c r="H104" i="2"/>
  <c r="H162" i="2"/>
  <c r="Q22" i="12"/>
  <c r="R22" i="12" s="1"/>
  <c r="S22" i="12" s="1"/>
  <c r="T22" i="12" s="1"/>
  <c r="U22" i="12"/>
  <c r="AS13" i="12"/>
  <c r="AV13" i="12" s="1"/>
  <c r="H111" i="2"/>
  <c r="H169" i="2"/>
  <c r="C79" i="2"/>
  <c r="C80" i="2" s="1"/>
  <c r="C81" i="2" s="1"/>
  <c r="AJ49" i="12"/>
  <c r="AS37" i="12"/>
  <c r="AV37" i="12" s="1"/>
  <c r="AQ106" i="12"/>
  <c r="P97" i="12"/>
  <c r="X97" i="12"/>
  <c r="M97" i="12"/>
  <c r="AO97" i="12" s="1"/>
  <c r="AM26" i="12"/>
  <c r="AN26" i="12" s="1"/>
  <c r="AT26" i="12" s="1"/>
  <c r="AK26" i="12"/>
  <c r="AK78" i="12"/>
  <c r="AM78" i="12"/>
  <c r="AS106" i="12"/>
  <c r="AV106" i="12" s="1"/>
  <c r="U17" i="12"/>
  <c r="Q17" i="12"/>
  <c r="R17" i="12" s="1"/>
  <c r="S17" i="12" s="1"/>
  <c r="T17" i="12" s="1"/>
  <c r="AS78" i="12"/>
  <c r="AV78" i="12" s="1"/>
  <c r="Q16" i="12"/>
  <c r="R16" i="12" s="1"/>
  <c r="S16" i="12" s="1"/>
  <c r="T16" i="12" s="1"/>
  <c r="U16" i="12"/>
  <c r="Y25" i="12"/>
  <c r="AH25" i="12"/>
  <c r="AJ103" i="12"/>
  <c r="Y32" i="12"/>
  <c r="AQ100" i="12"/>
  <c r="AS123" i="12"/>
  <c r="AV123" i="12" s="1"/>
  <c r="AG20" i="12"/>
  <c r="AJ20" i="12" s="1"/>
  <c r="AQ108" i="12"/>
  <c r="Y37" i="12"/>
  <c r="AS103" i="12"/>
  <c r="AV103" i="12" s="1"/>
  <c r="C131" i="2"/>
  <c r="C139" i="2" s="1"/>
  <c r="Q102" i="12"/>
  <c r="R102" i="12" s="1"/>
  <c r="S102" i="12" s="1"/>
  <c r="T102" i="12" s="1"/>
  <c r="U102" i="12"/>
  <c r="Q32" i="12"/>
  <c r="R32" i="12" s="1"/>
  <c r="S32" i="12" s="1"/>
  <c r="T32" i="12" s="1"/>
  <c r="U32" i="12"/>
  <c r="AG93" i="12"/>
  <c r="AJ93" i="12" s="1"/>
  <c r="AQ118" i="12"/>
  <c r="AH111" i="12"/>
  <c r="AH112" i="12"/>
  <c r="U31" i="12"/>
  <c r="AM31" i="12" s="1"/>
  <c r="AN31" i="12" s="1"/>
  <c r="Q31" i="12"/>
  <c r="R31" i="12" s="1"/>
  <c r="S31" i="12" s="1"/>
  <c r="T31" i="12" s="1"/>
  <c r="H19" i="17"/>
  <c r="H59" i="17" s="1"/>
  <c r="H19" i="2"/>
  <c r="H59" i="2" s="1"/>
  <c r="AS108" i="12"/>
  <c r="AV108" i="12" s="1"/>
  <c r="V91" i="12" l="1"/>
  <c r="AM91" i="12" s="1"/>
  <c r="AK94" i="12"/>
  <c r="AD109" i="12"/>
  <c r="AL109" i="12" s="1"/>
  <c r="AD94" i="12"/>
  <c r="AL94" i="12" s="1"/>
  <c r="AK103" i="12"/>
  <c r="V85" i="12"/>
  <c r="AM14" i="12"/>
  <c r="AM94" i="12"/>
  <c r="AN94" i="12" s="1"/>
  <c r="AT94" i="12" s="1"/>
  <c r="V38" i="12"/>
  <c r="AM38" i="12" s="1"/>
  <c r="AD106" i="12"/>
  <c r="AL106" i="12" s="1"/>
  <c r="AN41" i="12"/>
  <c r="AT41" i="12" s="1"/>
  <c r="AD102" i="12"/>
  <c r="AL102" i="12" s="1"/>
  <c r="C131" i="17"/>
  <c r="C143" i="17" s="1"/>
  <c r="C144" i="17" s="1"/>
  <c r="C145" i="17" s="1"/>
  <c r="D33" i="17" s="1"/>
  <c r="AM13" i="12"/>
  <c r="AM123" i="12"/>
  <c r="C139" i="17"/>
  <c r="V126" i="12"/>
  <c r="AK126" i="12" s="1"/>
  <c r="H163" i="17"/>
  <c r="V118" i="12"/>
  <c r="AM118" i="12" s="1"/>
  <c r="AD96" i="12"/>
  <c r="AL96" i="12" s="1"/>
  <c r="AD13" i="12"/>
  <c r="AL13" i="12" s="1"/>
  <c r="AD28" i="12"/>
  <c r="AL28" i="12" s="1"/>
  <c r="V16" i="12"/>
  <c r="AK16" i="12" s="1"/>
  <c r="AD48" i="12"/>
  <c r="AL48" i="12" s="1"/>
  <c r="V40" i="12"/>
  <c r="AM40" i="12" s="1"/>
  <c r="AK102" i="12"/>
  <c r="AK10" i="12"/>
  <c r="AD84" i="12"/>
  <c r="AL84" i="12" s="1"/>
  <c r="AM34" i="12"/>
  <c r="AN34" i="12" s="1"/>
  <c r="AT34" i="12" s="1"/>
  <c r="H65" i="2"/>
  <c r="C110" i="2" s="1"/>
  <c r="V43" i="12"/>
  <c r="AM43" i="12" s="1"/>
  <c r="V31" i="12"/>
  <c r="AK31" i="12" s="1"/>
  <c r="V108" i="12"/>
  <c r="AK108" i="12" s="1"/>
  <c r="H65" i="17"/>
  <c r="H108" i="17" s="1"/>
  <c r="H25" i="2"/>
  <c r="H167" i="2"/>
  <c r="H25" i="17"/>
  <c r="H169" i="17"/>
  <c r="I27" i="11"/>
  <c r="J27" i="11" s="1"/>
  <c r="AN78" i="12"/>
  <c r="AT78" i="12" s="1"/>
  <c r="AD121" i="12"/>
  <c r="AL121" i="12" s="1"/>
  <c r="AD111" i="12"/>
  <c r="AL111" i="12" s="1"/>
  <c r="AK96" i="12"/>
  <c r="V114" i="12"/>
  <c r="AK114" i="12" s="1"/>
  <c r="AD22" i="12"/>
  <c r="AL22" i="12" s="1"/>
  <c r="AM111" i="12"/>
  <c r="H159" i="2"/>
  <c r="AN81" i="12"/>
  <c r="AT81" i="12" s="1"/>
  <c r="AD10" i="12"/>
  <c r="AL10" i="12" s="1"/>
  <c r="AD105" i="12"/>
  <c r="AL105" i="12" s="1"/>
  <c r="AQ115" i="12"/>
  <c r="AK93" i="12"/>
  <c r="Y97" i="12"/>
  <c r="AD97" i="12" s="1"/>
  <c r="AL97" i="12" s="1"/>
  <c r="AS115" i="12"/>
  <c r="AV115" i="12" s="1"/>
  <c r="AT31" i="12"/>
  <c r="AN60" i="12"/>
  <c r="AT60" i="12" s="1"/>
  <c r="AD93" i="12"/>
  <c r="AL93" i="12" s="1"/>
  <c r="AK123" i="12"/>
  <c r="AN75" i="12"/>
  <c r="AT75" i="12" s="1"/>
  <c r="AD123" i="12"/>
  <c r="AL123" i="12" s="1"/>
  <c r="AQ28" i="12"/>
  <c r="AK13" i="12"/>
  <c r="AP28" i="12"/>
  <c r="AS28" i="12" s="1"/>
  <c r="AV28" i="12" s="1"/>
  <c r="C143" i="2"/>
  <c r="C144" i="2" s="1"/>
  <c r="C145" i="2" s="1"/>
  <c r="D33" i="2" s="1"/>
  <c r="AP97" i="12"/>
  <c r="AS97" i="12" s="1"/>
  <c r="AV97" i="12" s="1"/>
  <c r="AW97" i="12"/>
  <c r="H102" i="17"/>
  <c r="H160" i="17"/>
  <c r="B62" i="17"/>
  <c r="C66" i="17" s="1"/>
  <c r="C67" i="17" s="1"/>
  <c r="C68" i="17" s="1"/>
  <c r="AM10" i="12"/>
  <c r="V20" i="12"/>
  <c r="AD20" i="12"/>
  <c r="AL20" i="12" s="1"/>
  <c r="AK28" i="12"/>
  <c r="V32" i="12"/>
  <c r="AK32" i="12" s="1"/>
  <c r="AD32" i="12"/>
  <c r="AL32" i="12" s="1"/>
  <c r="AM84" i="12"/>
  <c r="AK84" i="12"/>
  <c r="AT28" i="12"/>
  <c r="AM105" i="12"/>
  <c r="AK105" i="12"/>
  <c r="C178" i="2"/>
  <c r="C179" i="2" s="1"/>
  <c r="AD99" i="12"/>
  <c r="AL99" i="12" s="1"/>
  <c r="V99" i="12"/>
  <c r="C178" i="17"/>
  <c r="C179" i="17" s="1"/>
  <c r="V23" i="12"/>
  <c r="AM23" i="12" s="1"/>
  <c r="AD23" i="12"/>
  <c r="AL23" i="12" s="1"/>
  <c r="AK23" i="12"/>
  <c r="AM48" i="12"/>
  <c r="U97" i="12"/>
  <c r="Q97" i="12"/>
  <c r="R97" i="12" s="1"/>
  <c r="S97" i="12" s="1"/>
  <c r="T97" i="12" s="1"/>
  <c r="AM32" i="12"/>
  <c r="AN32" i="12" s="1"/>
  <c r="AT32" i="12" s="1"/>
  <c r="H106" i="2"/>
  <c r="C108" i="2"/>
  <c r="H164" i="2"/>
  <c r="C62" i="2"/>
  <c r="C71" i="2" s="1"/>
  <c r="C72" i="2" s="1"/>
  <c r="C73" i="2" s="1"/>
  <c r="AG115" i="12"/>
  <c r="AD25" i="12"/>
  <c r="AL25" i="12" s="1"/>
  <c r="V25" i="12"/>
  <c r="AK25" i="12" s="1"/>
  <c r="AM109" i="12"/>
  <c r="AK109" i="12"/>
  <c r="V100" i="12"/>
  <c r="AK100" i="12" s="1"/>
  <c r="AD100" i="12"/>
  <c r="AL100" i="12" s="1"/>
  <c r="Y115" i="12"/>
  <c r="H161" i="17"/>
  <c r="H103" i="17"/>
  <c r="C104" i="17"/>
  <c r="AH97" i="12"/>
  <c r="AK112" i="12"/>
  <c r="AN112" i="12" s="1"/>
  <c r="AT112" i="12" s="1"/>
  <c r="AM102" i="12"/>
  <c r="AM49" i="12"/>
  <c r="AK49" i="12"/>
  <c r="AK111" i="12"/>
  <c r="Q115" i="12"/>
  <c r="R115" i="12" s="1"/>
  <c r="S115" i="12" s="1"/>
  <c r="T115" i="12" s="1"/>
  <c r="U115" i="12"/>
  <c r="AG90" i="12"/>
  <c r="AJ90" i="12" s="1"/>
  <c r="AU90" i="12"/>
  <c r="BG90" i="12"/>
  <c r="BG91" i="12" s="1"/>
  <c r="AM46" i="12"/>
  <c r="AK46" i="12"/>
  <c r="H103" i="2"/>
  <c r="H161" i="2"/>
  <c r="C104" i="2"/>
  <c r="AK48" i="12"/>
  <c r="AM19" i="12"/>
  <c r="AK19" i="12"/>
  <c r="AM103" i="12"/>
  <c r="AN103" i="12" s="1"/>
  <c r="AT103" i="12" s="1"/>
  <c r="AN11" i="12"/>
  <c r="AT11" i="12" s="1"/>
  <c r="AM17" i="12"/>
  <c r="AK17" i="12"/>
  <c r="AQ97" i="12"/>
  <c r="AK14" i="12"/>
  <c r="AN14" i="12" s="1"/>
  <c r="AT14" i="12" s="1"/>
  <c r="AM96" i="12"/>
  <c r="AP115" i="12"/>
  <c r="AW115" i="12"/>
  <c r="AJ97" i="12"/>
  <c r="AD90" i="12"/>
  <c r="AL90" i="12" s="1"/>
  <c r="V90" i="12"/>
  <c r="AK90" i="12" s="1"/>
  <c r="AM93" i="12"/>
  <c r="AD37" i="12"/>
  <c r="AL37" i="12" s="1"/>
  <c r="V37" i="12"/>
  <c r="AM37" i="12" s="1"/>
  <c r="AM106" i="12"/>
  <c r="AK106" i="12"/>
  <c r="C108" i="17"/>
  <c r="H106" i="17"/>
  <c r="H164" i="17"/>
  <c r="C62" i="17"/>
  <c r="C71" i="17" s="1"/>
  <c r="C72" i="17" s="1"/>
  <c r="C73" i="17" s="1"/>
  <c r="H160" i="2"/>
  <c r="H102" i="2"/>
  <c r="B62" i="2"/>
  <c r="C66" i="2" s="1"/>
  <c r="C67" i="2" s="1"/>
  <c r="C68" i="2" s="1"/>
  <c r="AM85" i="12"/>
  <c r="AK85" i="12"/>
  <c r="AM22" i="12"/>
  <c r="AK22" i="12"/>
  <c r="AD45" i="12"/>
  <c r="AL45" i="12" s="1"/>
  <c r="V45" i="12"/>
  <c r="AK45" i="12" s="1"/>
  <c r="AM121" i="12"/>
  <c r="AK121" i="12"/>
  <c r="AN35" i="12"/>
  <c r="AT35" i="12" s="1"/>
  <c r="AK91" i="12" l="1"/>
  <c r="AN91" i="12" s="1"/>
  <c r="AT91" i="12" s="1"/>
  <c r="AN23" i="12"/>
  <c r="AT23" i="12" s="1"/>
  <c r="AK38" i="12"/>
  <c r="AK20" i="12"/>
  <c r="AM20" i="12"/>
  <c r="AM114" i="12"/>
  <c r="AN114" i="12" s="1"/>
  <c r="AT114" i="12" s="1"/>
  <c r="AK118" i="12"/>
  <c r="AN118" i="12" s="1"/>
  <c r="AT118" i="12" s="1"/>
  <c r="BB118" i="12" s="1"/>
  <c r="AN13" i="12"/>
  <c r="AT13" i="12" s="1"/>
  <c r="AM25" i="12"/>
  <c r="AN25" i="12" s="1"/>
  <c r="AT25" i="12" s="1"/>
  <c r="AN121" i="12"/>
  <c r="AT121" i="12" s="1"/>
  <c r="BB121" i="12" s="1"/>
  <c r="AN19" i="12"/>
  <c r="AT19" i="12" s="1"/>
  <c r="AN123" i="12"/>
  <c r="AT123" i="12" s="1"/>
  <c r="BB123" i="12" s="1"/>
  <c r="AN22" i="12"/>
  <c r="AT22" i="12" s="1"/>
  <c r="AN10" i="12"/>
  <c r="AT10" i="12" s="1"/>
  <c r="AM16" i="12"/>
  <c r="AN16" i="12" s="1"/>
  <c r="AT16" i="12" s="1"/>
  <c r="AN17" i="12"/>
  <c r="AT17" i="12" s="1"/>
  <c r="AM108" i="12"/>
  <c r="AN108" i="12" s="1"/>
  <c r="AT108" i="12" s="1"/>
  <c r="AN109" i="12"/>
  <c r="AT109" i="12" s="1"/>
  <c r="AK37" i="12"/>
  <c r="AN37" i="12" s="1"/>
  <c r="AT37" i="12" s="1"/>
  <c r="AK43" i="12"/>
  <c r="AN43" i="12" s="1"/>
  <c r="AT43" i="12" s="1"/>
  <c r="AK40" i="12"/>
  <c r="AN40" i="12" s="1"/>
  <c r="AT40" i="12" s="1"/>
  <c r="AN102" i="12"/>
  <c r="AT102" i="12" s="1"/>
  <c r="H166" i="2"/>
  <c r="H108" i="2"/>
  <c r="C110" i="17"/>
  <c r="C112" i="17" s="1"/>
  <c r="C125" i="17" s="1"/>
  <c r="C126" i="17" s="1"/>
  <c r="C127" i="17" s="1"/>
  <c r="D32" i="17" s="1"/>
  <c r="H166" i="17"/>
  <c r="V97" i="12"/>
  <c r="AK97" i="12" s="1"/>
  <c r="AN96" i="12"/>
  <c r="AT96" i="12" s="1"/>
  <c r="AN111" i="12"/>
  <c r="AT111" i="12" s="1"/>
  <c r="AN93" i="12"/>
  <c r="AT93" i="12" s="1"/>
  <c r="C85" i="2"/>
  <c r="C86" i="2" s="1"/>
  <c r="C87" i="2" s="1"/>
  <c r="D30" i="2" s="1"/>
  <c r="AN48" i="12"/>
  <c r="AT48" i="12" s="1"/>
  <c r="AM45" i="12"/>
  <c r="AN45" i="12" s="1"/>
  <c r="AT45" i="12" s="1"/>
  <c r="AM90" i="12"/>
  <c r="AN90" i="12" s="1"/>
  <c r="AT90" i="12" s="1"/>
  <c r="AN105" i="12"/>
  <c r="AT105" i="12" s="1"/>
  <c r="V115" i="12"/>
  <c r="AK115" i="12" s="1"/>
  <c r="AD115" i="12"/>
  <c r="AL115" i="12" s="1"/>
  <c r="C112" i="2"/>
  <c r="AN85" i="12"/>
  <c r="AT85" i="12" s="1"/>
  <c r="AN84" i="12"/>
  <c r="AT84" i="12" s="1"/>
  <c r="AN49" i="12"/>
  <c r="AT49" i="12" s="1"/>
  <c r="AN106" i="12"/>
  <c r="AT106" i="12" s="1"/>
  <c r="AN38" i="12"/>
  <c r="AT38" i="12" s="1"/>
  <c r="BH90" i="12"/>
  <c r="BH91" i="12" s="1"/>
  <c r="D38" i="17"/>
  <c r="AN46" i="12"/>
  <c r="AT46" i="12" s="1"/>
  <c r="AK99" i="12"/>
  <c r="AM99" i="12"/>
  <c r="D38" i="2"/>
  <c r="C85" i="17"/>
  <c r="C86" i="17" s="1"/>
  <c r="C87" i="17" s="1"/>
  <c r="C121" i="2"/>
  <c r="AM100" i="12"/>
  <c r="AN100" i="12" s="1"/>
  <c r="AT100" i="12" s="1"/>
  <c r="AN20" i="12" l="1"/>
  <c r="AT20" i="12" s="1"/>
  <c r="AM115" i="12"/>
  <c r="AN115" i="12" s="1"/>
  <c r="AT115" i="12" s="1"/>
  <c r="BB115" i="12" s="1"/>
  <c r="AM97" i="12"/>
  <c r="AN97" i="12" s="1"/>
  <c r="AT97" i="12" s="1"/>
  <c r="AN99" i="12"/>
  <c r="AT99" i="12" s="1"/>
  <c r="C125" i="2"/>
  <c r="C126" i="2" s="1"/>
  <c r="C127" i="2" s="1"/>
  <c r="D32" i="2" s="1"/>
  <c r="D30" i="17"/>
  <c r="C181" i="17"/>
  <c r="D42" i="17" s="1"/>
  <c r="C182" i="17"/>
  <c r="D43" i="17" s="1"/>
  <c r="C182" i="2" l="1"/>
  <c r="D43" i="2" s="1"/>
  <c r="C181" i="2"/>
  <c r="D42" i="2" s="1"/>
  <c r="I26" i="11"/>
  <c r="J26" i="11" s="1"/>
  <c r="I25" i="11" l="1"/>
  <c r="J25" i="1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F066F0D-54CB-4048-92B5-01303557AE69}" keepAlive="1" name="Query - Table 0 (2)" description="Connection to the 'Table 0 (2)' query in the workbook." type="5" refreshedVersion="7" background="1" saveData="1">
    <dbPr connection="Provider=Microsoft.Mashup.OleDb.1;Data Source=$Workbook$;Location=&quot;Table 0 (2)&quot;;Extended Properties=&quot;&quot;" command="SELECT * FROM [Table 0 (2)]"/>
  </connection>
  <connection id="2" xr16:uid="{281C79EF-5A99-4931-87C5-065DD6624337}" keepAlive="1" name="Query - Testing" description="Connection to the 'Testing' query in the workbook." type="5" refreshedVersion="0" background="1" saveData="1">
    <dbPr connection="Provider=Microsoft.Mashup.OleDb.1;Data Source=$Workbook$;Location=Testing;Extended Properties=&quot;&quot;" command="SELECT * FROM [Testing]"/>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<sst xmlns="http://schemas.openxmlformats.org/spreadsheetml/2006/main" count="3634" uniqueCount="1429">
  <si>
    <t>Solar</t>
  </si>
  <si>
    <t>NOTES:</t>
  </si>
  <si>
    <t>Effective Bending Length Factor</t>
  </si>
  <si>
    <t xml:space="preserve">2. The only inputs required in the following sheets are the "Project: " in the center Header and the Engineers' Initials in the right Header. </t>
  </si>
  <si>
    <t>3. Print areas are already set, so to print the 4 cases (a, b, c, d) individually all that needs to be done is to highlight the desired tabs and print. Printing each case individually might be easier to deal with when packaging the final report in Bluebeam.</t>
  </si>
  <si>
    <t>At Grade Moment</t>
  </si>
  <si>
    <t>Mx (lb-in)</t>
  </si>
  <si>
    <t>My (lb-in)</t>
  </si>
  <si>
    <t>At Grade Shear</t>
  </si>
  <si>
    <t>Vx (lb)</t>
  </si>
  <si>
    <t>Vy (lb)</t>
  </si>
  <si>
    <t>4. The only issue when printing might be having to fit all the columns on one page when specifying a scaling.</t>
  </si>
  <si>
    <t>At Maximum Moment</t>
  </si>
  <si>
    <t>Axial Compression</t>
  </si>
  <si>
    <t>Pc (lb)</t>
  </si>
  <si>
    <t>Axial Tension</t>
  </si>
  <si>
    <t>Pt (lb)</t>
  </si>
  <si>
    <t>W 6 x 15 - Reduced (3mil)</t>
  </si>
  <si>
    <t>Sectional Area</t>
  </si>
  <si>
    <t>Depth</t>
  </si>
  <si>
    <t>d (in)</t>
  </si>
  <si>
    <t>Web Thickness</t>
  </si>
  <si>
    <t>Width</t>
  </si>
  <si>
    <t>Flange Thickness</t>
  </si>
  <si>
    <t>Moment of Inertia (Strong Axis)</t>
  </si>
  <si>
    <t>Elastic Section Modulus (Strong Axis)</t>
  </si>
  <si>
    <t>Radius of Gyration (Strong Axis)</t>
  </si>
  <si>
    <t>Plastic Section Modulus (Strong Axis)</t>
  </si>
  <si>
    <t>Moment of Inertia (Weak Axis)</t>
  </si>
  <si>
    <t>Elastic Section Modulus (Weak Axis)</t>
  </si>
  <si>
    <t>Radius of Gyration (Weak Axis)</t>
  </si>
  <si>
    <t>Plastic Section Modulus (Weak Axis)</t>
  </si>
  <si>
    <t>Torsional Constant</t>
  </si>
  <si>
    <t>Warping Constant</t>
  </si>
  <si>
    <t>W 6 x 16 - Reduced (3mil)</t>
  </si>
  <si>
    <t>W 6 x 7 - Reduced (3mil)</t>
  </si>
  <si>
    <t>Stratum</t>
  </si>
  <si>
    <t>Max Depth Below Grade (ft)</t>
  </si>
  <si>
    <t>Allowable End Bearing (psf)</t>
  </si>
  <si>
    <t>Allowable Compression Side Resistance (psf)</t>
  </si>
  <si>
    <t>3-mil bare steel loss (in)</t>
  </si>
  <si>
    <t>4-mil bare steel loss (in)</t>
  </si>
  <si>
    <t>5-mil bare steel loss (in)</t>
  </si>
  <si>
    <t>E</t>
  </si>
  <si>
    <t>ksi</t>
  </si>
  <si>
    <t>[AISC 360, Eqn E3-4]</t>
  </si>
  <si>
    <t>[AISC 360, Eqn E3-2 &amp; Eqn E3-3]</t>
  </si>
  <si>
    <t>[AISC 360, Eqn E3-1]</t>
  </si>
  <si>
    <t>[AISC 360, Eqn F2-5]</t>
  </si>
  <si>
    <t>[AISC 360, Eqn F2-6]</t>
  </si>
  <si>
    <t>AISC Design Guide 09 - 3.2.2</t>
  </si>
  <si>
    <t>AISC Design Guide 09 - 3.2.1</t>
  </si>
  <si>
    <t>AISC Table B4.1a/b</t>
  </si>
  <si>
    <t>[AISC 360, Eqn F2-1]</t>
  </si>
  <si>
    <t>AISC 360, Section F2.3</t>
  </si>
  <si>
    <t>AISC 360, Section F2.2</t>
  </si>
  <si>
    <t>AISC 360, Section F6.2</t>
  </si>
  <si>
    <t>Unbraced Length</t>
  </si>
  <si>
    <t>ft</t>
  </si>
  <si>
    <t>Effective Bending Length Factor, K</t>
  </si>
  <si>
    <t>Designation Imperial (in x lb/ft)</t>
  </si>
  <si>
    <t>Depth h (in)</t>
  </si>
  <si>
    <t>Width w (in)</t>
  </si>
  <si>
    <t>Web Thickness tw (in)</t>
  </si>
  <si>
    <t>Flange Thickness tf (in)</t>
  </si>
  <si>
    <t>Sectional Area (in2)</t>
  </si>
  <si>
    <t>Weight (lbf/ft)</t>
  </si>
  <si>
    <t>Static Parameters Moment of Inertia Ix (in4)</t>
  </si>
  <si>
    <t>Static Parameters Moment of Inertia Iy (in4)</t>
  </si>
  <si>
    <t>Static Parameters Plastic Section Modulus Zx (in3)</t>
  </si>
  <si>
    <t>Static Parameters Plastic Section Modulus Zy (in3)</t>
  </si>
  <si>
    <t>Static Parameters Elastic Section Modulus Sx (in3)2</t>
  </si>
  <si>
    <t>Static Parameters Elastic Section Modulus Sy (in3)3</t>
  </si>
  <si>
    <t>Strength (ksi)</t>
  </si>
  <si>
    <t>ry (in)2</t>
  </si>
  <si>
    <r>
      <t>F</t>
    </r>
    <r>
      <rPr>
        <vertAlign val="subscript"/>
        <sz val="11"/>
        <color theme="1"/>
        <rFont val="Calibri"/>
        <family val="2"/>
        <scheme val="minor"/>
      </rPr>
      <t>e,y</t>
    </r>
  </si>
  <si>
    <r>
      <t>F</t>
    </r>
    <r>
      <rPr>
        <vertAlign val="subscript"/>
        <sz val="11"/>
        <color theme="1"/>
        <rFont val="Calibri"/>
        <family val="2"/>
        <scheme val="minor"/>
      </rPr>
      <t>cr,y</t>
    </r>
  </si>
  <si>
    <r>
      <t>P</t>
    </r>
    <r>
      <rPr>
        <vertAlign val="subscript"/>
        <sz val="11"/>
        <color theme="1"/>
        <rFont val="Calibri"/>
        <family val="2"/>
        <scheme val="minor"/>
      </rPr>
      <t>n,fb,y</t>
    </r>
  </si>
  <si>
    <t>Lp (ft)</t>
  </si>
  <si>
    <t>Lr</t>
  </si>
  <si>
    <t>ho</t>
  </si>
  <si>
    <t>Cw*</t>
  </si>
  <si>
    <t>rts</t>
  </si>
  <si>
    <t>J*</t>
  </si>
  <si>
    <t>b/t</t>
  </si>
  <si>
    <t>λpf</t>
  </si>
  <si>
    <t>λrf</t>
  </si>
  <si>
    <t>Fcrx</t>
  </si>
  <si>
    <t>Fcry</t>
  </si>
  <si>
    <t>Mp (k-in)</t>
  </si>
  <si>
    <t>Mnlb,Non-Compact (k-in)</t>
  </si>
  <si>
    <t>Mnlb,slender (k-in)</t>
  </si>
  <si>
    <t>Controlling LBx</t>
  </si>
  <si>
    <t>LBx</t>
  </si>
  <si>
    <t>Mnltbp (k-in)</t>
  </si>
  <si>
    <t>Mnltbr (k-in)</t>
  </si>
  <si>
    <t>Controlling LTB</t>
  </si>
  <si>
    <t>LTB</t>
  </si>
  <si>
    <t>Mny (k-in)</t>
  </si>
  <si>
    <t>Mlby,Non-Compact (k-in)</t>
  </si>
  <si>
    <t>Mlby,Slender (k-in)</t>
  </si>
  <si>
    <t>Controlling Lby</t>
  </si>
  <si>
    <t>LBy</t>
  </si>
  <si>
    <t>Controlling Mnx @ AG (k-in)</t>
  </si>
  <si>
    <t>Controlling Mnx @ MM (k-in)</t>
  </si>
  <si>
    <t>Controlling Mny @ AG (k-in)</t>
  </si>
  <si>
    <t>Controlling Mny @ MM (k-in)</t>
  </si>
  <si>
    <t>HEA 140</t>
  </si>
  <si>
    <t>HEA 140 - Reduced (3mil)</t>
  </si>
  <si>
    <t>HEA 140 - Reduced (5mil)</t>
  </si>
  <si>
    <t>HEA 160</t>
  </si>
  <si>
    <t>HEA 160 - Reduced (3mil)</t>
  </si>
  <si>
    <t>HEA 160 - Reduced (5mil)</t>
  </si>
  <si>
    <t>HEB 160</t>
  </si>
  <si>
    <t>HEB 160 - Reduced (3mil)</t>
  </si>
  <si>
    <t>HEB 160 - Reduced (5mil)</t>
  </si>
  <si>
    <t>HEA 180</t>
  </si>
  <si>
    <t>HEA 180 - Reduced (3mil)</t>
  </si>
  <si>
    <t>HEA 180 - Reduced (5mil)</t>
  </si>
  <si>
    <t>HEB 180</t>
  </si>
  <si>
    <t>HEB 180 - Reduced (3mil)</t>
  </si>
  <si>
    <t>HEB 180 - Reduced (5mil)</t>
  </si>
  <si>
    <t>HEA 200</t>
  </si>
  <si>
    <t>HEA 200 - Reduced (3mil)</t>
  </si>
  <si>
    <t>HEA 200 - Reduced (5mil)</t>
  </si>
  <si>
    <t>HEA 220</t>
  </si>
  <si>
    <t>HEA 220 - Reduced (3mil)</t>
  </si>
  <si>
    <t>HEA 220 - Reduced (5mil)</t>
  </si>
  <si>
    <t>HEA 240</t>
  </si>
  <si>
    <t>HEA 240 - Reduced (3mil)</t>
  </si>
  <si>
    <t>HEA 240 - Reduced (5mil)</t>
  </si>
  <si>
    <t>IPEA 140</t>
  </si>
  <si>
    <t>IPEA 140 - Reduced (3mil)</t>
  </si>
  <si>
    <t>IPEA 140 - Reduced (5mil)</t>
  </si>
  <si>
    <t>IPEA 160</t>
  </si>
  <si>
    <t>IPEA 160 - Reduced (3mil)</t>
  </si>
  <si>
    <t>IPEA 160 - Reduced (5mil)</t>
  </si>
  <si>
    <t>IPEA 180</t>
  </si>
  <si>
    <t>IPEA 180 - Reduced (3mil)</t>
  </si>
  <si>
    <t>IPEA 180 - Reduced (5mil)</t>
  </si>
  <si>
    <t>IPE 180</t>
  </si>
  <si>
    <t>IPE 180 - Reduced (3mil)</t>
  </si>
  <si>
    <t>IPEA 200</t>
  </si>
  <si>
    <t>IPEA 200 - Reduced (3mil)</t>
  </si>
  <si>
    <t>IPEA 200 - Reduced (5mil)</t>
  </si>
  <si>
    <t>IPEA 220</t>
  </si>
  <si>
    <t>IPEA 220 - Reduced (3mil)</t>
  </si>
  <si>
    <t>IPEA 220 - Reduced (5mil)</t>
  </si>
  <si>
    <t>CP 100x50x20x3</t>
  </si>
  <si>
    <t>CP 100x50x20x3 - Reduced (3mil)</t>
  </si>
  <si>
    <t>CP 100x50x20x3 - Reduced (4mil)</t>
  </si>
  <si>
    <t>CP 120x50x20x3</t>
  </si>
  <si>
    <t>CP 120x50x20x3 - Reduced (3mil)</t>
  </si>
  <si>
    <t>CP 120x50x20x3 - Reduced (4mil)</t>
  </si>
  <si>
    <t>CP 120x50x20x4</t>
  </si>
  <si>
    <t>CP 120x50x20x4 - Reduced (3mil)</t>
  </si>
  <si>
    <t>CP 120x50x20x4 - Reduced (4mil)</t>
  </si>
  <si>
    <t>CP 140x50x20x3</t>
  </si>
  <si>
    <t>CP 140x50x20x3 - Reduced (3mil)</t>
  </si>
  <si>
    <t>CP 140x50x20x3 - Reduced (4mil)</t>
  </si>
  <si>
    <t>CP 140x50x20x4</t>
  </si>
  <si>
    <t>CP 140x50x20x4 - Reduced (3mil)</t>
  </si>
  <si>
    <t>CP 140x50x20x4 - Reduced (4mil)</t>
  </si>
  <si>
    <t>CP 140x70x20x4</t>
  </si>
  <si>
    <t>CP 140x70x20x4 - Reduced (3mil)</t>
  </si>
  <si>
    <t>CP 140x70x20x4 - Reduced (4mil)</t>
  </si>
  <si>
    <t>CP 150x50x12.7x2.66</t>
  </si>
  <si>
    <t>CP 150x50x12.7x2.66 - Reduced (3mil)</t>
  </si>
  <si>
    <t>CP 150x50x12.7x2.66 - Reduced (4mil)</t>
  </si>
  <si>
    <t>CP 170x50x20x3</t>
  </si>
  <si>
    <t>CP 170x50x20x3 - Reduced (3mil)</t>
  </si>
  <si>
    <t>CP 170x50x20x3 - Reduced (4mil)</t>
  </si>
  <si>
    <t>CP 170x50x20x4</t>
  </si>
  <si>
    <t>CP 170x50x20x4 - Reduced (3mil)</t>
  </si>
  <si>
    <t>CP 170x50x20x4 - Reduced (4mil)</t>
  </si>
  <si>
    <t>CP 170x70x20x3</t>
  </si>
  <si>
    <t>CP 170x70x20x3 - Reduced (3mil)</t>
  </si>
  <si>
    <t>CP 170x70x20x3 - Reduced (4mil)</t>
  </si>
  <si>
    <t>CP 170x70x20x4</t>
  </si>
  <si>
    <t>CP 170x70x20x4 - Reduced (3mil)</t>
  </si>
  <si>
    <t>CP 170x70x20x4 - Reduced (4mil)</t>
  </si>
  <si>
    <t>H146x95x3.2x4.0</t>
  </si>
  <si>
    <t>H146x95x3.2x4.0 - Reduced (3mil)</t>
  </si>
  <si>
    <t>H146x95x3.2x4.0 - Reduced (5mil)</t>
  </si>
  <si>
    <t>W 4 x 13</t>
  </si>
  <si>
    <t>W 5 x 16</t>
  </si>
  <si>
    <t>W 5 x 19</t>
  </si>
  <si>
    <t>W 6 x 7</t>
  </si>
  <si>
    <t>W 6 x 7 - Reduced (5mil)</t>
  </si>
  <si>
    <t>W 6 x 8.5</t>
  </si>
  <si>
    <t>W 6 x 8.5 - Reduced (3mil)</t>
  </si>
  <si>
    <t>W 6 x 8.5 - Reduced (5mil)</t>
  </si>
  <si>
    <t>W 6 x 9</t>
  </si>
  <si>
    <t>W 6 x 9 - Reduced (3mil)</t>
  </si>
  <si>
    <t>W 6 x 9 - Reduced (5mil)</t>
  </si>
  <si>
    <t>W 6 x 12</t>
  </si>
  <si>
    <t>W 6 x 12 - Reduced (3mil)</t>
  </si>
  <si>
    <t>W 6 x 12 - Reduced (5mil)</t>
  </si>
  <si>
    <t>W 6 x 15</t>
  </si>
  <si>
    <t>W 6 x 15 - Reduced (5mil)</t>
  </si>
  <si>
    <t>W 6 x 20</t>
  </si>
  <si>
    <t>W 6 x 20 - Reduced (3mil)</t>
  </si>
  <si>
    <t>W 6 x 20 - Reduced (5mil)</t>
  </si>
  <si>
    <t>W 6 x 16</t>
  </si>
  <si>
    <t>W 6 x 16 - Reduced (5mil)</t>
  </si>
  <si>
    <t>W 6 x 25</t>
  </si>
  <si>
    <t>W 6 x 25 - Reduced (3mil)</t>
  </si>
  <si>
    <t>W 6 x 25 - Reduced (5mil)</t>
  </si>
  <si>
    <t>W 8 x 10</t>
  </si>
  <si>
    <t>W 8 x 24</t>
  </si>
  <si>
    <t>W 8 x 24 - Reduced (3mil)</t>
  </si>
  <si>
    <t>W 8 x 13</t>
  </si>
  <si>
    <t>W 8 x 31</t>
  </si>
  <si>
    <t>W 8 x 31 - Reduced (3mil)</t>
  </si>
  <si>
    <t>W 8 x 28</t>
  </si>
  <si>
    <t>W 8 x 28 - Reduced (3mil)</t>
  </si>
  <si>
    <t>W 8 x 15</t>
  </si>
  <si>
    <t>W 8 x 35</t>
  </si>
  <si>
    <t>W 8 x 35 - Reduced (3mil)</t>
  </si>
  <si>
    <t>W 8 x 18</t>
  </si>
  <si>
    <t>W 8 x 40</t>
  </si>
  <si>
    <t>W 8 x 21</t>
  </si>
  <si>
    <t>W 8 x 48</t>
  </si>
  <si>
    <t>W 8 x 58</t>
  </si>
  <si>
    <t>W 8 x 67</t>
  </si>
  <si>
    <t>W 10 x 33</t>
  </si>
  <si>
    <t>W 10 x 12</t>
  </si>
  <si>
    <t>W 10 x 39</t>
  </si>
  <si>
    <t>W 10 x 49</t>
  </si>
  <si>
    <t>W 10 x 15</t>
  </si>
  <si>
    <t>W 10 x 54</t>
  </si>
  <si>
    <t>W 10 x 45</t>
  </si>
  <si>
    <t>W 10 x 17</t>
  </si>
  <si>
    <t>W 10 x 22</t>
  </si>
  <si>
    <t>W 10 x 60</t>
  </si>
  <si>
    <t>W 10 x 19</t>
  </si>
  <si>
    <t>W 10 x 26</t>
  </si>
  <si>
    <t>W 10 x 68</t>
  </si>
  <si>
    <t>W 10 x 30</t>
  </si>
  <si>
    <t>W 10 x 77</t>
  </si>
  <si>
    <t>W 10 x 88</t>
  </si>
  <si>
    <t>W 10 x 100</t>
  </si>
  <si>
    <t>W 10 x 112</t>
  </si>
  <si>
    <t>W 12 x 14</t>
  </si>
  <si>
    <t>W 12 x 40</t>
  </si>
  <si>
    <t>W 12 x 16</t>
  </si>
  <si>
    <t>W 12 x 53</t>
  </si>
  <si>
    <t>W 12 x 45</t>
  </si>
  <si>
    <t>W 12 x 65</t>
  </si>
  <si>
    <t>W 12 x 19</t>
  </si>
  <si>
    <t>W 12 x 58</t>
  </si>
  <si>
    <t>W 12 x 50</t>
  </si>
  <si>
    <t>W 12 x 26</t>
  </si>
  <si>
    <t>W 12 x 72</t>
  </si>
  <si>
    <t>W 12 x 22</t>
  </si>
  <si>
    <t>W 12 x 30</t>
  </si>
  <si>
    <t>W 12 x 79</t>
  </si>
  <si>
    <t>W 12 x 35</t>
  </si>
  <si>
    <t>W 12 x 87</t>
  </si>
  <si>
    <t>W 12 x 96</t>
  </si>
  <si>
    <t>W 12 x 106</t>
  </si>
  <si>
    <t>W 12 x 120</t>
  </si>
  <si>
    <t>W 12 x 136</t>
  </si>
  <si>
    <t>W 14 x 43</t>
  </si>
  <si>
    <t>W 14 x 22</t>
  </si>
  <si>
    <t>W 14 x 48</t>
  </si>
  <si>
    <t>W 14 x 30</t>
  </si>
  <si>
    <t>W 14 x 61</t>
  </si>
  <si>
    <t>W 14 x 26</t>
  </si>
  <si>
    <t>W 14 x 53</t>
  </si>
  <si>
    <t>W 14 x 34</t>
  </si>
  <si>
    <t>W 14 x 90</t>
  </si>
  <si>
    <t>W 14 x 68</t>
  </si>
  <si>
    <t>W 14 x 38</t>
  </si>
  <si>
    <t>W 14 x 99</t>
  </si>
  <si>
    <t>W 14 x 74</t>
  </si>
  <si>
    <t>W 14 x 82</t>
  </si>
  <si>
    <t>W 14 x 109</t>
  </si>
  <si>
    <t>W 14 x 120</t>
  </si>
  <si>
    <t>W 14 x 132</t>
  </si>
  <si>
    <t>W 16 x 26</t>
  </si>
  <si>
    <t>W 16 x 36</t>
  </si>
  <si>
    <t>W 16 x 31</t>
  </si>
  <si>
    <t>W 16 x 40</t>
  </si>
  <si>
    <t>W 16 x 45</t>
  </si>
  <si>
    <t>W 16 x 50</t>
  </si>
  <si>
    <t>W 16 x 67</t>
  </si>
  <si>
    <t>W 16 x 57</t>
  </si>
  <si>
    <t>W 16 x 77</t>
  </si>
  <si>
    <t>W 16 x 89</t>
  </si>
  <si>
    <t>W 16 x 100</t>
  </si>
  <si>
    <t>W 18 x 35</t>
  </si>
  <si>
    <t>W 18 x 40</t>
  </si>
  <si>
    <t>W 18 x 50</t>
  </si>
  <si>
    <t>W 18 x 55</t>
  </si>
  <si>
    <t>W 18 x 46</t>
  </si>
  <si>
    <t>W 18 x 76</t>
  </si>
  <si>
    <t>W 18 x 60</t>
  </si>
  <si>
    <t>W 18 x 86</t>
  </si>
  <si>
    <t>W 18 x 65</t>
  </si>
  <si>
    <t>W 18 x 71</t>
  </si>
  <si>
    <t>W 18 x 97</t>
  </si>
  <si>
    <t>W 18 x 106</t>
  </si>
  <si>
    <t>W 18 x 119</t>
  </si>
  <si>
    <t>W 21 x 44</t>
  </si>
  <si>
    <t>W 21 x 50</t>
  </si>
  <si>
    <t>W 21 x 62</t>
  </si>
  <si>
    <t>W 21 x 68</t>
  </si>
  <si>
    <t>W 21 x 57</t>
  </si>
  <si>
    <t>W 21 x 73</t>
  </si>
  <si>
    <t>W 21 x 101</t>
  </si>
  <si>
    <t>W 21 x 83</t>
  </si>
  <si>
    <t>W 21 x 111</t>
  </si>
  <si>
    <t>W 21 x 93</t>
  </si>
  <si>
    <t>W 21 x 122</t>
  </si>
  <si>
    <t>W 21 x 132</t>
  </si>
  <si>
    <t>W 21 x 147</t>
  </si>
  <si>
    <t>W 24 x 55</t>
  </si>
  <si>
    <t>W 24 x 68</t>
  </si>
  <si>
    <t>W 24 x 62</t>
  </si>
  <si>
    <t>W 24 x 76</t>
  </si>
  <si>
    <t>W 24 x 104</t>
  </si>
  <si>
    <t>W 24 x 94</t>
  </si>
  <si>
    <t>W 24 x 84</t>
  </si>
  <si>
    <t>W 24 x 117</t>
  </si>
  <si>
    <t>W 24 x 131</t>
  </si>
  <si>
    <t>W 24 x 146</t>
  </si>
  <si>
    <t>W 24 x 162</t>
  </si>
  <si>
    <t>W 27 x 84</t>
  </si>
  <si>
    <t>W 27 x 94</t>
  </si>
  <si>
    <t>W 27 x 102</t>
  </si>
  <si>
    <t>W 27 x 114</t>
  </si>
  <si>
    <t>W 27 x 146</t>
  </si>
  <si>
    <t>W 27 x 161</t>
  </si>
  <si>
    <t>W 27 x 178</t>
  </si>
  <si>
    <t xml:space="preserve">*Cw from AISC design guide 9 </t>
  </si>
  <si>
    <t>*Only applicable for I-Shapes</t>
  </si>
  <si>
    <t>Strength Properties</t>
  </si>
  <si>
    <t>Condition</t>
  </si>
  <si>
    <t>Above Grade</t>
  </si>
  <si>
    <t>Pile Section Properties</t>
  </si>
  <si>
    <r>
      <t>L</t>
    </r>
    <r>
      <rPr>
        <vertAlign val="subscript"/>
        <sz val="11"/>
        <color theme="1"/>
        <rFont val="Calibri"/>
        <family val="2"/>
        <scheme val="minor"/>
      </rPr>
      <t>b,x</t>
    </r>
  </si>
  <si>
    <r>
      <t>L</t>
    </r>
    <r>
      <rPr>
        <vertAlign val="subscript"/>
        <sz val="11"/>
        <color theme="1"/>
        <rFont val="Calibri"/>
        <family val="2"/>
        <scheme val="minor"/>
      </rPr>
      <t>b,y</t>
    </r>
  </si>
  <si>
    <t>Member</t>
  </si>
  <si>
    <t>Below Grade</t>
  </si>
  <si>
    <t>Axially Unbraced Length</t>
  </si>
  <si>
    <t>[ft]</t>
  </si>
  <si>
    <t>Corrosion Loss</t>
  </si>
  <si>
    <t>mils</t>
  </si>
  <si>
    <r>
      <t>K</t>
    </r>
    <r>
      <rPr>
        <vertAlign val="subscript"/>
        <sz val="11"/>
        <color theme="1"/>
        <rFont val="Calibri"/>
        <family val="2"/>
        <scheme val="minor"/>
      </rPr>
      <t>x</t>
    </r>
  </si>
  <si>
    <r>
      <t>K</t>
    </r>
    <r>
      <rPr>
        <vertAlign val="subscript"/>
        <sz val="11"/>
        <color theme="1"/>
        <rFont val="Calibri"/>
        <family val="2"/>
        <scheme val="minor"/>
      </rPr>
      <t>y</t>
    </r>
  </si>
  <si>
    <t>A</t>
  </si>
  <si>
    <r>
      <t>in</t>
    </r>
    <r>
      <rPr>
        <vertAlign val="superscript"/>
        <sz val="11"/>
        <color theme="1"/>
        <rFont val="Calibri"/>
        <family val="2"/>
        <scheme val="minor"/>
      </rPr>
      <t>2</t>
    </r>
  </si>
  <si>
    <t>d</t>
  </si>
  <si>
    <t>in</t>
  </si>
  <si>
    <t>Unbraced Length for Torsion</t>
  </si>
  <si>
    <r>
      <t>L</t>
    </r>
    <r>
      <rPr>
        <vertAlign val="subscript"/>
        <sz val="11"/>
        <rFont val="Calibri"/>
        <family val="2"/>
        <scheme val="minor"/>
      </rPr>
      <t>b,z</t>
    </r>
  </si>
  <si>
    <r>
      <t>t</t>
    </r>
    <r>
      <rPr>
        <vertAlign val="subscript"/>
        <sz val="11"/>
        <color theme="1"/>
        <rFont val="Calibri"/>
        <family val="2"/>
        <scheme val="minor"/>
      </rPr>
      <t>w</t>
    </r>
  </si>
  <si>
    <t>Effective Length Factor for Torsional Buckling</t>
  </si>
  <si>
    <r>
      <t>K</t>
    </r>
    <r>
      <rPr>
        <vertAlign val="subscript"/>
        <sz val="11"/>
        <rFont val="Calibri"/>
        <family val="2"/>
        <scheme val="minor"/>
      </rPr>
      <t>z</t>
    </r>
  </si>
  <si>
    <r>
      <t>b</t>
    </r>
    <r>
      <rPr>
        <vertAlign val="subscript"/>
        <sz val="11"/>
        <color theme="1"/>
        <rFont val="Calibri"/>
        <family val="2"/>
        <scheme val="minor"/>
      </rPr>
      <t>f</t>
    </r>
  </si>
  <si>
    <r>
      <t>t</t>
    </r>
    <r>
      <rPr>
        <vertAlign val="subscript"/>
        <sz val="11"/>
        <color theme="1"/>
        <rFont val="Calibri"/>
        <family val="2"/>
        <scheme val="minor"/>
      </rPr>
      <t>f</t>
    </r>
  </si>
  <si>
    <r>
      <t xml:space="preserve">LTB Coefficient </t>
    </r>
    <r>
      <rPr>
        <i/>
        <sz val="11"/>
        <color theme="1"/>
        <rFont val="Calibri"/>
        <family val="2"/>
        <scheme val="minor"/>
      </rPr>
      <t>(For Wide Flange)</t>
    </r>
  </si>
  <si>
    <t>c</t>
  </si>
  <si>
    <t>LTB Modification Factor</t>
  </si>
  <si>
    <r>
      <t>C</t>
    </r>
    <r>
      <rPr>
        <vertAlign val="subscript"/>
        <sz val="11"/>
        <color theme="1"/>
        <rFont val="Calibri"/>
        <family val="2"/>
        <scheme val="minor"/>
      </rPr>
      <t>b</t>
    </r>
  </si>
  <si>
    <r>
      <t>I</t>
    </r>
    <r>
      <rPr>
        <vertAlign val="subscript"/>
        <sz val="11"/>
        <color theme="1"/>
        <rFont val="Calibri"/>
        <family val="2"/>
        <scheme val="minor"/>
      </rPr>
      <t>x</t>
    </r>
  </si>
  <si>
    <r>
      <t>in</t>
    </r>
    <r>
      <rPr>
        <vertAlign val="superscript"/>
        <sz val="11"/>
        <color theme="1"/>
        <rFont val="Calibri"/>
        <family val="2"/>
        <scheme val="minor"/>
      </rPr>
      <t>4</t>
    </r>
  </si>
  <si>
    <t>Required Strength</t>
  </si>
  <si>
    <r>
      <t>S</t>
    </r>
    <r>
      <rPr>
        <vertAlign val="subscript"/>
        <sz val="11"/>
        <color theme="1"/>
        <rFont val="Calibri"/>
        <family val="2"/>
        <scheme val="minor"/>
      </rPr>
      <t>x</t>
    </r>
  </si>
  <si>
    <r>
      <t>in</t>
    </r>
    <r>
      <rPr>
        <vertAlign val="superscript"/>
        <sz val="11"/>
        <color theme="1"/>
        <rFont val="Calibri"/>
        <family val="2"/>
        <scheme val="minor"/>
      </rPr>
      <t>3</t>
    </r>
  </si>
  <si>
    <r>
      <t>M</t>
    </r>
    <r>
      <rPr>
        <vertAlign val="subscript"/>
        <sz val="11"/>
        <rFont val="Calibri"/>
        <family val="2"/>
        <scheme val="minor"/>
      </rPr>
      <t>r,x</t>
    </r>
  </si>
  <si>
    <r>
      <t>M</t>
    </r>
    <r>
      <rPr>
        <vertAlign val="subscript"/>
        <sz val="11"/>
        <rFont val="Calibri"/>
        <family val="2"/>
        <scheme val="minor"/>
      </rPr>
      <t>r,y</t>
    </r>
  </si>
  <si>
    <r>
      <t>r</t>
    </r>
    <r>
      <rPr>
        <vertAlign val="subscript"/>
        <sz val="11"/>
        <color theme="1"/>
        <rFont val="Calibri"/>
        <family val="2"/>
        <scheme val="minor"/>
      </rPr>
      <t>x</t>
    </r>
  </si>
  <si>
    <t>Required Flexural Strength</t>
  </si>
  <si>
    <t>[kip-ft]</t>
  </si>
  <si>
    <r>
      <t>Z</t>
    </r>
    <r>
      <rPr>
        <vertAlign val="subscript"/>
        <sz val="11"/>
        <color theme="1"/>
        <rFont val="Calibri"/>
        <family val="2"/>
        <scheme val="minor"/>
      </rPr>
      <t>x</t>
    </r>
  </si>
  <si>
    <r>
      <t>V</t>
    </r>
    <r>
      <rPr>
        <vertAlign val="subscript"/>
        <sz val="11"/>
        <rFont val="Calibri"/>
        <family val="2"/>
        <scheme val="minor"/>
      </rPr>
      <t>r,x</t>
    </r>
  </si>
  <si>
    <r>
      <t>V</t>
    </r>
    <r>
      <rPr>
        <vertAlign val="subscript"/>
        <sz val="11"/>
        <rFont val="Calibri"/>
        <family val="2"/>
        <scheme val="minor"/>
      </rPr>
      <t>r,y</t>
    </r>
  </si>
  <si>
    <r>
      <t>I</t>
    </r>
    <r>
      <rPr>
        <vertAlign val="subscript"/>
        <sz val="11"/>
        <color theme="1"/>
        <rFont val="Calibri"/>
        <family val="2"/>
        <scheme val="minor"/>
      </rPr>
      <t>y</t>
    </r>
  </si>
  <si>
    <t>Required Shear Strength</t>
  </si>
  <si>
    <t>[kip]</t>
  </si>
  <si>
    <r>
      <t>S</t>
    </r>
    <r>
      <rPr>
        <vertAlign val="subscript"/>
        <sz val="11"/>
        <color theme="1"/>
        <rFont val="Calibri"/>
        <family val="2"/>
        <scheme val="minor"/>
      </rPr>
      <t>y</t>
    </r>
  </si>
  <si>
    <r>
      <t>P</t>
    </r>
    <r>
      <rPr>
        <vertAlign val="subscript"/>
        <sz val="11"/>
        <rFont val="Calibri"/>
        <family val="2"/>
        <scheme val="minor"/>
      </rPr>
      <t>r</t>
    </r>
  </si>
  <si>
    <r>
      <t>r</t>
    </r>
    <r>
      <rPr>
        <vertAlign val="subscript"/>
        <sz val="11"/>
        <color theme="1"/>
        <rFont val="Calibri"/>
        <family val="2"/>
        <scheme val="minor"/>
      </rPr>
      <t>y</t>
    </r>
  </si>
  <si>
    <t>Required Compressive Strength</t>
  </si>
  <si>
    <r>
      <t>Z</t>
    </r>
    <r>
      <rPr>
        <vertAlign val="subscript"/>
        <sz val="11"/>
        <color theme="1"/>
        <rFont val="Calibri"/>
        <family val="2"/>
        <scheme val="minor"/>
      </rPr>
      <t>y</t>
    </r>
  </si>
  <si>
    <r>
      <t>P</t>
    </r>
    <r>
      <rPr>
        <vertAlign val="subscript"/>
        <sz val="11"/>
        <rFont val="Calibri"/>
        <family val="2"/>
        <scheme val="minor"/>
      </rPr>
      <t>r,t</t>
    </r>
  </si>
  <si>
    <r>
      <t>r</t>
    </r>
    <r>
      <rPr>
        <vertAlign val="subscript"/>
        <sz val="11"/>
        <color theme="1"/>
        <rFont val="Calibri"/>
        <family val="2"/>
        <scheme val="minor"/>
      </rPr>
      <t>ts</t>
    </r>
  </si>
  <si>
    <t>Required Tensile Strength</t>
  </si>
  <si>
    <r>
      <t>h</t>
    </r>
    <r>
      <rPr>
        <vertAlign val="subscript"/>
        <sz val="11"/>
        <color theme="1"/>
        <rFont val="Calibri"/>
        <family val="2"/>
        <scheme val="minor"/>
      </rPr>
      <t>o</t>
    </r>
  </si>
  <si>
    <t>Distance Between Flange Centroids</t>
  </si>
  <si>
    <t>J</t>
  </si>
  <si>
    <t>Design Summary</t>
  </si>
  <si>
    <r>
      <t>C</t>
    </r>
    <r>
      <rPr>
        <vertAlign val="subscript"/>
        <sz val="11"/>
        <color theme="1"/>
        <rFont val="Calibri"/>
        <family val="2"/>
        <scheme val="minor"/>
      </rPr>
      <t>w</t>
    </r>
  </si>
  <si>
    <r>
      <t>in</t>
    </r>
    <r>
      <rPr>
        <vertAlign val="superscript"/>
        <sz val="11"/>
        <color theme="1"/>
        <rFont val="Calibri"/>
        <family val="2"/>
        <scheme val="minor"/>
      </rPr>
      <t>6</t>
    </r>
  </si>
  <si>
    <t>Compressive Utilization Ratio</t>
  </si>
  <si>
    <t>D/C Ratio</t>
  </si>
  <si>
    <r>
      <t>[P</t>
    </r>
    <r>
      <rPr>
        <vertAlign val="subscript"/>
        <sz val="11"/>
        <color theme="1"/>
        <rFont val="Calibri"/>
        <family val="2"/>
        <scheme val="minor"/>
      </rPr>
      <t>r</t>
    </r>
    <r>
      <rPr>
        <sz val="11"/>
        <color theme="1"/>
        <rFont val="Calibri"/>
        <family val="2"/>
        <scheme val="minor"/>
      </rPr>
      <t>/P</t>
    </r>
    <r>
      <rPr>
        <vertAlign val="subscript"/>
        <sz val="11"/>
        <color theme="1"/>
        <rFont val="Calibri"/>
        <family val="2"/>
        <scheme val="minor"/>
      </rPr>
      <t>c</t>
    </r>
    <r>
      <rPr>
        <sz val="11"/>
        <color theme="1"/>
        <rFont val="Calibri"/>
        <family val="2"/>
        <scheme val="minor"/>
      </rPr>
      <t>]</t>
    </r>
  </si>
  <si>
    <t>Material Properties</t>
  </si>
  <si>
    <t>Steel Type</t>
  </si>
  <si>
    <t>ASTM A992</t>
  </si>
  <si>
    <t>Major Axis Flexural Utilization Ratio</t>
  </si>
  <si>
    <r>
      <t>[M</t>
    </r>
    <r>
      <rPr>
        <vertAlign val="subscript"/>
        <sz val="11"/>
        <color theme="1"/>
        <rFont val="Calibri"/>
        <family val="2"/>
        <scheme val="minor"/>
      </rPr>
      <t>r,x</t>
    </r>
    <r>
      <rPr>
        <sz val="11"/>
        <color theme="1"/>
        <rFont val="Calibri"/>
        <family val="2"/>
        <scheme val="minor"/>
      </rPr>
      <t>/M</t>
    </r>
    <r>
      <rPr>
        <vertAlign val="subscript"/>
        <sz val="11"/>
        <color theme="1"/>
        <rFont val="Calibri"/>
        <family val="2"/>
        <scheme val="minor"/>
      </rPr>
      <t>c,x</t>
    </r>
    <r>
      <rPr>
        <sz val="11"/>
        <color theme="1"/>
        <rFont val="Calibri"/>
        <family val="2"/>
        <scheme val="minor"/>
      </rPr>
      <t>]</t>
    </r>
  </si>
  <si>
    <t xml:space="preserve">Modulus of Elasticity </t>
  </si>
  <si>
    <t>Minor Axis Flexural Utilization Ratio</t>
  </si>
  <si>
    <r>
      <t>[M</t>
    </r>
    <r>
      <rPr>
        <vertAlign val="subscript"/>
        <sz val="11"/>
        <color theme="1"/>
        <rFont val="Calibri"/>
        <family val="2"/>
        <scheme val="minor"/>
      </rPr>
      <t>r,y</t>
    </r>
    <r>
      <rPr>
        <sz val="11"/>
        <color theme="1"/>
        <rFont val="Calibri"/>
        <family val="2"/>
        <scheme val="minor"/>
      </rPr>
      <t>/M</t>
    </r>
    <r>
      <rPr>
        <vertAlign val="subscript"/>
        <sz val="11"/>
        <color theme="1"/>
        <rFont val="Calibri"/>
        <family val="2"/>
        <scheme val="minor"/>
      </rPr>
      <t>c,y</t>
    </r>
    <r>
      <rPr>
        <sz val="11"/>
        <color theme="1"/>
        <rFont val="Calibri"/>
        <family val="2"/>
        <scheme val="minor"/>
      </rPr>
      <t>]</t>
    </r>
  </si>
  <si>
    <t>G</t>
  </si>
  <si>
    <t>Shear Modulus of Elasticity</t>
  </si>
  <si>
    <r>
      <t>F</t>
    </r>
    <r>
      <rPr>
        <vertAlign val="subscript"/>
        <sz val="11"/>
        <color theme="1"/>
        <rFont val="Calibri"/>
        <family val="2"/>
        <scheme val="minor"/>
      </rPr>
      <t>y</t>
    </r>
  </si>
  <si>
    <t>Steel Yield Strength</t>
  </si>
  <si>
    <t>Major Axis Shear Utilization Ratio</t>
  </si>
  <si>
    <r>
      <t>[V</t>
    </r>
    <r>
      <rPr>
        <vertAlign val="subscript"/>
        <sz val="11"/>
        <color theme="1"/>
        <rFont val="Calibri"/>
        <family val="2"/>
        <scheme val="minor"/>
      </rPr>
      <t>r,x</t>
    </r>
    <r>
      <rPr>
        <sz val="11"/>
        <color theme="1"/>
        <rFont val="Calibri"/>
        <family val="2"/>
        <scheme val="minor"/>
      </rPr>
      <t>/V</t>
    </r>
    <r>
      <rPr>
        <vertAlign val="subscript"/>
        <sz val="11"/>
        <color theme="1"/>
        <rFont val="Calibri"/>
        <family val="2"/>
        <scheme val="minor"/>
      </rPr>
      <t>c,x</t>
    </r>
    <r>
      <rPr>
        <sz val="11"/>
        <color theme="1"/>
        <rFont val="Calibri"/>
        <family val="2"/>
        <scheme val="minor"/>
      </rPr>
      <t>]</t>
    </r>
  </si>
  <si>
    <r>
      <t>F</t>
    </r>
    <r>
      <rPr>
        <vertAlign val="subscript"/>
        <sz val="11"/>
        <color theme="1"/>
        <rFont val="Calibri"/>
        <family val="2"/>
        <scheme val="minor"/>
      </rPr>
      <t>u</t>
    </r>
  </si>
  <si>
    <t>Steel Tensile Strength</t>
  </si>
  <si>
    <t>Minor Axis Shear Utilization Ratio</t>
  </si>
  <si>
    <r>
      <t>[V</t>
    </r>
    <r>
      <rPr>
        <vertAlign val="subscript"/>
        <sz val="11"/>
        <color theme="1"/>
        <rFont val="Calibri"/>
        <family val="2"/>
        <scheme val="minor"/>
      </rPr>
      <t>r,y</t>
    </r>
    <r>
      <rPr>
        <sz val="11"/>
        <color theme="1"/>
        <rFont val="Calibri"/>
        <family val="2"/>
        <scheme val="minor"/>
      </rPr>
      <t>/V</t>
    </r>
    <r>
      <rPr>
        <vertAlign val="subscript"/>
        <sz val="11"/>
        <color theme="1"/>
        <rFont val="Calibri"/>
        <family val="2"/>
        <scheme val="minor"/>
      </rPr>
      <t>c,y</t>
    </r>
    <r>
      <rPr>
        <sz val="11"/>
        <color theme="1"/>
        <rFont val="Calibri"/>
        <family val="2"/>
        <scheme val="minor"/>
      </rPr>
      <t>]</t>
    </r>
  </si>
  <si>
    <t>ASD Design Safety Factors</t>
  </si>
  <si>
    <t>Tensile Utilization Ratio</t>
  </si>
  <si>
    <r>
      <t>[P</t>
    </r>
    <r>
      <rPr>
        <vertAlign val="subscript"/>
        <sz val="11"/>
        <color theme="1"/>
        <rFont val="Calibri"/>
        <family val="2"/>
        <scheme val="minor"/>
      </rPr>
      <t>r,t</t>
    </r>
    <r>
      <rPr>
        <sz val="11"/>
        <color theme="1"/>
        <rFont val="Calibri"/>
        <family val="2"/>
        <scheme val="minor"/>
      </rPr>
      <t>/P</t>
    </r>
    <r>
      <rPr>
        <vertAlign val="subscript"/>
        <sz val="11"/>
        <color theme="1"/>
        <rFont val="Calibri"/>
        <family val="2"/>
        <scheme val="minor"/>
      </rPr>
      <t>c,t</t>
    </r>
    <r>
      <rPr>
        <sz val="11"/>
        <color theme="1"/>
        <rFont val="Calibri"/>
        <family val="2"/>
        <scheme val="minor"/>
      </rPr>
      <t>]</t>
    </r>
  </si>
  <si>
    <r>
      <t>Ω</t>
    </r>
    <r>
      <rPr>
        <vertAlign val="subscript"/>
        <sz val="11"/>
        <rFont val="Calibri"/>
        <family val="2"/>
      </rPr>
      <t>v1</t>
    </r>
  </si>
  <si>
    <t>Shear [AISC 360, Section G2.1(a) Only]</t>
  </si>
  <si>
    <r>
      <t>Ω</t>
    </r>
    <r>
      <rPr>
        <vertAlign val="subscript"/>
        <sz val="11"/>
        <rFont val="Calibri"/>
        <family val="2"/>
      </rPr>
      <t>v2</t>
    </r>
  </si>
  <si>
    <t>Shear</t>
  </si>
  <si>
    <r>
      <t>Ω</t>
    </r>
    <r>
      <rPr>
        <vertAlign val="subscript"/>
        <sz val="11"/>
        <rFont val="Calibri"/>
        <family val="2"/>
      </rPr>
      <t>b</t>
    </r>
  </si>
  <si>
    <t>Flexure</t>
  </si>
  <si>
    <r>
      <t>Ω</t>
    </r>
    <r>
      <rPr>
        <vertAlign val="subscript"/>
        <sz val="11"/>
        <rFont val="Calibri"/>
        <family val="2"/>
      </rPr>
      <t>t,y</t>
    </r>
  </si>
  <si>
    <t>Tensile Yielding</t>
  </si>
  <si>
    <t>Utilization From Combined Stresses (Compression)</t>
  </si>
  <si>
    <t>[AISC 360, Section H1.1 ; Eqn H1-1a &amp; H1-1b]</t>
  </si>
  <si>
    <r>
      <t>Ω</t>
    </r>
    <r>
      <rPr>
        <vertAlign val="subscript"/>
        <sz val="11"/>
        <rFont val="Calibri"/>
        <family val="2"/>
      </rPr>
      <t>t,r</t>
    </r>
  </si>
  <si>
    <t>Tensile Rupture</t>
  </si>
  <si>
    <t>Utilization From Combined Stresses (Tension)</t>
  </si>
  <si>
    <t>[AISC 360, Sectionb H1.2; Eqn H1-1a &amp; H1-1b]</t>
  </si>
  <si>
    <r>
      <t>Ω</t>
    </r>
    <r>
      <rPr>
        <vertAlign val="subscript"/>
        <sz val="11"/>
        <rFont val="Calibri"/>
        <family val="2"/>
      </rPr>
      <t>c</t>
    </r>
  </si>
  <si>
    <t>Compression</t>
  </si>
  <si>
    <t>Compression Checks - AISC 360 Section E1 to E4</t>
  </si>
  <si>
    <t>Non Slender / Slender Section Check for Compression [AISC 360, Table B4.1a]</t>
  </si>
  <si>
    <t>Flange Check:</t>
  </si>
  <si>
    <t>Width to Thickness Ratio</t>
  </si>
  <si>
    <t>[AISC 360, Table B4.1a]</t>
  </si>
  <si>
    <t>Limiting Ratio for Non Slender</t>
  </si>
  <si>
    <t>Web Check:</t>
  </si>
  <si>
    <r>
      <t>k</t>
    </r>
    <r>
      <rPr>
        <vertAlign val="subscript"/>
        <sz val="11"/>
        <color theme="1"/>
        <rFont val="Calibri"/>
        <family val="2"/>
        <scheme val="minor"/>
      </rPr>
      <t>des</t>
    </r>
  </si>
  <si>
    <t>Distance From Outer Face Of Flange To Web Toe Of Fillet</t>
  </si>
  <si>
    <t>Slenderless Limitations and Effective Length [AISC 360, Section E2]</t>
  </si>
  <si>
    <t>Strong Axis</t>
  </si>
  <si>
    <t>Weak Axis</t>
  </si>
  <si>
    <t>Axially Unbraced Length [ft]</t>
  </si>
  <si>
    <t>KL/r</t>
  </si>
  <si>
    <t>[AISC 360, Section E2]</t>
  </si>
  <si>
    <t>Check for Flexural Buckling [AISC 360, Section E3]</t>
  </si>
  <si>
    <t>Strong Axis:</t>
  </si>
  <si>
    <t>Elastic Critical Buckling Stress</t>
  </si>
  <si>
    <r>
      <t>F</t>
    </r>
    <r>
      <rPr>
        <vertAlign val="subscript"/>
        <sz val="11"/>
        <color theme="1"/>
        <rFont val="Calibri"/>
        <family val="2"/>
        <scheme val="minor"/>
      </rPr>
      <t>e,x</t>
    </r>
  </si>
  <si>
    <t>Flexural Buckling Stress</t>
  </si>
  <si>
    <r>
      <t>F</t>
    </r>
    <r>
      <rPr>
        <vertAlign val="subscript"/>
        <sz val="11"/>
        <color theme="1"/>
        <rFont val="Calibri"/>
        <family val="2"/>
        <scheme val="minor"/>
      </rPr>
      <t>cr,x</t>
    </r>
  </si>
  <si>
    <t>Compressive Strength for Flexural Buckling</t>
  </si>
  <si>
    <r>
      <t>P</t>
    </r>
    <r>
      <rPr>
        <vertAlign val="subscript"/>
        <sz val="11"/>
        <color theme="1"/>
        <rFont val="Calibri"/>
        <family val="2"/>
        <scheme val="minor"/>
      </rPr>
      <t>n,fb,x</t>
    </r>
  </si>
  <si>
    <t>kip</t>
  </si>
  <si>
    <t>Weak Axis:</t>
  </si>
  <si>
    <t>Check for Torsional-Flexural Buckling [AISC 360, Section E4]</t>
  </si>
  <si>
    <t>Shear Modulus of Elasticity for Steel</t>
  </si>
  <si>
    <t>Flexural-Torsional Elastic Buckling Stress</t>
  </si>
  <si>
    <r>
      <t>F</t>
    </r>
    <r>
      <rPr>
        <vertAlign val="subscript"/>
        <sz val="11"/>
        <rFont val="Calibri"/>
        <family val="2"/>
        <scheme val="minor"/>
      </rPr>
      <t>e</t>
    </r>
  </si>
  <si>
    <t>[AISC 360, Eqn E4-2]</t>
  </si>
  <si>
    <t>Flexural-Torsional  Buckling Stress</t>
  </si>
  <si>
    <r>
      <t>F</t>
    </r>
    <r>
      <rPr>
        <vertAlign val="subscript"/>
        <sz val="11"/>
        <rFont val="Calibri"/>
        <family val="2"/>
        <scheme val="minor"/>
      </rPr>
      <t>cr</t>
    </r>
  </si>
  <si>
    <t>Compressive Strength for Torsional &amp; Flexural-Torsional Buckling</t>
  </si>
  <si>
    <r>
      <t>P</t>
    </r>
    <r>
      <rPr>
        <vertAlign val="subscript"/>
        <sz val="11"/>
        <rFont val="Calibri"/>
        <family val="2"/>
        <scheme val="minor"/>
      </rPr>
      <t>n,ftb</t>
    </r>
  </si>
  <si>
    <t>[AISC 360, Eqn E4-1]</t>
  </si>
  <si>
    <t>Compressive Strength Check</t>
  </si>
  <si>
    <t>Nominal Compressive Strength</t>
  </si>
  <si>
    <r>
      <t>P</t>
    </r>
    <r>
      <rPr>
        <vertAlign val="subscript"/>
        <sz val="11"/>
        <color theme="1"/>
        <rFont val="Calibri"/>
        <family val="2"/>
        <scheme val="minor"/>
      </rPr>
      <t>n</t>
    </r>
  </si>
  <si>
    <r>
      <t>[Min of P</t>
    </r>
    <r>
      <rPr>
        <vertAlign val="subscript"/>
        <sz val="11"/>
        <color theme="1"/>
        <rFont val="Calibri"/>
        <family val="2"/>
        <scheme val="minor"/>
      </rPr>
      <t xml:space="preserve">n,fb,x </t>
    </r>
    <r>
      <rPr>
        <sz val="11"/>
        <color theme="1"/>
        <rFont val="Calibri"/>
        <family val="2"/>
        <scheme val="minor"/>
      </rPr>
      <t>; P</t>
    </r>
    <r>
      <rPr>
        <vertAlign val="subscript"/>
        <sz val="11"/>
        <color theme="1"/>
        <rFont val="Calibri"/>
        <family val="2"/>
        <scheme val="minor"/>
      </rPr>
      <t>n,fb,y</t>
    </r>
    <r>
      <rPr>
        <sz val="11"/>
        <color theme="1"/>
        <rFont val="Calibri"/>
        <family val="2"/>
        <scheme val="minor"/>
      </rPr>
      <t xml:space="preserve"> ; P</t>
    </r>
    <r>
      <rPr>
        <vertAlign val="subscript"/>
        <sz val="11"/>
        <color theme="1"/>
        <rFont val="Calibri"/>
        <family val="2"/>
        <scheme val="minor"/>
      </rPr>
      <t xml:space="preserve">n,ftb </t>
    </r>
    <r>
      <rPr>
        <sz val="11"/>
        <color theme="1"/>
        <rFont val="Calibri"/>
        <family val="2"/>
        <scheme val="minor"/>
      </rPr>
      <t>;</t>
    </r>
    <r>
      <rPr>
        <vertAlign val="subscript"/>
        <sz val="11"/>
        <color theme="1"/>
        <rFont val="Calibri"/>
        <family val="2"/>
        <scheme val="minor"/>
      </rPr>
      <t xml:space="preserve"> </t>
    </r>
    <r>
      <rPr>
        <sz val="11"/>
        <color theme="1"/>
        <rFont val="Calibri"/>
        <family val="2"/>
        <scheme val="minor"/>
      </rPr>
      <t>F</t>
    </r>
    <r>
      <rPr>
        <vertAlign val="subscript"/>
        <sz val="11"/>
        <color theme="1"/>
        <rFont val="Calibri"/>
        <family val="2"/>
        <scheme val="minor"/>
      </rPr>
      <t>y</t>
    </r>
    <r>
      <rPr>
        <sz val="11"/>
        <color theme="1"/>
        <rFont val="Calibri"/>
        <family val="2"/>
        <scheme val="minor"/>
      </rPr>
      <t>*A ]</t>
    </r>
  </si>
  <si>
    <t>Allowable Compressive Strength</t>
  </si>
  <si>
    <r>
      <t>P</t>
    </r>
    <r>
      <rPr>
        <vertAlign val="subscript"/>
        <sz val="11"/>
        <color theme="1"/>
        <rFont val="Calibri"/>
        <family val="2"/>
        <scheme val="minor"/>
      </rPr>
      <t>c</t>
    </r>
  </si>
  <si>
    <r>
      <t>[P</t>
    </r>
    <r>
      <rPr>
        <vertAlign val="subscript"/>
        <sz val="11"/>
        <color theme="1"/>
        <rFont val="Calibri"/>
        <family val="2"/>
        <scheme val="minor"/>
      </rPr>
      <t>n</t>
    </r>
    <r>
      <rPr>
        <sz val="11"/>
        <color theme="1"/>
        <rFont val="Calibri"/>
        <family val="2"/>
        <scheme val="minor"/>
      </rPr>
      <t>/Ω</t>
    </r>
    <r>
      <rPr>
        <vertAlign val="subscript"/>
        <sz val="11"/>
        <color theme="1"/>
        <rFont val="Calibri"/>
        <family val="2"/>
        <scheme val="minor"/>
      </rPr>
      <t>c</t>
    </r>
    <r>
      <rPr>
        <sz val="11"/>
        <color theme="1"/>
        <rFont val="Calibri"/>
        <family val="2"/>
        <scheme val="minor"/>
      </rPr>
      <t>]</t>
    </r>
  </si>
  <si>
    <t>Flexure Checks (Major Axis Bending) - AISC 360 Section F2 and F3</t>
  </si>
  <si>
    <t>Non Compact / Compact Section Check for Compression [AISC 360, Table B4.1b]</t>
  </si>
  <si>
    <t>[AISC 360, Table B4.1b]</t>
  </si>
  <si>
    <t>Limiting Ratio for Compact</t>
  </si>
  <si>
    <t>Limiting Ratio for Non Compact</t>
  </si>
  <si>
    <t>Check for Yielding [AISC 360, Section F2.1]</t>
  </si>
  <si>
    <t>Plastic Moment</t>
  </si>
  <si>
    <r>
      <t>M</t>
    </r>
    <r>
      <rPr>
        <vertAlign val="subscript"/>
        <sz val="11"/>
        <color theme="1"/>
        <rFont val="Calibri"/>
        <family val="2"/>
        <scheme val="minor"/>
      </rPr>
      <t>p,x</t>
    </r>
  </si>
  <si>
    <t>k-ft</t>
  </si>
  <si>
    <t>Check for Lateral-Torsional Buckling [AISC 360, Section F2.2]</t>
  </si>
  <si>
    <t>Limiting Unbraced Length for Yielding</t>
  </si>
  <si>
    <r>
      <t>L</t>
    </r>
    <r>
      <rPr>
        <vertAlign val="subscript"/>
        <sz val="11"/>
        <color theme="1"/>
        <rFont val="Calibri"/>
        <family val="2"/>
        <scheme val="minor"/>
      </rPr>
      <t>p</t>
    </r>
  </si>
  <si>
    <t>[AISC 360, Eqn F2-8a]</t>
  </si>
  <si>
    <t>Limiting Unbraced Length for Inelastic Lateral-Torsional Bucking</t>
  </si>
  <si>
    <r>
      <t>L</t>
    </r>
    <r>
      <rPr>
        <vertAlign val="subscript"/>
        <sz val="11"/>
        <color theme="1"/>
        <rFont val="Calibri"/>
        <family val="2"/>
        <scheme val="minor"/>
      </rPr>
      <t>r</t>
    </r>
  </si>
  <si>
    <t>Nominal Flexural Strength for Lateral-Torsional Buckling</t>
  </si>
  <si>
    <r>
      <t>M</t>
    </r>
    <r>
      <rPr>
        <vertAlign val="subscript"/>
        <sz val="11"/>
        <color theme="1"/>
        <rFont val="Calibri"/>
        <family val="2"/>
        <scheme val="minor"/>
      </rPr>
      <t>n,ltb,x</t>
    </r>
  </si>
  <si>
    <t>[AISC 360, Eqn F2-2 through Eqn F2-4]</t>
  </si>
  <si>
    <t>Check for Compression Flange Local Buckling [AISC 360, Section F2.3]</t>
  </si>
  <si>
    <t>Check Required?</t>
  </si>
  <si>
    <t>Required for Members with Compact Webs and Non Compact or Slender Flanges</t>
  </si>
  <si>
    <r>
      <t>k</t>
    </r>
    <r>
      <rPr>
        <vertAlign val="subscript"/>
        <sz val="11"/>
        <color theme="1"/>
        <rFont val="Calibri"/>
        <family val="2"/>
        <scheme val="minor"/>
      </rPr>
      <t>c</t>
    </r>
  </si>
  <si>
    <t>h</t>
  </si>
  <si>
    <t>λ</t>
  </si>
  <si>
    <r>
      <t>b</t>
    </r>
    <r>
      <rPr>
        <vertAlign val="subscript"/>
        <sz val="11"/>
        <color theme="1"/>
        <rFont val="Calibri"/>
        <family val="2"/>
        <scheme val="minor"/>
      </rPr>
      <t>f</t>
    </r>
    <r>
      <rPr>
        <sz val="11"/>
        <color theme="1"/>
        <rFont val="Calibri"/>
        <family val="2"/>
        <scheme val="minor"/>
      </rPr>
      <t>/(2t</t>
    </r>
    <r>
      <rPr>
        <vertAlign val="subscript"/>
        <sz val="11"/>
        <color theme="1"/>
        <rFont val="Calibri"/>
        <family val="2"/>
        <scheme val="minor"/>
      </rPr>
      <t>f</t>
    </r>
    <r>
      <rPr>
        <sz val="11"/>
        <color theme="1"/>
        <rFont val="Calibri"/>
        <family val="2"/>
        <scheme val="minor"/>
      </rPr>
      <t>)</t>
    </r>
  </si>
  <si>
    <t>Limiting Slenderness for a Compact Flange</t>
  </si>
  <si>
    <r>
      <t>λ</t>
    </r>
    <r>
      <rPr>
        <vertAlign val="subscript"/>
        <sz val="11"/>
        <color theme="1"/>
        <rFont val="Calibri"/>
        <family val="2"/>
      </rPr>
      <t>pf</t>
    </r>
  </si>
  <si>
    <t>Limiting Slenderness for a Non Compact Flange</t>
  </si>
  <si>
    <r>
      <t>λ</t>
    </r>
    <r>
      <rPr>
        <vertAlign val="subscript"/>
        <sz val="11"/>
        <color theme="1"/>
        <rFont val="Calibri"/>
        <family val="2"/>
      </rPr>
      <t>rf</t>
    </r>
  </si>
  <si>
    <t>Nominal Flexural Strength for Compression Flange Local Buckling</t>
  </si>
  <si>
    <r>
      <t>M</t>
    </r>
    <r>
      <rPr>
        <vertAlign val="subscript"/>
        <sz val="11"/>
        <color theme="1"/>
        <rFont val="Calibri"/>
        <family val="2"/>
      </rPr>
      <t>n,flb</t>
    </r>
    <r>
      <rPr>
        <sz val="11"/>
        <color theme="1"/>
        <rFont val="Calibri"/>
        <family val="2"/>
      </rPr>
      <t>,</t>
    </r>
    <r>
      <rPr>
        <vertAlign val="subscript"/>
        <sz val="11"/>
        <color theme="1"/>
        <rFont val="Calibri"/>
        <family val="2"/>
      </rPr>
      <t>x</t>
    </r>
  </si>
  <si>
    <t>kip-ft</t>
  </si>
  <si>
    <t>[AISC 360, Eqn F3-1 &amp; Eqn F3-2]</t>
  </si>
  <si>
    <t>Flexural Check (Major Axis Bending)</t>
  </si>
  <si>
    <t>Nominal Flexural Strength</t>
  </si>
  <si>
    <r>
      <t>M</t>
    </r>
    <r>
      <rPr>
        <vertAlign val="subscript"/>
        <sz val="11"/>
        <color theme="1"/>
        <rFont val="Calibri"/>
        <family val="2"/>
        <scheme val="minor"/>
      </rPr>
      <t>n,x</t>
    </r>
  </si>
  <si>
    <r>
      <t>[Min of M</t>
    </r>
    <r>
      <rPr>
        <vertAlign val="subscript"/>
        <sz val="11"/>
        <color theme="1"/>
        <rFont val="Calibri"/>
        <family val="2"/>
        <scheme val="minor"/>
      </rPr>
      <t>p,x</t>
    </r>
    <r>
      <rPr>
        <sz val="11"/>
        <color theme="1"/>
        <rFont val="Calibri"/>
        <family val="2"/>
        <scheme val="minor"/>
      </rPr>
      <t xml:space="preserve"> ; M</t>
    </r>
    <r>
      <rPr>
        <vertAlign val="subscript"/>
        <sz val="11"/>
        <color theme="1"/>
        <rFont val="Calibri"/>
        <family val="2"/>
        <scheme val="minor"/>
      </rPr>
      <t>n,ltb,x</t>
    </r>
    <r>
      <rPr>
        <sz val="11"/>
        <color theme="1"/>
        <rFont val="Calibri"/>
        <family val="2"/>
        <scheme val="minor"/>
      </rPr>
      <t xml:space="preserve"> ; M</t>
    </r>
    <r>
      <rPr>
        <vertAlign val="subscript"/>
        <sz val="11"/>
        <color theme="1"/>
        <rFont val="Calibri"/>
        <family val="2"/>
        <scheme val="minor"/>
      </rPr>
      <t>n,flb,x</t>
    </r>
    <r>
      <rPr>
        <sz val="11"/>
        <color theme="1"/>
        <rFont val="Calibri"/>
        <family val="2"/>
        <scheme val="minor"/>
      </rPr>
      <t>]</t>
    </r>
  </si>
  <si>
    <t>Allowable Flexural Strength</t>
  </si>
  <si>
    <r>
      <t>M</t>
    </r>
    <r>
      <rPr>
        <vertAlign val="subscript"/>
        <sz val="11"/>
        <color theme="1"/>
        <rFont val="Calibri"/>
        <family val="2"/>
        <scheme val="minor"/>
      </rPr>
      <t>c,x</t>
    </r>
  </si>
  <si>
    <r>
      <t>[M</t>
    </r>
    <r>
      <rPr>
        <vertAlign val="subscript"/>
        <sz val="11"/>
        <color theme="1"/>
        <rFont val="Calibri"/>
        <family val="2"/>
        <scheme val="minor"/>
      </rPr>
      <t>n,x</t>
    </r>
    <r>
      <rPr>
        <sz val="11"/>
        <color theme="1"/>
        <rFont val="Calibri"/>
        <family val="2"/>
        <scheme val="minor"/>
      </rPr>
      <t>/Ω</t>
    </r>
    <r>
      <rPr>
        <vertAlign val="subscript"/>
        <sz val="11"/>
        <color theme="1"/>
        <rFont val="Calibri"/>
        <family val="2"/>
        <scheme val="minor"/>
      </rPr>
      <t>b</t>
    </r>
    <r>
      <rPr>
        <sz val="11"/>
        <color theme="1"/>
        <rFont val="Calibri"/>
        <family val="2"/>
        <scheme val="minor"/>
      </rPr>
      <t>]</t>
    </r>
  </si>
  <si>
    <t>Flexure Checks (Minor Axis Bending) - AISC 360 Section F6</t>
  </si>
  <si>
    <t>Check for Yielding [AISC 360, Section F6.1]</t>
  </si>
  <si>
    <t>Nominal Flexural Strength for Yielding</t>
  </si>
  <si>
    <r>
      <t>M</t>
    </r>
    <r>
      <rPr>
        <vertAlign val="subscript"/>
        <sz val="11"/>
        <color theme="1"/>
        <rFont val="Calibri"/>
        <family val="2"/>
        <scheme val="minor"/>
      </rPr>
      <t>p,y</t>
    </r>
  </si>
  <si>
    <t>Check for Flange Local Buckling [AISC 360, Section F6.2]</t>
  </si>
  <si>
    <t>Required for Members with Non Compact or Slender Flanges</t>
  </si>
  <si>
    <t>b</t>
  </si>
  <si>
    <r>
      <t>b/t</t>
    </r>
    <r>
      <rPr>
        <vertAlign val="subscript"/>
        <sz val="11"/>
        <color theme="1"/>
        <rFont val="Calibri"/>
        <family val="2"/>
        <scheme val="minor"/>
      </rPr>
      <t>f</t>
    </r>
  </si>
  <si>
    <r>
      <t>M</t>
    </r>
    <r>
      <rPr>
        <vertAlign val="subscript"/>
        <sz val="11"/>
        <color theme="1"/>
        <rFont val="Calibri"/>
        <family val="2"/>
      </rPr>
      <t>n,flb,y</t>
    </r>
  </si>
  <si>
    <t>Flexural Check (Minor Axis Bending)</t>
  </si>
  <si>
    <r>
      <t>M</t>
    </r>
    <r>
      <rPr>
        <vertAlign val="subscript"/>
        <sz val="11"/>
        <color theme="1"/>
        <rFont val="Calibri"/>
        <family val="2"/>
        <scheme val="minor"/>
      </rPr>
      <t>n,y</t>
    </r>
  </si>
  <si>
    <r>
      <t>[Min of M</t>
    </r>
    <r>
      <rPr>
        <vertAlign val="subscript"/>
        <sz val="11"/>
        <color theme="1"/>
        <rFont val="Calibri"/>
        <family val="2"/>
        <scheme val="minor"/>
      </rPr>
      <t>p,y</t>
    </r>
    <r>
      <rPr>
        <sz val="11"/>
        <color theme="1"/>
        <rFont val="Calibri"/>
        <family val="2"/>
        <scheme val="minor"/>
      </rPr>
      <t xml:space="preserve"> ; M</t>
    </r>
    <r>
      <rPr>
        <vertAlign val="subscript"/>
        <sz val="11"/>
        <color theme="1"/>
        <rFont val="Calibri"/>
        <family val="2"/>
        <scheme val="minor"/>
      </rPr>
      <t>n,flb,y</t>
    </r>
    <r>
      <rPr>
        <sz val="11"/>
        <color theme="1"/>
        <rFont val="Calibri"/>
        <family val="2"/>
        <scheme val="minor"/>
      </rPr>
      <t>]</t>
    </r>
  </si>
  <si>
    <r>
      <t>M</t>
    </r>
    <r>
      <rPr>
        <vertAlign val="subscript"/>
        <sz val="11"/>
        <color theme="1"/>
        <rFont val="Calibri"/>
        <family val="2"/>
        <scheme val="minor"/>
      </rPr>
      <t>c,y</t>
    </r>
  </si>
  <si>
    <r>
      <t>[M</t>
    </r>
    <r>
      <rPr>
        <vertAlign val="subscript"/>
        <sz val="11"/>
        <color theme="1"/>
        <rFont val="Calibri"/>
        <family val="2"/>
        <scheme val="minor"/>
      </rPr>
      <t>n,y</t>
    </r>
    <r>
      <rPr>
        <sz val="11"/>
        <color theme="1"/>
        <rFont val="Calibri"/>
        <family val="2"/>
        <scheme val="minor"/>
      </rPr>
      <t>/Ω</t>
    </r>
    <r>
      <rPr>
        <vertAlign val="subscript"/>
        <sz val="11"/>
        <color theme="1"/>
        <rFont val="Calibri"/>
        <family val="2"/>
        <scheme val="minor"/>
      </rPr>
      <t>b</t>
    </r>
    <r>
      <rPr>
        <sz val="11"/>
        <color theme="1"/>
        <rFont val="Calibri"/>
        <family val="2"/>
        <scheme val="minor"/>
      </rPr>
      <t>]</t>
    </r>
  </si>
  <si>
    <t>Shear Checks - AISC 360 Chapter G</t>
  </si>
  <si>
    <t>Web Area</t>
  </si>
  <si>
    <r>
      <t>A</t>
    </r>
    <r>
      <rPr>
        <vertAlign val="subscript"/>
        <sz val="11"/>
        <color theme="1"/>
        <rFont val="Calibri"/>
        <family val="2"/>
        <scheme val="minor"/>
      </rPr>
      <t>w</t>
    </r>
  </si>
  <si>
    <t>[For Major Axis Shear Strength]</t>
  </si>
  <si>
    <t>Flange Area</t>
  </si>
  <si>
    <r>
      <t>A</t>
    </r>
    <r>
      <rPr>
        <vertAlign val="subscript"/>
        <sz val="11"/>
        <color theme="1"/>
        <rFont val="Calibri"/>
        <family val="2"/>
        <scheme val="minor"/>
      </rPr>
      <t>f</t>
    </r>
  </si>
  <si>
    <t>[For Minor Axis Shear Strength]</t>
  </si>
  <si>
    <t>Web Plate Buckling Coefficient</t>
  </si>
  <si>
    <r>
      <t>C</t>
    </r>
    <r>
      <rPr>
        <vertAlign val="subscript"/>
        <sz val="11"/>
        <color theme="1"/>
        <rFont val="Calibri"/>
        <family val="2"/>
      </rPr>
      <t>v1</t>
    </r>
  </si>
  <si>
    <t>[AISC 360, Section G2.1 - User Note]</t>
  </si>
  <si>
    <t>Web Shear Buckling Srength Coefficient</t>
  </si>
  <si>
    <r>
      <t>C</t>
    </r>
    <r>
      <rPr>
        <vertAlign val="subscript"/>
        <sz val="11"/>
        <color theme="1"/>
        <rFont val="Calibri"/>
        <family val="2"/>
      </rPr>
      <t>v2</t>
    </r>
  </si>
  <si>
    <t>[AISC 360, Section G6 - User Note]</t>
  </si>
  <si>
    <t>Shear Check (Major Axis)</t>
  </si>
  <si>
    <t>Nominal Shear Strength</t>
  </si>
  <si>
    <r>
      <t>V</t>
    </r>
    <r>
      <rPr>
        <vertAlign val="subscript"/>
        <sz val="11"/>
        <color theme="1"/>
        <rFont val="Calibri"/>
        <family val="2"/>
        <scheme val="minor"/>
      </rPr>
      <t>n,x</t>
    </r>
  </si>
  <si>
    <t>[AISC 360, Eqn G2-1]</t>
  </si>
  <si>
    <t>Allowable Shear Strength</t>
  </si>
  <si>
    <r>
      <t>V</t>
    </r>
    <r>
      <rPr>
        <vertAlign val="subscript"/>
        <sz val="11"/>
        <color theme="1"/>
        <rFont val="Calibri"/>
        <family val="2"/>
        <scheme val="minor"/>
      </rPr>
      <t>c,x</t>
    </r>
  </si>
  <si>
    <r>
      <t>[V</t>
    </r>
    <r>
      <rPr>
        <vertAlign val="subscript"/>
        <sz val="11"/>
        <color theme="1"/>
        <rFont val="Calibri"/>
        <family val="2"/>
        <scheme val="minor"/>
      </rPr>
      <t>n,x</t>
    </r>
    <r>
      <rPr>
        <sz val="11"/>
        <color theme="1"/>
        <rFont val="Calibri"/>
        <family val="2"/>
        <scheme val="minor"/>
      </rPr>
      <t>/Ω</t>
    </r>
    <r>
      <rPr>
        <vertAlign val="subscript"/>
        <sz val="11"/>
        <color theme="1"/>
        <rFont val="Calibri"/>
        <family val="2"/>
        <scheme val="minor"/>
      </rPr>
      <t>v1</t>
    </r>
    <r>
      <rPr>
        <sz val="11"/>
        <color theme="1"/>
        <rFont val="Calibri"/>
        <family val="2"/>
        <scheme val="minor"/>
      </rPr>
      <t>]</t>
    </r>
  </si>
  <si>
    <t>Shear Check (Minor Axis)</t>
  </si>
  <si>
    <r>
      <t>V</t>
    </r>
    <r>
      <rPr>
        <vertAlign val="subscript"/>
        <sz val="11"/>
        <color theme="1"/>
        <rFont val="Calibri"/>
        <family val="2"/>
        <scheme val="minor"/>
      </rPr>
      <t>n,y</t>
    </r>
  </si>
  <si>
    <r>
      <t>V</t>
    </r>
    <r>
      <rPr>
        <vertAlign val="subscript"/>
        <sz val="11"/>
        <color theme="1"/>
        <rFont val="Calibri"/>
        <family val="2"/>
        <scheme val="minor"/>
      </rPr>
      <t>c,y</t>
    </r>
  </si>
  <si>
    <r>
      <t>[V</t>
    </r>
    <r>
      <rPr>
        <vertAlign val="subscript"/>
        <sz val="11"/>
        <color theme="1"/>
        <rFont val="Calibri"/>
        <family val="2"/>
        <scheme val="minor"/>
      </rPr>
      <t>n,y</t>
    </r>
    <r>
      <rPr>
        <sz val="11"/>
        <color theme="1"/>
        <rFont val="Calibri"/>
        <family val="2"/>
        <scheme val="minor"/>
      </rPr>
      <t>/Ω</t>
    </r>
    <r>
      <rPr>
        <vertAlign val="subscript"/>
        <sz val="11"/>
        <color theme="1"/>
        <rFont val="Calibri"/>
        <family val="2"/>
        <scheme val="minor"/>
      </rPr>
      <t>v2</t>
    </r>
    <r>
      <rPr>
        <sz val="11"/>
        <color theme="1"/>
        <rFont val="Calibri"/>
        <family val="2"/>
        <scheme val="minor"/>
      </rPr>
      <t>]</t>
    </r>
  </si>
  <si>
    <t>Tension Checks - AISC 360 Chapter D</t>
  </si>
  <si>
    <t>Gross Area</t>
  </si>
  <si>
    <r>
      <t>A</t>
    </r>
    <r>
      <rPr>
        <vertAlign val="subscript"/>
        <sz val="11"/>
        <color theme="1"/>
        <rFont val="Calibri"/>
        <family val="2"/>
        <scheme val="minor"/>
      </rPr>
      <t>g</t>
    </r>
  </si>
  <si>
    <t>Effective Net Area</t>
  </si>
  <si>
    <r>
      <t>A</t>
    </r>
    <r>
      <rPr>
        <vertAlign val="subscript"/>
        <sz val="11"/>
        <color theme="1"/>
        <rFont val="Calibri"/>
        <family val="2"/>
        <scheme val="minor"/>
      </rPr>
      <t>e</t>
    </r>
  </si>
  <si>
    <t>[Same as Ag Because No Holes]</t>
  </si>
  <si>
    <t>Tensile Check</t>
  </si>
  <si>
    <t>Nominal Tensile Yield Strength</t>
  </si>
  <si>
    <r>
      <t>P</t>
    </r>
    <r>
      <rPr>
        <vertAlign val="subscript"/>
        <sz val="11"/>
        <color theme="1"/>
        <rFont val="Calibri"/>
        <family val="2"/>
        <scheme val="minor"/>
      </rPr>
      <t>n,yld</t>
    </r>
  </si>
  <si>
    <t>[AISC 360, Eqn D2-1]</t>
  </si>
  <si>
    <t>Allowable Tensile Yield Strength</t>
  </si>
  <si>
    <r>
      <t>P</t>
    </r>
    <r>
      <rPr>
        <vertAlign val="subscript"/>
        <sz val="11"/>
        <color theme="1"/>
        <rFont val="Calibri"/>
        <family val="2"/>
        <scheme val="minor"/>
      </rPr>
      <t>c,yld</t>
    </r>
  </si>
  <si>
    <r>
      <t>[P</t>
    </r>
    <r>
      <rPr>
        <vertAlign val="subscript"/>
        <sz val="11"/>
        <color theme="1"/>
        <rFont val="Calibri"/>
        <family val="2"/>
        <scheme val="minor"/>
      </rPr>
      <t>n,yld</t>
    </r>
    <r>
      <rPr>
        <sz val="11"/>
        <color theme="1"/>
        <rFont val="Calibri"/>
        <family val="2"/>
        <scheme val="minor"/>
      </rPr>
      <t>/Ω</t>
    </r>
    <r>
      <rPr>
        <vertAlign val="subscript"/>
        <sz val="11"/>
        <color theme="1"/>
        <rFont val="Calibri"/>
        <family val="2"/>
        <scheme val="minor"/>
      </rPr>
      <t>t,y</t>
    </r>
    <r>
      <rPr>
        <sz val="11"/>
        <color theme="1"/>
        <rFont val="Calibri"/>
        <family val="2"/>
        <scheme val="minor"/>
      </rPr>
      <t>]</t>
    </r>
  </si>
  <si>
    <t>Nominal Tensile Rupture Strength</t>
  </si>
  <si>
    <r>
      <t>P</t>
    </r>
    <r>
      <rPr>
        <vertAlign val="subscript"/>
        <sz val="11"/>
        <color theme="1"/>
        <rFont val="Calibri"/>
        <family val="2"/>
        <scheme val="minor"/>
      </rPr>
      <t>n,rup</t>
    </r>
  </si>
  <si>
    <t>[AISC 360, Eqn D2-2]</t>
  </si>
  <si>
    <t>Allowable Tensile Rupture Strength</t>
  </si>
  <si>
    <r>
      <t>P</t>
    </r>
    <r>
      <rPr>
        <vertAlign val="subscript"/>
        <sz val="11"/>
        <color theme="1"/>
        <rFont val="Calibri"/>
        <family val="2"/>
        <scheme val="minor"/>
      </rPr>
      <t>c,rup</t>
    </r>
  </si>
  <si>
    <r>
      <t>[P</t>
    </r>
    <r>
      <rPr>
        <vertAlign val="subscript"/>
        <sz val="11"/>
        <color theme="1"/>
        <rFont val="Calibri"/>
        <family val="2"/>
        <scheme val="minor"/>
      </rPr>
      <t>n,rup</t>
    </r>
    <r>
      <rPr>
        <sz val="11"/>
        <color theme="1"/>
        <rFont val="Calibri"/>
        <family val="2"/>
        <scheme val="minor"/>
      </rPr>
      <t>/Ω</t>
    </r>
    <r>
      <rPr>
        <vertAlign val="subscript"/>
        <sz val="11"/>
        <color theme="1"/>
        <rFont val="Calibri"/>
        <family val="2"/>
        <scheme val="minor"/>
      </rPr>
      <t>t,r</t>
    </r>
    <r>
      <rPr>
        <sz val="11"/>
        <color theme="1"/>
        <rFont val="Calibri"/>
        <family val="2"/>
        <scheme val="minor"/>
      </rPr>
      <t>]</t>
    </r>
  </si>
  <si>
    <t>Allowable Tensile Strength</t>
  </si>
  <si>
    <r>
      <t>P</t>
    </r>
    <r>
      <rPr>
        <vertAlign val="subscript"/>
        <sz val="11"/>
        <color theme="1"/>
        <rFont val="Calibri"/>
        <family val="2"/>
        <scheme val="minor"/>
      </rPr>
      <t>c,t</t>
    </r>
  </si>
  <si>
    <r>
      <t>[Min of P</t>
    </r>
    <r>
      <rPr>
        <vertAlign val="subscript"/>
        <sz val="11"/>
        <color theme="1"/>
        <rFont val="Calibri"/>
        <family val="2"/>
        <scheme val="minor"/>
      </rPr>
      <t>c,yld</t>
    </r>
    <r>
      <rPr>
        <sz val="11"/>
        <color theme="1"/>
        <rFont val="Calibri"/>
        <family val="2"/>
        <scheme val="minor"/>
      </rPr>
      <t xml:space="preserve"> ; P</t>
    </r>
    <r>
      <rPr>
        <vertAlign val="subscript"/>
        <sz val="11"/>
        <color theme="1"/>
        <rFont val="Calibri"/>
        <family val="2"/>
        <scheme val="minor"/>
      </rPr>
      <t>c,rup</t>
    </r>
    <r>
      <rPr>
        <sz val="11"/>
        <color theme="1"/>
        <rFont val="Calibri"/>
        <family val="2"/>
        <scheme val="minor"/>
      </rPr>
      <t>]</t>
    </r>
  </si>
  <si>
    <t>Combined Forces Check for Flexure &amp; Compression</t>
  </si>
  <si>
    <t>AISC 360, Section H1.1 ; Eqn H1-1a &amp; H1-1b</t>
  </si>
  <si>
    <t>Combined Forces Check for Flexure &amp; Tension</t>
  </si>
  <si>
    <t>AISC 360, Sectionb H1.2; Eqn H1-1a &amp; H1-1b</t>
  </si>
  <si>
    <t>Corrosion Loss at End of Service Life</t>
  </si>
  <si>
    <t>mils per side</t>
  </si>
  <si>
    <t>Corroded Section Properties</t>
  </si>
  <si>
    <t>Beam Section</t>
  </si>
  <si>
    <t>Fy</t>
  </si>
  <si>
    <t>Fu</t>
  </si>
  <si>
    <t>Pile Embedment Length</t>
  </si>
  <si>
    <t>Bearing Area</t>
  </si>
  <si>
    <r>
      <t>ft</t>
    </r>
    <r>
      <rPr>
        <vertAlign val="superscript"/>
        <sz val="11"/>
        <color theme="1"/>
        <rFont val="Calibri"/>
        <family val="2"/>
        <scheme val="minor"/>
      </rPr>
      <t>2</t>
    </r>
  </si>
  <si>
    <t>Pile Perimeter</t>
  </si>
  <si>
    <t>Soil Stratum Details - Compression:</t>
  </si>
  <si>
    <t>Soil Stratum Details - Uplift:</t>
  </si>
  <si>
    <t>Allowable Uplift Side Resistance (psf)</t>
  </si>
  <si>
    <t>Loading Details</t>
  </si>
  <si>
    <r>
      <t>Compression, P</t>
    </r>
    <r>
      <rPr>
        <vertAlign val="subscript"/>
        <sz val="11"/>
        <color theme="1"/>
        <rFont val="Calibri"/>
        <family val="2"/>
        <scheme val="minor"/>
      </rPr>
      <t>c</t>
    </r>
  </si>
  <si>
    <r>
      <t>Uplift, P</t>
    </r>
    <r>
      <rPr>
        <vertAlign val="subscript"/>
        <sz val="11"/>
        <color theme="1"/>
        <rFont val="Calibri"/>
        <family val="2"/>
        <scheme val="minor"/>
      </rPr>
      <t>t</t>
    </r>
  </si>
  <si>
    <t>Axial Compression Resistance Check</t>
  </si>
  <si>
    <t>Allowable Compression Bearing Resistance</t>
  </si>
  <si>
    <t>Allowable Compression Friction Resistance:</t>
  </si>
  <si>
    <t>Stratum 1</t>
  </si>
  <si>
    <t>Stratum 2</t>
  </si>
  <si>
    <t>Stratum 3</t>
  </si>
  <si>
    <t>Stratum 4</t>
  </si>
  <si>
    <t>Service Axial Compression Friction Resistance</t>
  </si>
  <si>
    <r>
      <t>Allowable Axial Compression Design Load, P</t>
    </r>
    <r>
      <rPr>
        <vertAlign val="subscript"/>
        <sz val="11"/>
        <color theme="1"/>
        <rFont val="Calibri"/>
        <family val="2"/>
        <scheme val="minor"/>
      </rPr>
      <t>n</t>
    </r>
  </si>
  <si>
    <t>[Bearing + Side Resistance]</t>
  </si>
  <si>
    <r>
      <t>[P</t>
    </r>
    <r>
      <rPr>
        <vertAlign val="subscript"/>
        <sz val="11"/>
        <color theme="1"/>
        <rFont val="Calibri"/>
        <family val="2"/>
        <scheme val="minor"/>
      </rPr>
      <t>c</t>
    </r>
    <r>
      <rPr>
        <sz val="11"/>
        <color theme="1"/>
        <rFont val="Calibri"/>
        <family val="2"/>
        <scheme val="minor"/>
      </rPr>
      <t>/P</t>
    </r>
    <r>
      <rPr>
        <vertAlign val="subscript"/>
        <sz val="11"/>
        <color theme="1"/>
        <rFont val="Calibri"/>
        <family val="2"/>
        <scheme val="minor"/>
      </rPr>
      <t>n</t>
    </r>
    <r>
      <rPr>
        <sz val="11"/>
        <color theme="1"/>
        <rFont val="Calibri"/>
        <family val="2"/>
        <scheme val="minor"/>
      </rPr>
      <t>]</t>
    </r>
  </si>
  <si>
    <t>Axial Uplift Resistance Check</t>
  </si>
  <si>
    <t>Allowable Uplift Friction Resistance:</t>
  </si>
  <si>
    <r>
      <t>Service Axial Uplift Friction Resistance, P</t>
    </r>
    <r>
      <rPr>
        <vertAlign val="subscript"/>
        <sz val="11"/>
        <color theme="1"/>
        <rFont val="Calibri"/>
        <family val="2"/>
        <scheme val="minor"/>
      </rPr>
      <t>nu</t>
    </r>
  </si>
  <si>
    <r>
      <t>[P</t>
    </r>
    <r>
      <rPr>
        <vertAlign val="subscript"/>
        <sz val="11"/>
        <color theme="1"/>
        <rFont val="Calibri"/>
        <family val="2"/>
        <scheme val="minor"/>
      </rPr>
      <t>t</t>
    </r>
    <r>
      <rPr>
        <sz val="11"/>
        <color theme="1"/>
        <rFont val="Calibri"/>
        <family val="2"/>
        <scheme val="minor"/>
      </rPr>
      <t>/P</t>
    </r>
    <r>
      <rPr>
        <vertAlign val="subscript"/>
        <sz val="11"/>
        <color theme="1"/>
        <rFont val="Calibri"/>
        <family val="2"/>
        <scheme val="minor"/>
      </rPr>
      <t>nu</t>
    </r>
    <r>
      <rPr>
        <sz val="11"/>
        <color theme="1"/>
        <rFont val="Calibri"/>
        <family val="2"/>
        <scheme val="minor"/>
      </rPr>
      <t>]</t>
    </r>
  </si>
  <si>
    <t>Stratum 5</t>
  </si>
  <si>
    <t>W 6 x 10.4</t>
  </si>
  <si>
    <t>W 6 x 10.4 - Reduced (3mil)</t>
  </si>
  <si>
    <t>W 6 x 10.4 - Reduced (5mil)</t>
  </si>
  <si>
    <t>Stratum 6</t>
  </si>
  <si>
    <t>Fillet Radius</t>
  </si>
  <si>
    <t>kc</t>
  </si>
  <si>
    <t>LPILE p-y Curve Type</t>
  </si>
  <si>
    <t>Effective Friction Angle (°)</t>
  </si>
  <si>
    <t>Groundwater Depth (ft)</t>
  </si>
  <si>
    <t>Top Depth Below Grade (ft)</t>
  </si>
  <si>
    <t>Bottom Depth Below Grade (ft)</t>
  </si>
  <si>
    <t>k</t>
  </si>
  <si>
    <t>e60</t>
  </si>
  <si>
    <t>Pile Type</t>
  </si>
  <si>
    <t>Depth (ft)</t>
  </si>
  <si>
    <t>Defl (in)</t>
  </si>
  <si>
    <t>Bending Moment (in-lbs)</t>
  </si>
  <si>
    <t>Shear (lbs)</t>
  </si>
  <si>
    <t>Slope (rads)</t>
  </si>
  <si>
    <t>Stress (psi)</t>
  </si>
  <si>
    <t>Stiffness (lb-in2)</t>
  </si>
  <si>
    <t>p (lb/in)</t>
  </si>
  <si>
    <t>Es*H (lb/in)</t>
  </si>
  <si>
    <t>Distr Load (lb/in)</t>
  </si>
  <si>
    <t>Date</t>
  </si>
  <si>
    <t>Notes</t>
  </si>
  <si>
    <t>Version</t>
  </si>
  <si>
    <t>0.0.1</t>
  </si>
  <si>
    <t>0.0.2</t>
  </si>
  <si>
    <t>Single Pile Output</t>
  </si>
  <si>
    <t>Single Pile Input</t>
  </si>
  <si>
    <t>Author</t>
  </si>
  <si>
    <t>Soil Parameters</t>
  </si>
  <si>
    <t>Output Summary</t>
  </si>
  <si>
    <t>AG</t>
  </si>
  <si>
    <t>AM</t>
  </si>
  <si>
    <t>0.0.3</t>
  </si>
  <si>
    <t>N. Young</t>
  </si>
  <si>
    <t>0.0.4</t>
  </si>
  <si>
    <t>Removed extraneous tabs &amp; data</t>
  </si>
  <si>
    <t>Reduced input and tied post-process to LP output</t>
  </si>
  <si>
    <t>J. Taranto</t>
  </si>
  <si>
    <t>0.0.5</t>
  </si>
  <si>
    <t>Updated inputs to LP. Increased number of outputs given.</t>
  </si>
  <si>
    <t>Weak</t>
  </si>
  <si>
    <t>Strong</t>
  </si>
  <si>
    <t>0.0.6</t>
  </si>
  <si>
    <t>Added Weak Axis Inputs/Outputs</t>
  </si>
  <si>
    <t>Embed (ft)</t>
  </si>
  <si>
    <t>Reveal (ft)</t>
  </si>
  <si>
    <t>Shape</t>
  </si>
  <si>
    <t>Grade Defl</t>
  </si>
  <si>
    <t>Head Defl</t>
  </si>
  <si>
    <t>Axial Usage (Soil)</t>
  </si>
  <si>
    <t>Zinc</t>
  </si>
  <si>
    <t>Steel</t>
  </si>
  <si>
    <t>mil/yr</t>
  </si>
  <si>
    <t>Soil</t>
  </si>
  <si>
    <t>Total Loss</t>
  </si>
  <si>
    <t>T_F</t>
  </si>
  <si>
    <t>W</t>
  </si>
  <si>
    <t>T</t>
  </si>
  <si>
    <t>W4X13</t>
  </si>
  <si>
    <t>F</t>
  </si>
  <si>
    <t>W5X16</t>
  </si>
  <si>
    <t>W5X19</t>
  </si>
  <si>
    <t>W6X8.5</t>
  </si>
  <si>
    <t>W6X9</t>
  </si>
  <si>
    <t>W6X15</t>
  </si>
  <si>
    <t>W6X12</t>
  </si>
  <si>
    <t>W6X20</t>
  </si>
  <si>
    <t>W6X16</t>
  </si>
  <si>
    <t>W6X25</t>
  </si>
  <si>
    <t>W8X10</t>
  </si>
  <si>
    <t>W8X24</t>
  </si>
  <si>
    <t>W8X13</t>
  </si>
  <si>
    <t>W8X31</t>
  </si>
  <si>
    <t>W8X28</t>
  </si>
  <si>
    <t>W8X15</t>
  </si>
  <si>
    <t>W8X35</t>
  </si>
  <si>
    <t>W8X18</t>
  </si>
  <si>
    <t>W8X40</t>
  </si>
  <si>
    <t>W8X21</t>
  </si>
  <si>
    <t>W8X48</t>
  </si>
  <si>
    <t>W8X58</t>
  </si>
  <si>
    <t>W8X67</t>
  </si>
  <si>
    <t>W10X33</t>
  </si>
  <si>
    <t>W10X12</t>
  </si>
  <si>
    <t>W10X39</t>
  </si>
  <si>
    <t>W10X15</t>
  </si>
  <si>
    <t>W10X49</t>
  </si>
  <si>
    <t>W10X17</t>
  </si>
  <si>
    <t>W10X45</t>
  </si>
  <si>
    <t>W10X54</t>
  </si>
  <si>
    <t>W10X19</t>
  </si>
  <si>
    <t>W10X22</t>
  </si>
  <si>
    <t>W10X60</t>
  </si>
  <si>
    <t>W10X26</t>
  </si>
  <si>
    <t>W10X68</t>
  </si>
  <si>
    <t>W10X30</t>
  </si>
  <si>
    <t>W10X77</t>
  </si>
  <si>
    <t>W10X88</t>
  </si>
  <si>
    <t>W10X100</t>
  </si>
  <si>
    <t>W10X112</t>
  </si>
  <si>
    <t>W12X14</t>
  </si>
  <si>
    <t>W12X40</t>
  </si>
  <si>
    <t>W12X16</t>
  </si>
  <si>
    <t>W12X45</t>
  </si>
  <si>
    <t>W12X53</t>
  </si>
  <si>
    <t>W12X65</t>
  </si>
  <si>
    <t>W12X19</t>
  </si>
  <si>
    <t>W12X26</t>
  </si>
  <si>
    <t>W12X50</t>
  </si>
  <si>
    <t>W12X58</t>
  </si>
  <si>
    <t>W12X22</t>
  </si>
  <si>
    <t>W12X30</t>
  </si>
  <si>
    <t>W12X72</t>
  </si>
  <si>
    <t>W12X79</t>
  </si>
  <si>
    <t>W12X35</t>
  </si>
  <si>
    <t>W12X87</t>
  </si>
  <si>
    <t>W12X96</t>
  </si>
  <si>
    <t>W12X106</t>
  </si>
  <si>
    <t>W12X120</t>
  </si>
  <si>
    <t>W12X136</t>
  </si>
  <si>
    <t>W14X22</t>
  </si>
  <si>
    <t>W14X43</t>
  </si>
  <si>
    <t>W12X152</t>
  </si>
  <si>
    <t>W14X30</t>
  </si>
  <si>
    <t>W14X48</t>
  </si>
  <si>
    <t>W14X26</t>
  </si>
  <si>
    <t>W14X53</t>
  </si>
  <si>
    <t>W14X61</t>
  </si>
  <si>
    <t>W14X34</t>
  </si>
  <si>
    <t>W14X68</t>
  </si>
  <si>
    <t>W14X90</t>
  </si>
  <si>
    <t>W12X170</t>
  </si>
  <si>
    <t>W14X38</t>
  </si>
  <si>
    <t>W14X74</t>
  </si>
  <si>
    <t>W14X99</t>
  </si>
  <si>
    <t>W14X82</t>
  </si>
  <si>
    <t>W14X109</t>
  </si>
  <si>
    <t>W12X190</t>
  </si>
  <si>
    <t>W14X120</t>
  </si>
  <si>
    <t>W14X132</t>
  </si>
  <si>
    <t>W12X210</t>
  </si>
  <si>
    <t>W14X145</t>
  </si>
  <si>
    <t>W14X159</t>
  </si>
  <si>
    <t>W12X230</t>
  </si>
  <si>
    <t>W14X176</t>
  </si>
  <si>
    <t>W12X252</t>
  </si>
  <si>
    <t>W14X193</t>
  </si>
  <si>
    <t>W16X26</t>
  </si>
  <si>
    <t>W14X211</t>
  </si>
  <si>
    <t>W16X31</t>
  </si>
  <si>
    <t>W16X36</t>
  </si>
  <si>
    <t>W12X279</t>
  </si>
  <si>
    <t>W16X40</t>
  </si>
  <si>
    <t>W14X233</t>
  </si>
  <si>
    <t>W16X45</t>
  </si>
  <si>
    <t>W16X50</t>
  </si>
  <si>
    <t>W16X67</t>
  </si>
  <si>
    <t>W12X305</t>
  </si>
  <si>
    <t>W16X57</t>
  </si>
  <si>
    <t>W14X257</t>
  </si>
  <si>
    <t>W16X77</t>
  </si>
  <si>
    <t>W14X283</t>
  </si>
  <si>
    <t>W16X89</t>
  </si>
  <si>
    <t>W12X336</t>
  </si>
  <si>
    <t>W16X100</t>
  </si>
  <si>
    <t>W14X311</t>
  </si>
  <si>
    <t>W14X342</t>
  </si>
  <si>
    <t>W18X35</t>
  </si>
  <si>
    <t>W18X40</t>
  </si>
  <si>
    <t>W14X370</t>
  </si>
  <si>
    <t>W18X50</t>
  </si>
  <si>
    <t>W18X46</t>
  </si>
  <si>
    <t>W18X55</t>
  </si>
  <si>
    <t>W18X60</t>
  </si>
  <si>
    <t>W18X76</t>
  </si>
  <si>
    <t>W14X398</t>
  </si>
  <si>
    <t>W18X65</t>
  </si>
  <si>
    <t>W18X86</t>
  </si>
  <si>
    <t>W18X71</t>
  </si>
  <si>
    <t>W18X97</t>
  </si>
  <si>
    <t>W18X106</t>
  </si>
  <si>
    <t>W14X426</t>
  </si>
  <si>
    <t>W18X119</t>
  </si>
  <si>
    <t>W14X455</t>
  </si>
  <si>
    <t>W18X130</t>
  </si>
  <si>
    <t>W18X143</t>
  </si>
  <si>
    <t>W14X500</t>
  </si>
  <si>
    <t>W18X158</t>
  </si>
  <si>
    <t>W18X175</t>
  </si>
  <si>
    <t>W14X550</t>
  </si>
  <si>
    <t>W18X192</t>
  </si>
  <si>
    <t>W21X48</t>
  </si>
  <si>
    <t>W21X44</t>
  </si>
  <si>
    <t>W18X211</t>
  </si>
  <si>
    <t>W21X50</t>
  </si>
  <si>
    <t>W21X55</t>
  </si>
  <si>
    <t>W14X605</t>
  </si>
  <si>
    <t>W21X62</t>
  </si>
  <si>
    <t>W21X57</t>
  </si>
  <si>
    <t>W21X68</t>
  </si>
  <si>
    <t>W18X234</t>
  </si>
  <si>
    <t>W21X73</t>
  </si>
  <si>
    <t>W21X83</t>
  </si>
  <si>
    <t>W21X101</t>
  </si>
  <si>
    <t>W21X111</t>
  </si>
  <si>
    <t>W18X258</t>
  </si>
  <si>
    <t>W21X93</t>
  </si>
  <si>
    <t>W14X665</t>
  </si>
  <si>
    <t>W21X122</t>
  </si>
  <si>
    <t>W21X132</t>
  </si>
  <si>
    <t>W18X283</t>
  </si>
  <si>
    <t>W21X147</t>
  </si>
  <si>
    <t>W18X311</t>
  </si>
  <si>
    <t>W14X730</t>
  </si>
  <si>
    <t>W21X166</t>
  </si>
  <si>
    <t>W21X182</t>
  </si>
  <si>
    <t>W14X808</t>
  </si>
  <si>
    <t>W21X201</t>
  </si>
  <si>
    <t>W21X223</t>
  </si>
  <si>
    <t>W24X55</t>
  </si>
  <si>
    <t>W14X873</t>
  </si>
  <si>
    <t>W24X62</t>
  </si>
  <si>
    <t>W24X68</t>
  </si>
  <si>
    <t>W21X248</t>
  </si>
  <si>
    <t>W24X76</t>
  </si>
  <si>
    <t>W24X84</t>
  </si>
  <si>
    <t>W24X104</t>
  </si>
  <si>
    <t>W21X275</t>
  </si>
  <si>
    <t>W24X94</t>
  </si>
  <si>
    <t>W24X117</t>
  </si>
  <si>
    <t>W24X103</t>
  </si>
  <si>
    <t>W24X131</t>
  </si>
  <si>
    <t>W24X146</t>
  </si>
  <si>
    <t>W24X162</t>
  </si>
  <si>
    <t>W24X176</t>
  </si>
  <si>
    <t>W24X192</t>
  </si>
  <si>
    <t>W24X207</t>
  </si>
  <si>
    <t>W24X229</t>
  </si>
  <si>
    <t>W24X250</t>
  </si>
  <si>
    <t>W27X84</t>
  </si>
  <si>
    <t>W24X279</t>
  </si>
  <si>
    <t>W27X94</t>
  </si>
  <si>
    <t>W27X102</t>
  </si>
  <si>
    <t>W24X306</t>
  </si>
  <si>
    <t>W27X114</t>
  </si>
  <si>
    <t>W27X146</t>
  </si>
  <si>
    <t>W24X335</t>
  </si>
  <si>
    <t>W27X129</t>
  </si>
  <si>
    <t>W27X161</t>
  </si>
  <si>
    <t>W27X178</t>
  </si>
  <si>
    <t>W24X370</t>
  </si>
  <si>
    <t>W27X194</t>
  </si>
  <si>
    <t>W27X217</t>
  </si>
  <si>
    <t>W27X235</t>
  </si>
  <si>
    <t>W27X258</t>
  </si>
  <si>
    <t>W27X281</t>
  </si>
  <si>
    <t>W30X90</t>
  </si>
  <si>
    <t>W27X307</t>
  </si>
  <si>
    <t>W30X99</t>
  </si>
  <si>
    <t>W30X108</t>
  </si>
  <si>
    <t>W30X116</t>
  </si>
  <si>
    <t>W27X336</t>
  </si>
  <si>
    <t>W30X124</t>
  </si>
  <si>
    <t>W30X132</t>
  </si>
  <si>
    <t>W30X173</t>
  </si>
  <si>
    <t>W27X368</t>
  </si>
  <si>
    <t>W30X148</t>
  </si>
  <si>
    <t>W30X191</t>
  </si>
  <si>
    <t>W30X211</t>
  </si>
  <si>
    <t>W30X235</t>
  </si>
  <si>
    <t>W30X261</t>
  </si>
  <si>
    <t>W30X292</t>
  </si>
  <si>
    <t>W30X326</t>
  </si>
  <si>
    <t>W27X539</t>
  </si>
  <si>
    <t>W30X357</t>
  </si>
  <si>
    <t>W33X118</t>
  </si>
  <si>
    <t>W33X130</t>
  </si>
  <si>
    <t>W30X391</t>
  </si>
  <si>
    <t>W33X141</t>
  </si>
  <si>
    <t>W33X152</t>
  </si>
  <si>
    <t>W33X201</t>
  </si>
  <si>
    <t>W33X169</t>
  </si>
  <si>
    <t>W33X221</t>
  </si>
  <si>
    <t>W33X241</t>
  </si>
  <si>
    <t>W33X263</t>
  </si>
  <si>
    <t>W33X291</t>
  </si>
  <si>
    <t>W33X318</t>
  </si>
  <si>
    <t>W36X135</t>
  </si>
  <si>
    <t>W33X354</t>
  </si>
  <si>
    <t>W36X150</t>
  </si>
  <si>
    <t>W36X160</t>
  </si>
  <si>
    <t>W33X387</t>
  </si>
  <si>
    <t>W36X170</t>
  </si>
  <si>
    <t>W36X182</t>
  </si>
  <si>
    <t>W36X194</t>
  </si>
  <si>
    <t>W36X231</t>
  </si>
  <si>
    <t>W36X210</t>
  </si>
  <si>
    <t>W36X247</t>
  </si>
  <si>
    <t>W36X262</t>
  </si>
  <si>
    <t>W36X232</t>
  </si>
  <si>
    <t>W36X282</t>
  </si>
  <si>
    <t>W36X302</t>
  </si>
  <si>
    <t>W36X256</t>
  </si>
  <si>
    <t>W36X330</t>
  </si>
  <si>
    <t>W36X286</t>
  </si>
  <si>
    <t>W36X361</t>
  </si>
  <si>
    <t>W40X149</t>
  </si>
  <si>
    <t>W36X318</t>
  </si>
  <si>
    <t>W36X395</t>
  </si>
  <si>
    <t>W40X167</t>
  </si>
  <si>
    <t>W36X350</t>
  </si>
  <si>
    <t>W40X199</t>
  </si>
  <si>
    <t>W36X441</t>
  </si>
  <si>
    <t>W40X183</t>
  </si>
  <si>
    <t>W40X215</t>
  </si>
  <si>
    <t>W36X387</t>
  </si>
  <si>
    <t>W36X487</t>
  </si>
  <si>
    <t>W40X211</t>
  </si>
  <si>
    <t>W40X249</t>
  </si>
  <si>
    <t>W40X235</t>
  </si>
  <si>
    <t>W40X277</t>
  </si>
  <si>
    <t>W40X297</t>
  </si>
  <si>
    <t>W36X529</t>
  </si>
  <si>
    <t>W40X264</t>
  </si>
  <si>
    <t>W40X278</t>
  </si>
  <si>
    <t>W40X324</t>
  </si>
  <si>
    <t>W40X294</t>
  </si>
  <si>
    <t>W40X362</t>
  </si>
  <si>
    <t>W40X372</t>
  </si>
  <si>
    <t>W40X327</t>
  </si>
  <si>
    <t>W40X331</t>
  </si>
  <si>
    <t>W40X397</t>
  </si>
  <si>
    <t>W36X652</t>
  </si>
  <si>
    <t>W40X431</t>
  </si>
  <si>
    <t>W40X392</t>
  </si>
  <si>
    <t>W36X723</t>
  </si>
  <si>
    <t>W40X503</t>
  </si>
  <si>
    <t>W36X802</t>
  </si>
  <si>
    <t>W44X230</t>
  </si>
  <si>
    <t>W40X593</t>
  </si>
  <si>
    <t>W36X853</t>
  </si>
  <si>
    <t>W36X925</t>
  </si>
  <si>
    <t>W44X262</t>
  </si>
  <si>
    <t>W44X290</t>
  </si>
  <si>
    <t>W40X655</t>
  </si>
  <si>
    <t>W44X335</t>
  </si>
  <si>
    <t>W44X368</t>
  </si>
  <si>
    <t>W44X408</t>
  </si>
  <si>
    <t>Soil Zones</t>
  </si>
  <si>
    <t>G1</t>
  </si>
  <si>
    <t>Scour Zones</t>
  </si>
  <si>
    <t>Scour Zone</t>
  </si>
  <si>
    <t>S1</t>
  </si>
  <si>
    <t>Soil Zone</t>
  </si>
  <si>
    <t>File Locations</t>
  </si>
  <si>
    <t>Shape Database</t>
  </si>
  <si>
    <t>Address</t>
  </si>
  <si>
    <t>Defaults</t>
  </si>
  <si>
    <t>Values</t>
  </si>
  <si>
    <t>W6X7</t>
  </si>
  <si>
    <t>W6X10.4</t>
  </si>
  <si>
    <t>Allowable Comp. Side Resistance (psf)</t>
  </si>
  <si>
    <t>Batch Results</t>
  </si>
  <si>
    <t>Zones</t>
  </si>
  <si>
    <t>Total Weight (lbs)</t>
  </si>
  <si>
    <t>Applied TOPLS</t>
  </si>
  <si>
    <t>Max Grade Deflection</t>
  </si>
  <si>
    <t xml:space="preserve">Max Head Deflection </t>
  </si>
  <si>
    <t>** Double click to load dashboard</t>
  </si>
  <si>
    <t>Moment</t>
  </si>
  <si>
    <t>Comp.</t>
  </si>
  <si>
    <t>Tension</t>
  </si>
  <si>
    <t>Result</t>
  </si>
  <si>
    <t>Results</t>
  </si>
  <si>
    <t>Stratum 7</t>
  </si>
  <si>
    <t>Stratum 8</t>
  </si>
  <si>
    <t>Stratum 9</t>
  </si>
  <si>
    <t>Stratum 10</t>
  </si>
  <si>
    <t>[Side Resistance]</t>
  </si>
  <si>
    <t xml:space="preserve">LPILE &amp; Batch </t>
  </si>
  <si>
    <t>Grades</t>
  </si>
  <si>
    <t>Zone</t>
  </si>
  <si>
    <t>Fixity Results</t>
  </si>
  <si>
    <t>Point of Fixity (ft BGL)</t>
  </si>
  <si>
    <t>Lpile File Name</t>
  </si>
  <si>
    <t>Scour</t>
  </si>
  <si>
    <t>Lpile Results</t>
  </si>
  <si>
    <t>Header</t>
  </si>
  <si>
    <t>Input</t>
  </si>
  <si>
    <t>Formula</t>
  </si>
  <si>
    <t>Lookup</t>
  </si>
  <si>
    <t>Cell Legend</t>
  </si>
  <si>
    <t>Z. Polaha
J.Bigham</t>
  </si>
  <si>
    <t>SLS Design Criteria - Strong Axis (Imperial)</t>
  </si>
  <si>
    <t>SLS Design Criteria - Weak Axis (Imperial)</t>
  </si>
  <si>
    <t>Weak Axis - Seismic Load (lb)</t>
  </si>
  <si>
    <t>Shear
(lb)</t>
  </si>
  <si>
    <t>Compression
(lb)</t>
  </si>
  <si>
    <t>Tension
(lb)</t>
  </si>
  <si>
    <t>Moment
(lb-in)</t>
  </si>
  <si>
    <t>Weak Axis
[D+0.7E] (lb)</t>
  </si>
  <si>
    <t>Weak Axis - 
Dead Load (lb)</t>
  </si>
  <si>
    <t>Imported TOPLs from Summary</t>
  </si>
  <si>
    <t>Reveal
(ft)</t>
  </si>
  <si>
    <t>Imported?</t>
  </si>
  <si>
    <t>Last Path:</t>
  </si>
  <si>
    <t>Axial</t>
  </si>
  <si>
    <t>Batch Analysis Options</t>
  </si>
  <si>
    <t>Galv</t>
  </si>
  <si>
    <t>Geo Zones</t>
  </si>
  <si>
    <t>Steel Grades</t>
  </si>
  <si>
    <t>Shapes</t>
  </si>
  <si>
    <t>Min</t>
  </si>
  <si>
    <t>Max</t>
  </si>
  <si>
    <t>Int.</t>
  </si>
  <si>
    <t>Reveal</t>
  </si>
  <si>
    <t>Sufficient Section?</t>
  </si>
  <si>
    <t>TOPLs</t>
  </si>
  <si>
    <t>Types</t>
  </si>
  <si>
    <t>List Options</t>
  </si>
  <si>
    <t>Corrosion Inputs</t>
  </si>
  <si>
    <t>Type</t>
  </si>
  <si>
    <t>Pile
Parameters</t>
  </si>
  <si>
    <t>Moment (lb-in)</t>
  </si>
  <si>
    <t>Shear (lb)</t>
  </si>
  <si>
    <t>D + 0.7E (lb)</t>
  </si>
  <si>
    <t>Seismic (lb)</t>
  </si>
  <si>
    <t>Dead (lb)</t>
  </si>
  <si>
    <t>Tension (lb)</t>
  </si>
  <si>
    <t>Embedment Depth, d (ft)</t>
  </si>
  <si>
    <t>Eff. Bending Length Factor, K</t>
  </si>
  <si>
    <t>Modulus of Elasticity, E (ksi)</t>
  </si>
  <si>
    <t>Design Life (yrs)</t>
  </si>
  <si>
    <t>Pile Length (ft)</t>
  </si>
  <si>
    <t>Centerline of Torque Tube</t>
  </si>
  <si>
    <t>Applied Moment (lb-in)</t>
  </si>
  <si>
    <t>TOPL.Shear (lb)</t>
  </si>
  <si>
    <t>TOPL.Compression (lb)</t>
  </si>
  <si>
    <t>TOPL.Moment (lb-in)</t>
  </si>
  <si>
    <t>Torque Tube Offset</t>
  </si>
  <si>
    <t>Steel Check Load</t>
  </si>
  <si>
    <t>Pile Deflection at Grade (in)</t>
  </si>
  <si>
    <t>Fixity Depth (ft)</t>
  </si>
  <si>
    <t>Lpile at Grade Depth (ft)</t>
  </si>
  <si>
    <t>Lpile Max Moment Depth (ft)</t>
  </si>
  <si>
    <t>Waiting</t>
  </si>
  <si>
    <t>Please wait</t>
  </si>
  <si>
    <t>Hold please</t>
  </si>
  <si>
    <t>Patience is a virtue</t>
  </si>
  <si>
    <t>Drumroll please</t>
  </si>
  <si>
    <t>Sit tight</t>
  </si>
  <si>
    <t>Just a moment</t>
  </si>
  <si>
    <t>Hang on</t>
  </si>
  <si>
    <t>A watched pot never boils</t>
  </si>
  <si>
    <t>Waiting is the hardest part</t>
  </si>
  <si>
    <t>Watching the grass grow</t>
  </si>
  <si>
    <t>Fixity depth</t>
  </si>
  <si>
    <t>Uplift Stress due to _____</t>
  </si>
  <si>
    <t>Compression (lb)</t>
  </si>
  <si>
    <t>Pile Section Shape</t>
  </si>
  <si>
    <t>Atmosphere</t>
  </si>
  <si>
    <t>Moment of Inertia</t>
  </si>
  <si>
    <t>Elastic Section Modulus</t>
  </si>
  <si>
    <t>Radius of Gyration</t>
  </si>
  <si>
    <t>Plastic Section Modulus</t>
  </si>
  <si>
    <t>Strong, x</t>
  </si>
  <si>
    <t>Weak, y</t>
  </si>
  <si>
    <t>Corroded Steel Section Properties</t>
  </si>
  <si>
    <t>Sub-Header</t>
  </si>
  <si>
    <r>
      <t>Pile Reveal Height,  H</t>
    </r>
    <r>
      <rPr>
        <vertAlign val="subscript"/>
        <sz val="10"/>
        <rFont val="Source Sans Pro"/>
        <family val="2"/>
      </rPr>
      <t>R</t>
    </r>
    <r>
      <rPr>
        <sz val="10"/>
        <rFont val="Source Sans Pro"/>
        <family val="2"/>
      </rPr>
      <t xml:space="preserve"> (ft)</t>
    </r>
  </si>
  <si>
    <r>
      <t>d</t>
    </r>
    <r>
      <rPr>
        <vertAlign val="subscript"/>
        <sz val="10"/>
        <rFont val="Source Sans Pro"/>
        <family val="2"/>
      </rPr>
      <t>TT</t>
    </r>
    <r>
      <rPr>
        <sz val="10"/>
        <rFont val="Source Sans Pro"/>
        <family val="2"/>
      </rPr>
      <t xml:space="preserve"> (ft)</t>
    </r>
  </si>
  <si>
    <r>
      <t>CL</t>
    </r>
    <r>
      <rPr>
        <vertAlign val="subscript"/>
        <sz val="10"/>
        <rFont val="Source Sans Pro"/>
        <family val="2"/>
      </rPr>
      <t>TT</t>
    </r>
    <r>
      <rPr>
        <sz val="10"/>
        <rFont val="Source Sans Pro"/>
        <family val="2"/>
      </rPr>
      <t xml:space="preserve"> (ft)</t>
    </r>
  </si>
  <si>
    <r>
      <t>A (in</t>
    </r>
    <r>
      <rPr>
        <vertAlign val="superscript"/>
        <sz val="10"/>
        <color theme="1"/>
        <rFont val="Source Sans Pro"/>
        <family val="2"/>
      </rPr>
      <t>2</t>
    </r>
    <r>
      <rPr>
        <sz val="10"/>
        <color theme="1"/>
        <rFont val="Source Sans Pro"/>
        <family val="2"/>
      </rPr>
      <t>)</t>
    </r>
  </si>
  <si>
    <r>
      <t>t</t>
    </r>
    <r>
      <rPr>
        <vertAlign val="subscript"/>
        <sz val="10"/>
        <color theme="1"/>
        <rFont val="Source Sans Pro"/>
        <family val="2"/>
      </rPr>
      <t>w</t>
    </r>
    <r>
      <rPr>
        <sz val="10"/>
        <color theme="1"/>
        <rFont val="Source Sans Pro"/>
        <family val="2"/>
      </rPr>
      <t xml:space="preserve"> (in)</t>
    </r>
  </si>
  <si>
    <r>
      <t>b</t>
    </r>
    <r>
      <rPr>
        <vertAlign val="subscript"/>
        <sz val="10"/>
        <color theme="1"/>
        <rFont val="Source Sans Pro"/>
        <family val="2"/>
      </rPr>
      <t>f</t>
    </r>
    <r>
      <rPr>
        <sz val="10"/>
        <color theme="1"/>
        <rFont val="Source Sans Pro"/>
        <family val="2"/>
      </rPr>
      <t xml:space="preserve"> (in)</t>
    </r>
  </si>
  <si>
    <r>
      <t>t</t>
    </r>
    <r>
      <rPr>
        <vertAlign val="subscript"/>
        <sz val="10"/>
        <color theme="1"/>
        <rFont val="Source Sans Pro"/>
        <family val="2"/>
      </rPr>
      <t>f</t>
    </r>
    <r>
      <rPr>
        <sz val="10"/>
        <color theme="1"/>
        <rFont val="Source Sans Pro"/>
        <family val="2"/>
      </rPr>
      <t xml:space="preserve"> (in)</t>
    </r>
  </si>
  <si>
    <r>
      <t>r</t>
    </r>
    <r>
      <rPr>
        <vertAlign val="subscript"/>
        <sz val="10"/>
        <color theme="1"/>
        <rFont val="Source Sans Pro"/>
        <family val="2"/>
      </rPr>
      <t>fillet</t>
    </r>
    <r>
      <rPr>
        <sz val="10"/>
        <color theme="1"/>
        <rFont val="Source Sans Pro"/>
        <family val="2"/>
      </rPr>
      <t xml:space="preserve"> (in)</t>
    </r>
  </si>
  <si>
    <r>
      <t>I</t>
    </r>
    <r>
      <rPr>
        <vertAlign val="subscript"/>
        <sz val="10"/>
        <color theme="1"/>
        <rFont val="Source Sans Pro"/>
        <family val="2"/>
      </rPr>
      <t>x</t>
    </r>
    <r>
      <rPr>
        <sz val="10"/>
        <color theme="1"/>
        <rFont val="Source Sans Pro"/>
        <family val="2"/>
      </rPr>
      <t xml:space="preserve"> (in</t>
    </r>
    <r>
      <rPr>
        <vertAlign val="superscript"/>
        <sz val="10"/>
        <color theme="1"/>
        <rFont val="Source Sans Pro"/>
        <family val="2"/>
      </rPr>
      <t>4</t>
    </r>
    <r>
      <rPr>
        <sz val="10"/>
        <color theme="1"/>
        <rFont val="Source Sans Pro"/>
        <family val="2"/>
      </rPr>
      <t>)</t>
    </r>
  </si>
  <si>
    <r>
      <t>S</t>
    </r>
    <r>
      <rPr>
        <vertAlign val="subscript"/>
        <sz val="10"/>
        <color theme="1"/>
        <rFont val="Source Sans Pro"/>
        <family val="2"/>
      </rPr>
      <t>x</t>
    </r>
    <r>
      <rPr>
        <sz val="10"/>
        <color theme="1"/>
        <rFont val="Source Sans Pro"/>
        <family val="2"/>
      </rPr>
      <t xml:space="preserve"> (in</t>
    </r>
    <r>
      <rPr>
        <vertAlign val="superscript"/>
        <sz val="10"/>
        <color theme="1"/>
        <rFont val="Source Sans Pro"/>
        <family val="2"/>
      </rPr>
      <t>3</t>
    </r>
    <r>
      <rPr>
        <sz val="10"/>
        <color theme="1"/>
        <rFont val="Source Sans Pro"/>
        <family val="2"/>
      </rPr>
      <t>)</t>
    </r>
  </si>
  <si>
    <r>
      <t>r</t>
    </r>
    <r>
      <rPr>
        <vertAlign val="subscript"/>
        <sz val="10"/>
        <color theme="1"/>
        <rFont val="Source Sans Pro"/>
        <family val="2"/>
      </rPr>
      <t>x</t>
    </r>
    <r>
      <rPr>
        <sz val="10"/>
        <color theme="1"/>
        <rFont val="Source Sans Pro"/>
        <family val="2"/>
      </rPr>
      <t xml:space="preserve"> (in)</t>
    </r>
  </si>
  <si>
    <r>
      <t>Z</t>
    </r>
    <r>
      <rPr>
        <vertAlign val="subscript"/>
        <sz val="10"/>
        <color theme="1"/>
        <rFont val="Source Sans Pro"/>
        <family val="2"/>
      </rPr>
      <t>x</t>
    </r>
    <r>
      <rPr>
        <sz val="10"/>
        <color theme="1"/>
        <rFont val="Source Sans Pro"/>
        <family val="2"/>
      </rPr>
      <t xml:space="preserve"> (in</t>
    </r>
    <r>
      <rPr>
        <vertAlign val="superscript"/>
        <sz val="10"/>
        <color theme="1"/>
        <rFont val="Source Sans Pro"/>
        <family val="2"/>
      </rPr>
      <t>3</t>
    </r>
    <r>
      <rPr>
        <sz val="10"/>
        <color theme="1"/>
        <rFont val="Source Sans Pro"/>
        <family val="2"/>
      </rPr>
      <t>)</t>
    </r>
  </si>
  <si>
    <r>
      <t>I</t>
    </r>
    <r>
      <rPr>
        <vertAlign val="subscript"/>
        <sz val="10"/>
        <color theme="1"/>
        <rFont val="Source Sans Pro"/>
        <family val="2"/>
      </rPr>
      <t>y</t>
    </r>
    <r>
      <rPr>
        <sz val="10"/>
        <color theme="1"/>
        <rFont val="Source Sans Pro"/>
        <family val="2"/>
      </rPr>
      <t xml:space="preserve"> (in</t>
    </r>
    <r>
      <rPr>
        <vertAlign val="superscript"/>
        <sz val="10"/>
        <color theme="1"/>
        <rFont val="Source Sans Pro"/>
        <family val="2"/>
      </rPr>
      <t>4</t>
    </r>
    <r>
      <rPr>
        <sz val="10"/>
        <color theme="1"/>
        <rFont val="Source Sans Pro"/>
        <family val="2"/>
      </rPr>
      <t>)</t>
    </r>
  </si>
  <si>
    <r>
      <t>S</t>
    </r>
    <r>
      <rPr>
        <vertAlign val="subscript"/>
        <sz val="10"/>
        <color theme="1"/>
        <rFont val="Source Sans Pro"/>
        <family val="2"/>
      </rPr>
      <t>y</t>
    </r>
    <r>
      <rPr>
        <sz val="10"/>
        <color theme="1"/>
        <rFont val="Source Sans Pro"/>
        <family val="2"/>
      </rPr>
      <t xml:space="preserve"> (in</t>
    </r>
    <r>
      <rPr>
        <vertAlign val="superscript"/>
        <sz val="10"/>
        <color theme="1"/>
        <rFont val="Source Sans Pro"/>
        <family val="2"/>
      </rPr>
      <t>3</t>
    </r>
    <r>
      <rPr>
        <sz val="10"/>
        <color theme="1"/>
        <rFont val="Source Sans Pro"/>
        <family val="2"/>
      </rPr>
      <t>)</t>
    </r>
  </si>
  <si>
    <r>
      <t>r</t>
    </r>
    <r>
      <rPr>
        <vertAlign val="subscript"/>
        <sz val="10"/>
        <color theme="1"/>
        <rFont val="Source Sans Pro"/>
        <family val="2"/>
      </rPr>
      <t>y</t>
    </r>
    <r>
      <rPr>
        <sz val="10"/>
        <color theme="1"/>
        <rFont val="Source Sans Pro"/>
        <family val="2"/>
      </rPr>
      <t xml:space="preserve"> (in)</t>
    </r>
  </si>
  <si>
    <r>
      <t>Z</t>
    </r>
    <r>
      <rPr>
        <vertAlign val="subscript"/>
        <sz val="10"/>
        <color theme="1"/>
        <rFont val="Source Sans Pro"/>
        <family val="2"/>
      </rPr>
      <t>y</t>
    </r>
    <r>
      <rPr>
        <sz val="10"/>
        <color theme="1"/>
        <rFont val="Source Sans Pro"/>
        <family val="2"/>
      </rPr>
      <t xml:space="preserve"> (in</t>
    </r>
    <r>
      <rPr>
        <vertAlign val="superscript"/>
        <sz val="10"/>
        <color theme="1"/>
        <rFont val="Source Sans Pro"/>
        <family val="2"/>
      </rPr>
      <t>3</t>
    </r>
    <r>
      <rPr>
        <sz val="10"/>
        <color theme="1"/>
        <rFont val="Source Sans Pro"/>
        <family val="2"/>
      </rPr>
      <t>)</t>
    </r>
  </si>
  <si>
    <r>
      <t>J (in</t>
    </r>
    <r>
      <rPr>
        <vertAlign val="superscript"/>
        <sz val="10"/>
        <color theme="1"/>
        <rFont val="Source Sans Pro"/>
        <family val="2"/>
      </rPr>
      <t>4</t>
    </r>
    <r>
      <rPr>
        <sz val="10"/>
        <color theme="1"/>
        <rFont val="Source Sans Pro"/>
        <family val="2"/>
      </rPr>
      <t>)</t>
    </r>
  </si>
  <si>
    <r>
      <t>C</t>
    </r>
    <r>
      <rPr>
        <vertAlign val="subscript"/>
        <sz val="10"/>
        <color theme="1"/>
        <rFont val="Source Sans Pro"/>
        <family val="2"/>
      </rPr>
      <t>w</t>
    </r>
    <r>
      <rPr>
        <sz val="10"/>
        <color theme="1"/>
        <rFont val="Source Sans Pro"/>
        <family val="2"/>
      </rPr>
      <t xml:space="preserve"> (in</t>
    </r>
    <r>
      <rPr>
        <vertAlign val="superscript"/>
        <sz val="10"/>
        <color theme="1"/>
        <rFont val="Source Sans Pro"/>
        <family val="2"/>
      </rPr>
      <t>6</t>
    </r>
    <r>
      <rPr>
        <sz val="10"/>
        <color theme="1"/>
        <rFont val="Source Sans Pro"/>
        <family val="2"/>
      </rPr>
      <t>)</t>
    </r>
  </si>
  <si>
    <r>
      <t>d</t>
    </r>
    <r>
      <rPr>
        <b/>
        <i/>
        <vertAlign val="subscript"/>
        <sz val="10"/>
        <color theme="0"/>
        <rFont val="Source Sans Pro"/>
        <family val="2"/>
      </rPr>
      <t>det</t>
    </r>
  </si>
  <si>
    <r>
      <t>b</t>
    </r>
    <r>
      <rPr>
        <b/>
        <i/>
        <vertAlign val="subscript"/>
        <sz val="10"/>
        <color theme="0"/>
        <rFont val="Source Sans Pro"/>
        <family val="2"/>
      </rPr>
      <t>f</t>
    </r>
  </si>
  <si>
    <r>
      <t>b</t>
    </r>
    <r>
      <rPr>
        <b/>
        <i/>
        <vertAlign val="subscript"/>
        <sz val="10"/>
        <color theme="0"/>
        <rFont val="Source Sans Pro"/>
        <family val="2"/>
      </rPr>
      <t>fdet</t>
    </r>
  </si>
  <si>
    <r>
      <t>t</t>
    </r>
    <r>
      <rPr>
        <b/>
        <i/>
        <vertAlign val="subscript"/>
        <sz val="10"/>
        <color theme="0"/>
        <rFont val="Source Sans Pro"/>
        <family val="2"/>
      </rPr>
      <t>w</t>
    </r>
  </si>
  <si>
    <r>
      <t>t</t>
    </r>
    <r>
      <rPr>
        <b/>
        <i/>
        <vertAlign val="subscript"/>
        <sz val="10"/>
        <color theme="0"/>
        <rFont val="Source Sans Pro"/>
        <family val="2"/>
      </rPr>
      <t>wdet</t>
    </r>
  </si>
  <si>
    <r>
      <t>t</t>
    </r>
    <r>
      <rPr>
        <b/>
        <i/>
        <vertAlign val="subscript"/>
        <sz val="10"/>
        <color theme="0"/>
        <rFont val="Source Sans Pro"/>
        <family val="2"/>
      </rPr>
      <t>wdet</t>
    </r>
    <r>
      <rPr>
        <b/>
        <i/>
        <sz val="10"/>
        <color theme="0"/>
        <rFont val="Source Sans Pro"/>
        <family val="2"/>
      </rPr>
      <t>/</t>
    </r>
    <r>
      <rPr>
        <b/>
        <sz val="10"/>
        <color theme="0"/>
        <rFont val="Source Sans Pro"/>
        <family val="2"/>
      </rPr>
      <t>2</t>
    </r>
  </si>
  <si>
    <r>
      <t>t</t>
    </r>
    <r>
      <rPr>
        <b/>
        <i/>
        <vertAlign val="subscript"/>
        <sz val="10"/>
        <color theme="0"/>
        <rFont val="Source Sans Pro"/>
        <family val="2"/>
      </rPr>
      <t>f</t>
    </r>
  </si>
  <si>
    <r>
      <t>t</t>
    </r>
    <r>
      <rPr>
        <b/>
        <i/>
        <vertAlign val="subscript"/>
        <sz val="10"/>
        <color theme="0"/>
        <rFont val="Source Sans Pro"/>
        <family val="2"/>
      </rPr>
      <t>fdet</t>
    </r>
  </si>
  <si>
    <r>
      <t>k</t>
    </r>
    <r>
      <rPr>
        <b/>
        <i/>
        <vertAlign val="subscript"/>
        <sz val="10"/>
        <color theme="0"/>
        <rFont val="Source Sans Pro"/>
        <family val="2"/>
      </rPr>
      <t>des</t>
    </r>
  </si>
  <si>
    <r>
      <t>k</t>
    </r>
    <r>
      <rPr>
        <b/>
        <i/>
        <vertAlign val="subscript"/>
        <sz val="10"/>
        <color theme="0"/>
        <rFont val="Source Sans Pro"/>
        <family val="2"/>
      </rPr>
      <t>det</t>
    </r>
  </si>
  <si>
    <r>
      <t>k</t>
    </r>
    <r>
      <rPr>
        <b/>
        <vertAlign val="subscript"/>
        <sz val="10"/>
        <color theme="0"/>
        <rFont val="Source Sans Pro"/>
        <family val="2"/>
      </rPr>
      <t>1</t>
    </r>
  </si>
  <si>
    <r>
      <t>b</t>
    </r>
    <r>
      <rPr>
        <b/>
        <i/>
        <vertAlign val="subscript"/>
        <sz val="10"/>
        <color theme="0"/>
        <rFont val="Source Sans Pro"/>
        <family val="2"/>
      </rPr>
      <t>f</t>
    </r>
    <r>
      <rPr>
        <b/>
        <i/>
        <sz val="10"/>
        <color theme="0"/>
        <rFont val="Source Sans Pro"/>
        <family val="2"/>
      </rPr>
      <t>/</t>
    </r>
    <r>
      <rPr>
        <b/>
        <sz val="10"/>
        <color theme="0"/>
        <rFont val="Source Sans Pro"/>
        <family val="2"/>
      </rPr>
      <t>2</t>
    </r>
    <r>
      <rPr>
        <b/>
        <i/>
        <sz val="10"/>
        <color theme="0"/>
        <rFont val="Source Sans Pro"/>
        <family val="2"/>
      </rPr>
      <t>t</t>
    </r>
    <r>
      <rPr>
        <b/>
        <i/>
        <vertAlign val="subscript"/>
        <sz val="10"/>
        <color theme="0"/>
        <rFont val="Source Sans Pro"/>
        <family val="2"/>
      </rPr>
      <t>f</t>
    </r>
  </si>
  <si>
    <r>
      <t>h/t</t>
    </r>
    <r>
      <rPr>
        <b/>
        <i/>
        <vertAlign val="subscript"/>
        <sz val="10"/>
        <color theme="0"/>
        <rFont val="Source Sans Pro"/>
        <family val="2"/>
      </rPr>
      <t>w</t>
    </r>
  </si>
  <si>
    <r>
      <t>I</t>
    </r>
    <r>
      <rPr>
        <b/>
        <i/>
        <vertAlign val="subscript"/>
        <sz val="10"/>
        <color theme="0"/>
        <rFont val="Source Sans Pro"/>
        <family val="2"/>
      </rPr>
      <t>x</t>
    </r>
  </si>
  <si>
    <r>
      <t>Z</t>
    </r>
    <r>
      <rPr>
        <b/>
        <i/>
        <vertAlign val="subscript"/>
        <sz val="10"/>
        <color theme="0"/>
        <rFont val="Source Sans Pro"/>
        <family val="2"/>
      </rPr>
      <t>x</t>
    </r>
  </si>
  <si>
    <r>
      <t>S</t>
    </r>
    <r>
      <rPr>
        <b/>
        <i/>
        <vertAlign val="subscript"/>
        <sz val="10"/>
        <color theme="0"/>
        <rFont val="Source Sans Pro"/>
        <family val="2"/>
      </rPr>
      <t>x</t>
    </r>
  </si>
  <si>
    <r>
      <t>r</t>
    </r>
    <r>
      <rPr>
        <b/>
        <i/>
        <vertAlign val="subscript"/>
        <sz val="10"/>
        <color theme="0"/>
        <rFont val="Source Sans Pro"/>
        <family val="2"/>
      </rPr>
      <t>x</t>
    </r>
  </si>
  <si>
    <r>
      <t>I</t>
    </r>
    <r>
      <rPr>
        <b/>
        <i/>
        <vertAlign val="subscript"/>
        <sz val="10"/>
        <color theme="0"/>
        <rFont val="Source Sans Pro"/>
        <family val="2"/>
      </rPr>
      <t>y</t>
    </r>
  </si>
  <si>
    <r>
      <t>Z</t>
    </r>
    <r>
      <rPr>
        <b/>
        <i/>
        <vertAlign val="subscript"/>
        <sz val="10"/>
        <color theme="0"/>
        <rFont val="Source Sans Pro"/>
        <family val="2"/>
      </rPr>
      <t>y</t>
    </r>
  </si>
  <si>
    <r>
      <t>S</t>
    </r>
    <r>
      <rPr>
        <b/>
        <i/>
        <vertAlign val="subscript"/>
        <sz val="10"/>
        <color theme="0"/>
        <rFont val="Source Sans Pro"/>
        <family val="2"/>
      </rPr>
      <t>y</t>
    </r>
  </si>
  <si>
    <r>
      <t>r</t>
    </r>
    <r>
      <rPr>
        <b/>
        <i/>
        <vertAlign val="subscript"/>
        <sz val="10"/>
        <color theme="0"/>
        <rFont val="Source Sans Pro"/>
        <family val="2"/>
      </rPr>
      <t>y</t>
    </r>
  </si>
  <si>
    <r>
      <t>C</t>
    </r>
    <r>
      <rPr>
        <b/>
        <i/>
        <vertAlign val="subscript"/>
        <sz val="10"/>
        <color theme="0"/>
        <rFont val="Source Sans Pro"/>
        <family val="2"/>
      </rPr>
      <t>w</t>
    </r>
  </si>
  <si>
    <r>
      <t>W</t>
    </r>
    <r>
      <rPr>
        <b/>
        <i/>
        <vertAlign val="subscript"/>
        <sz val="10"/>
        <color theme="0"/>
        <rFont val="Source Sans Pro"/>
        <family val="2"/>
      </rPr>
      <t>no</t>
    </r>
  </si>
  <si>
    <r>
      <t>S</t>
    </r>
    <r>
      <rPr>
        <b/>
        <i/>
        <vertAlign val="subscript"/>
        <sz val="10"/>
        <color theme="0"/>
        <rFont val="Source Sans Pro"/>
        <family val="2"/>
      </rPr>
      <t>w</t>
    </r>
    <r>
      <rPr>
        <b/>
        <vertAlign val="subscript"/>
        <sz val="10"/>
        <color theme="0"/>
        <rFont val="Source Sans Pro"/>
        <family val="2"/>
      </rPr>
      <t>1</t>
    </r>
  </si>
  <si>
    <r>
      <t>Q</t>
    </r>
    <r>
      <rPr>
        <b/>
        <i/>
        <vertAlign val="subscript"/>
        <sz val="10"/>
        <color theme="0"/>
        <rFont val="Source Sans Pro"/>
        <family val="2"/>
      </rPr>
      <t>f</t>
    </r>
  </si>
  <si>
    <r>
      <t>Q</t>
    </r>
    <r>
      <rPr>
        <b/>
        <i/>
        <vertAlign val="subscript"/>
        <sz val="10"/>
        <color theme="0"/>
        <rFont val="Source Sans Pro"/>
        <family val="2"/>
      </rPr>
      <t>w</t>
    </r>
  </si>
  <si>
    <r>
      <t>r</t>
    </r>
    <r>
      <rPr>
        <b/>
        <i/>
        <vertAlign val="subscript"/>
        <sz val="10"/>
        <color theme="0"/>
        <rFont val="Source Sans Pro"/>
        <family val="2"/>
      </rPr>
      <t>ts</t>
    </r>
  </si>
  <si>
    <r>
      <t>h</t>
    </r>
    <r>
      <rPr>
        <b/>
        <i/>
        <vertAlign val="subscript"/>
        <sz val="10"/>
        <color theme="0"/>
        <rFont val="Source Sans Pro"/>
        <family val="2"/>
      </rPr>
      <t>o</t>
    </r>
  </si>
  <si>
    <r>
      <t>P</t>
    </r>
    <r>
      <rPr>
        <b/>
        <i/>
        <vertAlign val="subscript"/>
        <sz val="10"/>
        <color theme="0"/>
        <rFont val="Source Sans Pro"/>
        <family val="2"/>
      </rPr>
      <t>A</t>
    </r>
  </si>
  <si>
    <r>
      <t>P</t>
    </r>
    <r>
      <rPr>
        <b/>
        <i/>
        <vertAlign val="subscript"/>
        <sz val="10"/>
        <color theme="0"/>
        <rFont val="Source Sans Pro"/>
        <family val="2"/>
      </rPr>
      <t>B</t>
    </r>
  </si>
  <si>
    <r>
      <t>P</t>
    </r>
    <r>
      <rPr>
        <b/>
        <i/>
        <vertAlign val="subscript"/>
        <sz val="10"/>
        <color theme="0"/>
        <rFont val="Source Sans Pro"/>
        <family val="2"/>
      </rPr>
      <t>C</t>
    </r>
  </si>
  <si>
    <r>
      <t>P</t>
    </r>
    <r>
      <rPr>
        <b/>
        <i/>
        <vertAlign val="subscript"/>
        <sz val="10"/>
        <color theme="0"/>
        <rFont val="Source Sans Pro"/>
        <family val="2"/>
      </rPr>
      <t>D</t>
    </r>
  </si>
  <si>
    <r>
      <t>WG</t>
    </r>
    <r>
      <rPr>
        <b/>
        <i/>
        <vertAlign val="subscript"/>
        <sz val="10"/>
        <color theme="0"/>
        <rFont val="Source Sans Pro"/>
        <family val="2"/>
      </rPr>
      <t>i</t>
    </r>
  </si>
  <si>
    <r>
      <t>r</t>
    </r>
    <r>
      <rPr>
        <vertAlign val="subscript"/>
        <sz val="10"/>
        <color theme="1"/>
        <rFont val="Source Sans Pro"/>
        <family val="2"/>
      </rPr>
      <t>x</t>
    </r>
    <r>
      <rPr>
        <sz val="10"/>
        <color theme="1"/>
        <rFont val="Source Sans Pro"/>
        <family val="2"/>
      </rPr>
      <t xml:space="preserve"> (in)2</t>
    </r>
  </si>
  <si>
    <r>
      <t>KL/r</t>
    </r>
    <r>
      <rPr>
        <vertAlign val="subscript"/>
        <sz val="10"/>
        <color theme="1"/>
        <rFont val="Source Sans Pro"/>
        <family val="2"/>
      </rPr>
      <t>y</t>
    </r>
  </si>
  <si>
    <r>
      <t>F</t>
    </r>
    <r>
      <rPr>
        <vertAlign val="subscript"/>
        <sz val="10"/>
        <color theme="1"/>
        <rFont val="Source Sans Pro"/>
        <family val="2"/>
      </rPr>
      <t>e,y</t>
    </r>
  </si>
  <si>
    <r>
      <t>F</t>
    </r>
    <r>
      <rPr>
        <vertAlign val="subscript"/>
        <sz val="10"/>
        <color theme="1"/>
        <rFont val="Source Sans Pro"/>
        <family val="2"/>
      </rPr>
      <t>cr,y</t>
    </r>
  </si>
  <si>
    <r>
      <t>P</t>
    </r>
    <r>
      <rPr>
        <vertAlign val="subscript"/>
        <sz val="10"/>
        <color theme="1"/>
        <rFont val="Source Sans Pro"/>
        <family val="2"/>
      </rPr>
      <t>n,fb,y</t>
    </r>
  </si>
  <si>
    <t>Other</t>
  </si>
  <si>
    <t>#305033</t>
  </si>
  <si>
    <t>#687e67</t>
  </si>
  <si>
    <t>#aab3a4</t>
  </si>
  <si>
    <t>#dfdfd6</t>
  </si>
  <si>
    <t>#cd5b2b</t>
  </si>
  <si>
    <t>Label/Static</t>
  </si>
  <si>
    <t>#f4f4f2</t>
  </si>
  <si>
    <t>HEX</t>
  </si>
  <si>
    <t>#ffe699</t>
  </si>
  <si>
    <t>48-80-51</t>
  </si>
  <si>
    <t>R-G-B</t>
  </si>
  <si>
    <t>255-230-153</t>
  </si>
  <si>
    <t>244-244-242</t>
  </si>
  <si>
    <t>223-223-214</t>
  </si>
  <si>
    <t>170-179-164</t>
  </si>
  <si>
    <t>205-91-43</t>
  </si>
  <si>
    <t>104-126-103</t>
  </si>
  <si>
    <t>Allowable End Bearing
(psf)</t>
  </si>
  <si>
    <t>Effective Unit Weight
(pcf)</t>
  </si>
  <si>
    <t>Cohesion
(psf)</t>
  </si>
  <si>
    <t>Galvanization Thickness, c (mils)</t>
  </si>
  <si>
    <t>Pile Head Deflection (in)</t>
  </si>
  <si>
    <t>Rome wasn't built in a day</t>
  </si>
  <si>
    <t>Axial Soil</t>
  </si>
  <si>
    <t>Steel Usage
(AG)</t>
  </si>
  <si>
    <t>Yield Strength, Fy (ksi)</t>
  </si>
  <si>
    <t>Tensile Strength, Fu (ksi)</t>
  </si>
  <si>
    <t>Steel Usage
(AM)</t>
  </si>
  <si>
    <t>0.1.0</t>
  </si>
  <si>
    <t>Geo</t>
  </si>
  <si>
    <t>Embed
(ft)</t>
  </si>
  <si>
    <t>Galv.
(mils)</t>
  </si>
  <si>
    <t>Controling
Case</t>
  </si>
  <si>
    <t>Depth to Ignore, d_0 (in)</t>
  </si>
  <si>
    <t>Uplift Stress (psf)</t>
  </si>
  <si>
    <t>Scour Depth, d_s (in)</t>
  </si>
  <si>
    <t>Factor of Safety, FS</t>
  </si>
  <si>
    <t>Water Density (pcf)</t>
  </si>
  <si>
    <t>Project</t>
  </si>
  <si>
    <t>** Double click row to load dashboard</t>
  </si>
  <si>
    <t>Pile Menu</t>
  </si>
  <si>
    <t>Grade</t>
  </si>
  <si>
    <t>Head</t>
  </si>
  <si>
    <t>(in)</t>
  </si>
  <si>
    <t>Deflection</t>
  </si>
  <si>
    <t>Usages</t>
  </si>
  <si>
    <t>* Need to do elastic section with H-pile strong/weak axis idealization - can manually edit the MOI and other properties to account for twist, fillets, other indirect calcs</t>
  </si>
  <si>
    <r>
      <t xml:space="preserve">1. The purpose of this sheet is to edit all the inputs, colored in </t>
    </r>
    <r>
      <rPr>
        <b/>
        <sz val="10"/>
        <color theme="7" tint="0.59999389629810485"/>
        <rFont val="Source Sans Pro"/>
        <family val="2"/>
      </rPr>
      <t>yellow</t>
    </r>
    <r>
      <rPr>
        <sz val="10"/>
        <color theme="1"/>
        <rFont val="Source Sans Pro"/>
        <family val="2"/>
      </rPr>
      <t xml:space="preserve">, and the detailed designs in the following sheets will automatically populate, including all of the loads, pile section data, and title within the workbook. </t>
    </r>
  </si>
  <si>
    <r>
      <t xml:space="preserve">Adjusted manual entered steel loss to use corrosion rates for atm and BG
Added AG cross section properties to account for atm corrosion rates
Removed existing vba buttons
Added various argument to ANSgptOutput module
Multipile named ranges added
Formatting update to entire workbook to align with ANSGeo branding guidelines
Added Home Page launch button to Dashboard
Added new inputs to Dashboard to link to AG/AM sheets
</t>
    </r>
    <r>
      <rPr>
        <b/>
        <u/>
        <sz val="10"/>
        <color theme="1"/>
        <rFont val="Source Sans Pro"/>
        <family val="2"/>
      </rPr>
      <t>***NEW***</t>
    </r>
    <r>
      <rPr>
        <sz val="10"/>
        <color theme="1"/>
        <rFont val="Source Sans Pro"/>
        <family val="2"/>
      </rPr>
      <t xml:space="preserve">
</t>
    </r>
    <r>
      <rPr>
        <b/>
        <u/>
        <sz val="10"/>
        <color theme="1"/>
        <rFont val="Source Sans Pro"/>
        <family val="2"/>
      </rPr>
      <t>Sheets:</t>
    </r>
    <r>
      <rPr>
        <sz val="10"/>
        <color theme="1"/>
        <rFont val="Source Sans Pro"/>
        <family val="2"/>
      </rPr>
      <t xml:space="preserve">
Soil Zones - for user input of up to 10 soil and scour zones
TOPLs - stores TOPLs from TOPL importer userform
Fixity Results - stores Fixity Lpile batch results
Batch Results - stores Lpile results for user selected batch run
Pile Menu - stores lightest section for each Pile Type after batch analysis import
Shapes Database - AISC W-shape database
Settings - stores lists and settings from various userforms
</t>
    </r>
    <r>
      <rPr>
        <b/>
        <u/>
        <sz val="10"/>
        <color theme="1"/>
        <rFont val="Source Sans Pro"/>
        <family val="2"/>
      </rPr>
      <t>Userforms:</t>
    </r>
    <r>
      <rPr>
        <sz val="10"/>
        <color theme="1"/>
        <rFont val="Source Sans Pro"/>
        <family val="2"/>
      </rPr>
      <t xml:space="preserve">
batchAnaylsis - allows user to select parameter configurations for batch analysis
batchSummary - shows lightest passing section for each Pile Type in batch
DropTOPLs - allows user for drag &amp; drop TOPL Summary and import sheets by reveal height
HomePage - main UI for analysis
loading - small popup for short load times
progressBar - larger loading bar popup for significant import/export loops
settingsUI - allows user to change some global parameters
</t>
    </r>
    <r>
      <rPr>
        <b/>
        <u/>
        <sz val="10"/>
        <color theme="1"/>
        <rFont val="Source Sans Pro"/>
        <family val="2"/>
      </rPr>
      <t>Modules:</t>
    </r>
    <r>
      <rPr>
        <sz val="10"/>
        <color theme="1"/>
        <rFont val="Source Sans Pro"/>
        <family val="2"/>
      </rPr>
      <t xml:space="preserve">
PCS_Batcher - contains batch run generation and import code
PCS_Fixity - contains fixity run generation and import code
PCS_Functions - contains any new needed functions
PCS_loadingBar - contains code for loading bar
PCS_TOPLimporter - contains code for importing TOPLs
</t>
    </r>
    <r>
      <rPr>
        <b/>
        <u/>
        <sz val="10"/>
        <color theme="1"/>
        <rFont val="Source Sans Pro"/>
        <family val="2"/>
      </rPr>
      <t>Functions:</t>
    </r>
    <r>
      <rPr>
        <sz val="10"/>
        <color theme="1"/>
        <rFont val="Source Sans Pro"/>
        <family val="2"/>
      </rPr>
      <t xml:space="preserve">
GetUser - gets Windows user folder location
EnsureFolderExists - checks for exisitng folder
LpileReader - reads Lpile output and stores it to memory for faster processing
CreateDir - makes new folder</t>
    </r>
  </si>
  <si>
    <t>C:\Users\bigha\Documents\ANSGeo Tool Dev\WIP Tools\TOPL Sorter\TOPL Summary\TOPL Summary.xlsx</t>
  </si>
  <si>
    <t xml:space="preserve">GW Depth </t>
  </si>
  <si>
    <t>Allowable Uplift Skin Friction
(psf)</t>
  </si>
  <si>
    <t>Bottom Depth
(ft)</t>
  </si>
  <si>
    <t>Top Depth
(ft)</t>
  </si>
  <si>
    <t>Allowable Compression Skin Friction
(psf)</t>
  </si>
  <si>
    <t>Effective Friction Angle
(°)</t>
  </si>
  <si>
    <t>Sruthi</t>
  </si>
  <si>
    <t>Lateral Zone</t>
  </si>
  <si>
    <t>Minimum Embedment Depth (ft)</t>
  </si>
  <si>
    <t>Depth below pile head (ft)</t>
  </si>
  <si>
    <t>P-Multiplier</t>
  </si>
  <si>
    <t>Y-Multiplier</t>
  </si>
  <si>
    <t>PY layer count</t>
  </si>
  <si>
    <t>Pile reveal (ft)</t>
  </si>
  <si>
    <t>Scour depth (ft)</t>
  </si>
  <si>
    <r>
      <t xml:space="preserve">Sheets:
</t>
    </r>
    <r>
      <rPr>
        <sz val="10"/>
        <color theme="1"/>
        <rFont val="Source Sans Pro"/>
        <family val="2"/>
      </rPr>
      <t xml:space="preserve">Soil Zones - for user input for PY multiplier for 10 soil layers
Dashboard - added duplicate PY multiplier table for easy access to VBA
</t>
    </r>
    <r>
      <rPr>
        <b/>
        <u/>
        <sz val="10"/>
        <color theme="1"/>
        <rFont val="Source Sans Pro"/>
        <family val="2"/>
      </rPr>
      <t xml:space="preserve">Modules:
</t>
    </r>
    <r>
      <rPr>
        <sz val="10"/>
        <color theme="1"/>
        <rFont val="Source Sans Pro"/>
        <family val="2"/>
      </rPr>
      <t>ANSgpt - enabled and added py multiplier inputs
ANSgptweak - enabled and added py multiplier inputs and updated section to have AG and BG cross sections in analysis</t>
    </r>
  </si>
  <si>
    <t>Stiff Clay w/o Free Water</t>
  </si>
  <si>
    <t>Expansive Soils</t>
  </si>
  <si>
    <t>Axis</t>
  </si>
  <si>
    <t>LPILE File Name Strong</t>
  </si>
  <si>
    <t>LPILE File Name Weak</t>
  </si>
  <si>
    <t>W6X7 - Fixity Check - Soil Zone G1 - Scour Zone S1</t>
  </si>
  <si>
    <t>W6X10.4 - Fixity Check - Soil Zone G1 - Scour Zone S1</t>
  </si>
  <si>
    <t>W6X8.5 - Fixity Check - Soil Zone G1 - Scour Zone S1</t>
  </si>
  <si>
    <t>W6X9 - Fixity Check - Soil Zone G1 - Scour Zone S1</t>
  </si>
  <si>
    <t>W6X15 - Fixity Check - Soil Zone G1 - Scour Zone S1</t>
  </si>
  <si>
    <t>W6X12 - Fixity Check - Soil Zone G1 - Scour Zone S1</t>
  </si>
  <si>
    <t>W6X20 - Fixity Check - Soil Zone G1 - Scour Zone S1</t>
  </si>
  <si>
    <t>W6X16 - Fixity Check - Soil Zone G1 - Scour Zone S1</t>
  </si>
  <si>
    <t>W6X25 - Fixity Check - Soil Zone G1 - Scour Zone S1</t>
  </si>
  <si>
    <t>W8X10 - Fixity Check - Soil Zone G1 - Scour Zone S1</t>
  </si>
  <si>
    <t>W8X24 - Fixity Check - Soil Zone G1 - Scour Zone S1</t>
  </si>
  <si>
    <t>W8X13 - Fixity Check - Soil Zone G1 - Scour Zone S1</t>
  </si>
  <si>
    <t>W8X31 - Fixity Check - Soil Zone G1 - Scour Zone S1</t>
  </si>
  <si>
    <t>W8X28 - Fixity Check - Soil Zone G1 - Scour Zone S1</t>
  </si>
  <si>
    <t>W8X15 - Fixity Check - Soil Zone G1 - Scour Zone S1</t>
  </si>
  <si>
    <t>W8X35 - Fixity Check - Soil Zone G1 - Scour Zone S1</t>
  </si>
  <si>
    <t>W8X18 - Fixity Check - Soil Zone G1 - Scour Zone S1</t>
  </si>
  <si>
    <t>W8X21 - Fixity Check - Soil Zone G1 - Scour Zone S1</t>
  </si>
  <si>
    <r>
      <t xml:space="preserve">Sheets:
</t>
    </r>
    <r>
      <rPr>
        <sz val="10"/>
        <color theme="1"/>
        <rFont val="Source Sans Pro"/>
        <family val="2"/>
      </rPr>
      <t xml:space="preserve">Batch Results - new col for weak axis files
</t>
    </r>
    <r>
      <rPr>
        <b/>
        <u/>
        <sz val="10"/>
        <color theme="1"/>
        <rFont val="Source Sans Pro"/>
        <family val="2"/>
      </rPr>
      <t xml:space="preserve">Modules:
</t>
    </r>
    <r>
      <rPr>
        <sz val="10"/>
        <color theme="1"/>
        <rFont val="Source Sans Pro"/>
        <family val="2"/>
      </rPr>
      <t>PCS_Batcher - generating weak axis files, importing weak axis files results
PCS_Functions - corrections in Lpile reader for prevmoment and prevshear</t>
    </r>
  </si>
  <si>
    <t>Paloma</t>
  </si>
  <si>
    <t>Edge Interior Colum-5.125 ft</t>
  </si>
  <si>
    <t>Exterior Column-5.125 ft</t>
  </si>
  <si>
    <t>Interior Column-5.125 ft</t>
  </si>
  <si>
    <t>Edge Interior Column-5.625 ft</t>
  </si>
  <si>
    <t>Exterior Column-5.625 ft</t>
  </si>
  <si>
    <t>Interior Column-5.625 ft</t>
  </si>
  <si>
    <t>Edge Interior Column-6.125 ft</t>
  </si>
  <si>
    <t>Exterior Column-6.125 ft</t>
  </si>
  <si>
    <t>Interior Column-6.125 ft</t>
  </si>
  <si>
    <t>Edge Interior Column-6.625 ft</t>
  </si>
  <si>
    <t>Exterior Column-6.625 ft</t>
  </si>
  <si>
    <t>Interior Column-6.625 ft</t>
  </si>
  <si>
    <t>Edge Interior Column-7.125 ft</t>
  </si>
  <si>
    <t>Exterior Column-7.125 ft</t>
  </si>
  <si>
    <t>Interior Column-7.125 ft</t>
  </si>
  <si>
    <t>Edge Interior Colum-5.125 ft-W6X20-Embed 12ft-0 mil-Soil G1-Scour S1Strong</t>
  </si>
  <si>
    <t>Edge Interior Colum-5.125 ft-W6X20-Embed 12ft-0 mil-Soil G1-Scour S1Weak</t>
  </si>
  <si>
    <r>
      <t xml:space="preserve">Sheets:
</t>
    </r>
    <r>
      <rPr>
        <sz val="10"/>
        <color theme="1"/>
        <rFont val="Source Sans Pro"/>
        <family val="2"/>
      </rPr>
      <t>AG - Bug fix - Pile section properties are updated to use section based on soil corrosion</t>
    </r>
    <r>
      <rPr>
        <i/>
        <sz val="10"/>
        <color theme="1"/>
        <rFont val="Source Sans Pro"/>
        <family val="2"/>
      </rPr>
      <t xml:space="preserve"> - (reported by Aaron)
</t>
    </r>
    <r>
      <rPr>
        <sz val="10"/>
        <color theme="1"/>
        <rFont val="Source Sans Pro"/>
        <family val="2"/>
      </rPr>
      <t xml:space="preserve">Dashboard - Bug fix -  in case of batch analysis, dynamically updating cel F4, Pile.Shape, based on the run </t>
    </r>
    <r>
      <rPr>
        <i/>
        <sz val="10"/>
        <color theme="1"/>
        <rFont val="Source Sans Pro"/>
        <family val="2"/>
      </rPr>
      <t>- (reported by Sruthi)</t>
    </r>
    <r>
      <rPr>
        <b/>
        <u/>
        <sz val="10"/>
        <color theme="1"/>
        <rFont val="Source Sans Pro"/>
        <family val="2"/>
      </rPr>
      <t xml:space="preserve">
Modules:
</t>
    </r>
    <r>
      <rPr>
        <sz val="10"/>
        <color theme="1"/>
        <rFont val="Source Sans Pro"/>
        <family val="2"/>
      </rPr>
      <t>PCS_Batcher - added line to update cell F4</t>
    </r>
    <r>
      <rPr>
        <i/>
        <sz val="10"/>
        <color theme="1"/>
        <rFont val="Source Sans Pro"/>
        <family val="2"/>
      </rPr>
      <t xml:space="preserve"> - (reported by Sruthi)</t>
    </r>
    <r>
      <rPr>
        <sz val="10"/>
        <color theme="1"/>
        <rFont val="Source Sans Pro"/>
        <family val="2"/>
      </rPr>
      <t xml:space="preserve">
Bug fix - Refined code to show only lpile strong axis lpile file names in batch data only if the file is created</t>
    </r>
    <r>
      <rPr>
        <b/>
        <sz val="10"/>
        <color theme="1"/>
        <rFont val="Source Sans Pro"/>
        <family val="2"/>
      </rPr>
      <t xml:space="preserve"> </t>
    </r>
    <r>
      <rPr>
        <i/>
        <sz val="10"/>
        <color theme="1"/>
        <rFont val="Source Sans Pro"/>
        <family val="2"/>
      </rPr>
      <t>- (reported by Sruthi)</t>
    </r>
  </si>
  <si>
    <t>Edge Interior Colum-5.125 ft-W6X20-Embed 12.5ft-0 mil-Soil G1-Scour S1Strong</t>
  </si>
  <si>
    <t>Edge Interior Colum-5.125 ft-W6X20-Embed 12.5ft-0 mil-Soil G1-Scour S1Weak</t>
  </si>
  <si>
    <t>Edge Interior Colum-5.125 ft-W6X20-Embed 13ft-0 mil-Soil G1-Scour S1Strong</t>
  </si>
  <si>
    <t>Edge Interior Colum-5.125 ft-W6X20-Embed 13ft-0 mil-Soil G1-Scour S1Weak</t>
  </si>
  <si>
    <t>Edge Interior Colum-5.125 ft-W6X25-Embed 12ft-0 mil-Soil G1-Scour S1Strong</t>
  </si>
  <si>
    <t>Edge Interior Colum-5.125 ft-W6X25-Embed 12ft-0 mil-Soil G1-Scour S1Weak</t>
  </si>
  <si>
    <t>Edge Interior Colum-5.125 ft-W6X25-Embed 12.5ft-0 mil-Soil G1-Scour S1Strong</t>
  </si>
  <si>
    <t>Edge Interior Colum-5.125 ft-W6X25-Embed 12.5ft-0 mil-Soil G1-Scour S1Weak</t>
  </si>
  <si>
    <t>Edge Interior Colum-5.125 ft-W6X25-Embed 13ft-0 mil-Soil G1-Scour S1Strong</t>
  </si>
  <si>
    <t>Edge Interior Colum-5.125 ft-W6X25-Embed 13ft-0 mil-Soil G1-Scour S1Weak</t>
  </si>
  <si>
    <t>Exterior Column-5.125 ft-W6X20-Embed 12ft-0 mil-Soil G1-Scour S1Strong</t>
  </si>
  <si>
    <t>Exterior Column-5.125 ft-W6X20-Embed 12ft-0 mil-Soil G1-Scour S1Weak</t>
  </si>
  <si>
    <t>Exterior Column-5.125 ft-W6X20-Embed 12.5ft-0 mil-Soil G1-Scour S1Strong</t>
  </si>
  <si>
    <t>Exterior Column-5.125 ft-W6X20-Embed 12.5ft-0 mil-Soil G1-Scour S1Weak</t>
  </si>
  <si>
    <t>Exterior Column-5.125 ft-W6X20-Embed 13ft-0 mil-Soil G1-Scour S1Strong</t>
  </si>
  <si>
    <t>Exterior Column-5.125 ft-W6X20-Embed 13ft-0 mil-Soil G1-Scour S1Weak</t>
  </si>
  <si>
    <t>Exterior Column-5.125 ft-W6X25-Embed 12ft-0 mil-Soil G1-Scour S1Strong</t>
  </si>
  <si>
    <t>Exterior Column-5.125 ft-W6X25-Embed 12ft-0 mil-Soil G1-Scour S1Weak</t>
  </si>
  <si>
    <t>Exterior Column-5.125 ft-W6X25-Embed 12.5ft-0 mil-Soil G1-Scour S1Strong</t>
  </si>
  <si>
    <t>Exterior Column-5.125 ft-W6X25-Embed 12.5ft-0 mil-Soil G1-Scour S1Weak</t>
  </si>
  <si>
    <t>Exterior Column-5.125 ft-W6X25-Embed 13ft-0 mil-Soil G1-Scour S1Strong</t>
  </si>
  <si>
    <t>Exterior Column-5.125 ft-W6X25-Embed 13ft-0 mil-Soil G1-Scour S1Weak</t>
  </si>
  <si>
    <t>Interior Column-5.125 ft-W6X20-Embed 12ft-0 mil-Soil G1-Scour S1Strong</t>
  </si>
  <si>
    <t>Interior Column-5.125 ft-W6X20-Embed 12ft-0 mil-Soil G1-Scour S1Weak</t>
  </si>
  <si>
    <t>Interior Column-5.125 ft-W6X20-Embed 12.5ft-0 mil-Soil G1-Scour S1Strong</t>
  </si>
  <si>
    <t>Interior Column-5.125 ft-W6X20-Embed 12.5ft-0 mil-Soil G1-Scour S1Weak</t>
  </si>
  <si>
    <t>Interior Column-5.125 ft-W6X20-Embed 13ft-0 mil-Soil G1-Scour S1Strong</t>
  </si>
  <si>
    <t>Interior Column-5.125 ft-W6X20-Embed 13ft-0 mil-Soil G1-Scour S1Weak</t>
  </si>
  <si>
    <t>Interior Column-5.125 ft-W6X25-Embed 12ft-0 mil-Soil G1-Scour S1Strong</t>
  </si>
  <si>
    <t>Interior Column-5.125 ft-W6X25-Embed 12ft-0 mil-Soil G1-Scour S1Weak</t>
  </si>
  <si>
    <t>Interior Column-5.125 ft-W6X25-Embed 12.5ft-0 mil-Soil G1-Scour S1Strong</t>
  </si>
  <si>
    <t>Interior Column-5.125 ft-W6X25-Embed 12.5ft-0 mil-Soil G1-Scour S1Weak</t>
  </si>
  <si>
    <t>Interior Column-5.125 ft-W6X25-Embed 13ft-0 mil-Soil G1-Scour S1Strong</t>
  </si>
  <si>
    <t>Interior Column-5.125 ft-W6X25-Embed 13ft-0 mil-Soil G1-Scour S1Weak</t>
  </si>
  <si>
    <t>Edge Interior Column-5.625 ft-W6X20-Embed 12ft-0 mil-Soil G1-Scour S1Strong</t>
  </si>
  <si>
    <t>Edge Interior Column-5.625 ft-W6X20-Embed 12ft-0 mil-Soil G1-Scour S1Weak</t>
  </si>
  <si>
    <t>Edge Interior Column-5.625 ft-W6X20-Embed 12.5ft-0 mil-Soil G1-Scour S1Strong</t>
  </si>
  <si>
    <t>Edge Interior Column-5.625 ft-W6X20-Embed 12.5ft-0 mil-Soil G1-Scour S1Weak</t>
  </si>
  <si>
    <t>Edge Interior Column-5.625 ft-W6X20-Embed 13ft-0 mil-Soil G1-Scour S1Strong</t>
  </si>
  <si>
    <t>Edge Interior Column-5.625 ft-W6X20-Embed 13ft-0 mil-Soil G1-Scour S1Weak</t>
  </si>
  <si>
    <t>Edge Interior Column-5.625 ft-W6X25-Embed 12ft-0 mil-Soil G1-Scour S1Strong</t>
  </si>
  <si>
    <t>Edge Interior Column-5.625 ft-W6X25-Embed 12ft-0 mil-Soil G1-Scour S1Weak</t>
  </si>
  <si>
    <t>Edge Interior Column-5.625 ft-W6X25-Embed 12.5ft-0 mil-Soil G1-Scour S1Strong</t>
  </si>
  <si>
    <t>Edge Interior Column-5.625 ft-W6X25-Embed 12.5ft-0 mil-Soil G1-Scour S1Weak</t>
  </si>
  <si>
    <t>Edge Interior Column-5.625 ft-W6X25-Embed 13ft-0 mil-Soil G1-Scour S1Strong</t>
  </si>
  <si>
    <t>Edge Interior Column-5.625 ft-W6X25-Embed 13ft-0 mil-Soil G1-Scour S1Weak</t>
  </si>
  <si>
    <t>Exterior Column-5.625 ft-W6X20-Embed 12ft-0 mil-Soil G1-Scour S1Strong</t>
  </si>
  <si>
    <t>Exterior Column-5.625 ft-W6X20-Embed 12ft-0 mil-Soil G1-Scour S1Weak</t>
  </si>
  <si>
    <t>Exterior Column-5.625 ft-W6X20-Embed 12.5ft-0 mil-Soil G1-Scour S1Strong</t>
  </si>
  <si>
    <t>Exterior Column-5.625 ft-W6X20-Embed 12.5ft-0 mil-Soil G1-Scour S1Weak</t>
  </si>
  <si>
    <t>Exterior Column-5.625 ft-W6X20-Embed 13ft-0 mil-Soil G1-Scour S1Strong</t>
  </si>
  <si>
    <t>Exterior Column-5.625 ft-W6X20-Embed 13ft-0 mil-Soil G1-Scour S1Weak</t>
  </si>
  <si>
    <t>Exterior Column-5.625 ft-W6X25-Embed 12ft-0 mil-Soil G1-Scour S1Strong</t>
  </si>
  <si>
    <t>Exterior Column-5.625 ft-W6X25-Embed 12ft-0 mil-Soil G1-Scour S1Weak</t>
  </si>
  <si>
    <t>Exterior Column-5.625 ft-W6X25-Embed 12.5ft-0 mil-Soil G1-Scour S1Strong</t>
  </si>
  <si>
    <t>Exterior Column-5.625 ft-W6X25-Embed 12.5ft-0 mil-Soil G1-Scour S1Weak</t>
  </si>
  <si>
    <t>Exterior Column-5.625 ft-W6X25-Embed 13ft-0 mil-Soil G1-Scour S1Strong</t>
  </si>
  <si>
    <t>Exterior Column-5.625 ft-W6X25-Embed 13ft-0 mil-Soil G1-Scour S1Weak</t>
  </si>
  <si>
    <t>Interior Column-5.625 ft-W6X20-Embed 12ft-0 mil-Soil G1-Scour S1Strong</t>
  </si>
  <si>
    <t>Interior Column-5.625 ft-W6X20-Embed 12ft-0 mil-Soil G1-Scour S1Weak</t>
  </si>
  <si>
    <t>Interior Column-5.625 ft-W6X20-Embed 12.5ft-0 mil-Soil G1-Scour S1Strong</t>
  </si>
  <si>
    <t>Interior Column-5.625 ft-W6X20-Embed 12.5ft-0 mil-Soil G1-Scour S1Weak</t>
  </si>
  <si>
    <t>Interior Column-5.625 ft-W6X20-Embed 13ft-0 mil-Soil G1-Scour S1Strong</t>
  </si>
  <si>
    <t>Interior Column-5.625 ft-W6X20-Embed 13ft-0 mil-Soil G1-Scour S1Weak</t>
  </si>
  <si>
    <t>Interior Column-5.625 ft-W6X25-Embed 12ft-0 mil-Soil G1-Scour S1Strong</t>
  </si>
  <si>
    <t>Interior Column-5.625 ft-W6X25-Embed 12ft-0 mil-Soil G1-Scour S1Weak</t>
  </si>
  <si>
    <t>Interior Column-5.625 ft-W6X25-Embed 12.5ft-0 mil-Soil G1-Scour S1Strong</t>
  </si>
  <si>
    <t>Interior Column-5.625 ft-W6X25-Embed 12.5ft-0 mil-Soil G1-Scour S1Weak</t>
  </si>
  <si>
    <t>Interior Column-5.625 ft-W6X25-Embed 13ft-0 mil-Soil G1-Scour S1Strong</t>
  </si>
  <si>
    <t>Interior Column-5.625 ft-W6X25-Embed 13ft-0 mil-Soil G1-Scour S1Weak</t>
  </si>
  <si>
    <t>Edge Interior Column-6.125 ft-W6X20-Embed 12ft-0 mil-Soil G1-Scour S1Strong</t>
  </si>
  <si>
    <t>Edge Interior Column-6.125 ft-W6X20-Embed 12ft-0 mil-Soil G1-Scour S1Weak</t>
  </si>
  <si>
    <t>Edge Interior Column-6.125 ft-W6X20-Embed 12.5ft-0 mil-Soil G1-Scour S1Strong</t>
  </si>
  <si>
    <t>Edge Interior Column-6.125 ft-W6X20-Embed 12.5ft-0 mil-Soil G1-Scour S1Weak</t>
  </si>
  <si>
    <t>Edge Interior Column-6.125 ft-W6X20-Embed 13ft-0 mil-Soil G1-Scour S1Strong</t>
  </si>
  <si>
    <t>Edge Interior Column-6.125 ft-W6X20-Embed 13ft-0 mil-Soil G1-Scour S1Weak</t>
  </si>
  <si>
    <t>Edge Interior Column-6.125 ft-W6X25-Embed 12ft-0 mil-Soil G1-Scour S1Strong</t>
  </si>
  <si>
    <t>Edge Interior Column-6.125 ft-W6X25-Embed 12ft-0 mil-Soil G1-Scour S1Weak</t>
  </si>
  <si>
    <t>Edge Interior Column-6.125 ft-W6X25-Embed 12.5ft-0 mil-Soil G1-Scour S1Strong</t>
  </si>
  <si>
    <t>Edge Interior Column-6.125 ft-W6X25-Embed 12.5ft-0 mil-Soil G1-Scour S1Weak</t>
  </si>
  <si>
    <t>Edge Interior Column-6.125 ft-W6X25-Embed 13ft-0 mil-Soil G1-Scour S1Strong</t>
  </si>
  <si>
    <t>Edge Interior Column-6.125 ft-W6X25-Embed 13ft-0 mil-Soil G1-Scour S1Weak</t>
  </si>
  <si>
    <t>Exterior Column-6.125 ft-W6X20-Embed 12ft-0 mil-Soil G1-Scour S1Strong</t>
  </si>
  <si>
    <t>Exterior Column-6.125 ft-W6X20-Embed 12ft-0 mil-Soil G1-Scour S1Weak</t>
  </si>
  <si>
    <t>Exterior Column-6.125 ft-W6X20-Embed 12.5ft-0 mil-Soil G1-Scour S1Strong</t>
  </si>
  <si>
    <t>Exterior Column-6.125 ft-W6X20-Embed 12.5ft-0 mil-Soil G1-Scour S1Weak</t>
  </si>
  <si>
    <t>Exterior Column-6.125 ft-W6X20-Embed 13ft-0 mil-Soil G1-Scour S1Strong</t>
  </si>
  <si>
    <t>Exterior Column-6.125 ft-W6X20-Embed 13ft-0 mil-Soil G1-Scour S1Weak</t>
  </si>
  <si>
    <t>Exterior Column-6.125 ft-W6X25-Embed 12ft-0 mil-Soil G1-Scour S1Strong</t>
  </si>
  <si>
    <t>Exterior Column-6.125 ft-W6X25-Embed 12ft-0 mil-Soil G1-Scour S1Weak</t>
  </si>
  <si>
    <t>Exterior Column-6.125 ft-W6X25-Embed 12.5ft-0 mil-Soil G1-Scour S1Strong</t>
  </si>
  <si>
    <t>Exterior Column-6.125 ft-W6X25-Embed 12.5ft-0 mil-Soil G1-Scour S1Weak</t>
  </si>
  <si>
    <t>Exterior Column-6.125 ft-W6X25-Embed 13ft-0 mil-Soil G1-Scour S1Strong</t>
  </si>
  <si>
    <t>Exterior Column-6.125 ft-W6X25-Embed 13ft-0 mil-Soil G1-Scour S1Weak</t>
  </si>
  <si>
    <t>Interior Column-6.125 ft-W6X20-Embed 12ft-0 mil-Soil G1-Scour S1Strong</t>
  </si>
  <si>
    <t>Interior Column-6.125 ft-W6X20-Embed 12ft-0 mil-Soil G1-Scour S1Weak</t>
  </si>
  <si>
    <t>Interior Column-6.125 ft-W6X20-Embed 12.5ft-0 mil-Soil G1-Scour S1Strong</t>
  </si>
  <si>
    <t>Interior Column-6.125 ft-W6X20-Embed 12.5ft-0 mil-Soil G1-Scour S1Weak</t>
  </si>
  <si>
    <t>Interior Column-6.125 ft-W6X20-Embed 13ft-0 mil-Soil G1-Scour S1Strong</t>
  </si>
  <si>
    <t>Interior Column-6.125 ft-W6X20-Embed 13ft-0 mil-Soil G1-Scour S1Weak</t>
  </si>
  <si>
    <t>Interior Column-6.125 ft-W6X25-Embed 12ft-0 mil-Soil G1-Scour S1Strong</t>
  </si>
  <si>
    <t>Interior Column-6.125 ft-W6X25-Embed 12ft-0 mil-Soil G1-Scour S1Weak</t>
  </si>
  <si>
    <t>Interior Column-6.125 ft-W6X25-Embed 12.5ft-0 mil-Soil G1-Scour S1Strong</t>
  </si>
  <si>
    <t>Interior Column-6.125 ft-W6X25-Embed 12.5ft-0 mil-Soil G1-Scour S1Weak</t>
  </si>
  <si>
    <t>Interior Column-6.125 ft-W6X25-Embed 13ft-0 mil-Soil G1-Scour S1Strong</t>
  </si>
  <si>
    <t>Interior Column-6.125 ft-W6X25-Embed 13ft-0 mil-Soil G1-Scour S1Weak</t>
  </si>
  <si>
    <t>Edge Interior Column-6.625 ft-W6X20-Embed 12ft-0 mil-Soil G1-Scour S1Strong</t>
  </si>
  <si>
    <t>Edge Interior Column-6.625 ft-W6X20-Embed 12ft-0 mil-Soil G1-Scour S1Weak</t>
  </si>
  <si>
    <t>Edge Interior Column-6.625 ft-W6X20-Embed 12.5ft-0 mil-Soil G1-Scour S1Strong</t>
  </si>
  <si>
    <t>Edge Interior Column-6.625 ft-W6X20-Embed 12.5ft-0 mil-Soil G1-Scour S1Weak</t>
  </si>
  <si>
    <t>Edge Interior Column-6.625 ft-W6X20-Embed 13ft-0 mil-Soil G1-Scour S1Strong</t>
  </si>
  <si>
    <t>Edge Interior Column-6.625 ft-W6X20-Embed 13ft-0 mil-Soil G1-Scour S1Weak</t>
  </si>
  <si>
    <t>Edge Interior Column-6.625 ft-W6X25-Embed 12ft-0 mil-Soil G1-Scour S1Strong</t>
  </si>
  <si>
    <t>Edge Interior Column-6.625 ft-W6X25-Embed 12ft-0 mil-Soil G1-Scour S1Weak</t>
  </si>
  <si>
    <t>Edge Interior Column-6.625 ft-W6X25-Embed 12.5ft-0 mil-Soil G1-Scour S1Strong</t>
  </si>
  <si>
    <t>Edge Interior Column-6.625 ft-W6X25-Embed 12.5ft-0 mil-Soil G1-Scour S1Weak</t>
  </si>
  <si>
    <t>Edge Interior Column-6.625 ft-W6X25-Embed 13ft-0 mil-Soil G1-Scour S1Strong</t>
  </si>
  <si>
    <t>Edge Interior Column-6.625 ft-W6X25-Embed 13ft-0 mil-Soil G1-Scour S1Weak</t>
  </si>
  <si>
    <t>Exterior Column-6.625 ft-W6X25-Embed 12ft-0 mil-Soil G1-Scour S1Strong</t>
  </si>
  <si>
    <t>Exterior Column-6.625 ft-W6X25-Embed 12ft-0 mil-Soil G1-Scour S1Weak</t>
  </si>
  <si>
    <t>Exterior Column-6.625 ft-W6X25-Embed 12.5ft-0 mil-Soil G1-Scour S1Strong</t>
  </si>
  <si>
    <t>Exterior Column-6.625 ft-W6X25-Embed 12.5ft-0 mil-Soil G1-Scour S1Weak</t>
  </si>
  <si>
    <t>Exterior Column-6.625 ft-W6X25-Embed 13ft-0 mil-Soil G1-Scour S1Strong</t>
  </si>
  <si>
    <t>Exterior Column-6.625 ft-W6X25-Embed 13ft-0 mil-Soil G1-Scour S1Weak</t>
  </si>
  <si>
    <t>Interior Column-6.625 ft-W6X20-Embed 12ft-0 mil-Soil G1-Scour S1Strong</t>
  </si>
  <si>
    <t>Interior Column-6.625 ft-W6X20-Embed 12ft-0 mil-Soil G1-Scour S1Weak</t>
  </si>
  <si>
    <t>Interior Column-6.625 ft-W6X20-Embed 12.5ft-0 mil-Soil G1-Scour S1Strong</t>
  </si>
  <si>
    <t>Interior Column-6.625 ft-W6X20-Embed 12.5ft-0 mil-Soil G1-Scour S1Weak</t>
  </si>
  <si>
    <t>Interior Column-6.625 ft-W6X20-Embed 13ft-0 mil-Soil G1-Scour S1Strong</t>
  </si>
  <si>
    <t>Interior Column-6.625 ft-W6X20-Embed 13ft-0 mil-Soil G1-Scour S1Weak</t>
  </si>
  <si>
    <t>Interior Column-6.625 ft-W6X25-Embed 12ft-0 mil-Soil G1-Scour S1Strong</t>
  </si>
  <si>
    <t>Interior Column-6.625 ft-W6X25-Embed 12ft-0 mil-Soil G1-Scour S1Weak</t>
  </si>
  <si>
    <t>Interior Column-6.625 ft-W6X25-Embed 12.5ft-0 mil-Soil G1-Scour S1Strong</t>
  </si>
  <si>
    <t>Interior Column-6.625 ft-W6X25-Embed 12.5ft-0 mil-Soil G1-Scour S1Weak</t>
  </si>
  <si>
    <t>Interior Column-6.625 ft-W6X25-Embed 13ft-0 mil-Soil G1-Scour S1Strong</t>
  </si>
  <si>
    <t>Interior Column-6.625 ft-W6X25-Embed 13ft-0 mil-Soil G1-Scour S1Weak</t>
  </si>
  <si>
    <t>Edge Interior Column-7.125 ft-W6X20-Embed 12ft-0 mil-Soil G1-Scour S1Strong</t>
  </si>
  <si>
    <t>Edge Interior Column-7.125 ft-W6X20-Embed 12ft-0 mil-Soil G1-Scour S1Weak</t>
  </si>
  <si>
    <t>Edge Interior Column-7.125 ft-W6X20-Embed 12.5ft-0 mil-Soil G1-Scour S1Strong</t>
  </si>
  <si>
    <t>Edge Interior Column-7.125 ft-W6X20-Embed 12.5ft-0 mil-Soil G1-Scour S1Weak</t>
  </si>
  <si>
    <t>Edge Interior Column-7.125 ft-W6X20-Embed 13ft-0 mil-Soil G1-Scour S1Strong</t>
  </si>
  <si>
    <t>Edge Interior Column-7.125 ft-W6X20-Embed 13ft-0 mil-Soil G1-Scour S1Weak</t>
  </si>
  <si>
    <t>Edge Interior Column-7.125 ft-W6X25-Embed 12ft-0 mil-Soil G1-Scour S1Strong</t>
  </si>
  <si>
    <t>Edge Interior Column-7.125 ft-W6X25-Embed 12ft-0 mil-Soil G1-Scour S1Weak</t>
  </si>
  <si>
    <t>Edge Interior Column-7.125 ft-W6X25-Embed 12.5ft-0 mil-Soil G1-Scour S1Strong</t>
  </si>
  <si>
    <t>Edge Interior Column-7.125 ft-W6X25-Embed 12.5ft-0 mil-Soil G1-Scour S1Weak</t>
  </si>
  <si>
    <t>Edge Interior Column-7.125 ft-W6X25-Embed 13ft-0 mil-Soil G1-Scour S1Strong</t>
  </si>
  <si>
    <t>Edge Interior Column-7.125 ft-W6X25-Embed 13ft-0 mil-Soil G1-Scour S1Weak</t>
  </si>
  <si>
    <t>Exterior Column-7.125 ft-W6X25-Embed 12ft-0 mil-Soil G1-Scour S1Strong</t>
  </si>
  <si>
    <t>Exterior Column-7.125 ft-W6X25-Embed 12ft-0 mil-Soil G1-Scour S1Weak</t>
  </si>
  <si>
    <t>Exterior Column-7.125 ft-W6X25-Embed 12.5ft-0 mil-Soil G1-Scour S1Strong</t>
  </si>
  <si>
    <t>Exterior Column-7.125 ft-W6X25-Embed 12.5ft-0 mil-Soil G1-Scour S1Weak</t>
  </si>
  <si>
    <t>Exterior Column-7.125 ft-W6X25-Embed 13ft-0 mil-Soil G1-Scour S1Strong</t>
  </si>
  <si>
    <t>Exterior Column-7.125 ft-W6X25-Embed 13ft-0 mil-Soil G1-Scour S1Weak</t>
  </si>
  <si>
    <t>Interior Column-7.125 ft-W6X20-Embed 12ft-0 mil-Soil G1-Scour S1Strong</t>
  </si>
  <si>
    <t>Interior Column-7.125 ft-W6X20-Embed 12ft-0 mil-Soil G1-Scour S1Weak</t>
  </si>
  <si>
    <t>Interior Column-7.125 ft-W6X20-Embed 12.5ft-0 mil-Soil G1-Scour S1Strong</t>
  </si>
  <si>
    <t>Interior Column-7.125 ft-W6X20-Embed 12.5ft-0 mil-Soil G1-Scour S1Weak</t>
  </si>
  <si>
    <t>Interior Column-7.125 ft-W6X20-Embed 13ft-0 mil-Soil G1-Scour S1Strong</t>
  </si>
  <si>
    <t>Interior Column-7.125 ft-W6X20-Embed 13ft-0 mil-Soil G1-Scour S1Weak</t>
  </si>
  <si>
    <t>Interior Column-7.125 ft-W6X25-Embed 12ft-0 mil-Soil G1-Scour S1Strong</t>
  </si>
  <si>
    <t>Interior Column-7.125 ft-W6X25-Embed 12ft-0 mil-Soil G1-Scour S1Weak</t>
  </si>
  <si>
    <t>Interior Column-7.125 ft-W6X25-Embed 12.5ft-0 mil-Soil G1-Scour S1Strong</t>
  </si>
  <si>
    <t>Interior Column-7.125 ft-W6X25-Embed 12.5ft-0 mil-Soil G1-Scour S1Weak</t>
  </si>
  <si>
    <t>Interior Column-7.125 ft-W6X25-Embed 13ft-0 mil-Soil G1-Scour S1Strong</t>
  </si>
  <si>
    <t>Interior Column-7.125 ft-W6X25-Embed 13ft-0 mil-Soil G1-Scour S1Weak</t>
  </si>
  <si>
    <t>Head Defl.</t>
  </si>
  <si>
    <t>Pass</t>
  </si>
  <si>
    <t>Grade Defl.</t>
  </si>
  <si>
    <t>Lpile reactions</t>
  </si>
  <si>
    <t>At grade moment</t>
  </si>
  <si>
    <t>At grade Shear</t>
  </si>
  <si>
    <t>Max moment</t>
  </si>
  <si>
    <t>At grade moment (lb-in)</t>
  </si>
  <si>
    <t>At grade Shear (lb)</t>
  </si>
  <si>
    <t>Max moment             (lb-in)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</si>
</sst>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0"/>
    <numFmt numFmtId="167" formatCode="0.00000"/>
    <numFmt numFmtId="168" formatCode="0.0000000000"/>
    <numFmt numFmtId="169" formatCode="0.0%"/>
  </numFmts>
  <fonts count="41" x14ac:knownFonts="1">
    <font>
      <sz val="11"/>
      <color theme="1"/>
      <name val="Calibri"/>
      <family val="2"/>
      <scheme val="minor"/>
    </font>
    <font>
      <vertAlign val="superscript"/>
      <sz val="11"/>
      <color theme="1"/>
      <name val="Calibri"/>
      <family val="2"/>
      <scheme val="minor"/>
    </font>
    <font>
      <vertAlign val="subscript"/>
      <sz val="11"/>
      <color theme="1"/>
      <name val="Calibri"/>
      <family val="2"/>
      <scheme val="minor"/>
    </font>
    <font>
      <sz val="11"/>
      <name val="Calibri"/>
      <family val="2"/>
    </font>
    <font>
      <sz val="11"/>
      <name val="Calibri"/>
      <family val="2"/>
      <scheme val="minor"/>
    </font>
    <font>
      <vertAlign val="subscript"/>
      <sz val="11"/>
      <name val="Calibri"/>
      <family val="2"/>
    </font>
    <font>
      <b/>
      <sz val="11"/>
      <color theme="1"/>
      <name val="Calibri"/>
      <family val="2"/>
      <scheme val="minor"/>
    </font>
    <font>
      <vertAlign val="subscript"/>
      <sz val="11"/>
      <name val="Calibri"/>
      <family val="2"/>
      <scheme val="minor"/>
    </font>
    <font>
      <i/>
      <sz val="11"/>
      <color theme="1"/>
      <name val="Calibri"/>
      <family val="2"/>
      <scheme val="minor"/>
    </font>
    <font>
      <b/>
      <u/>
      <sz val="11"/>
      <color theme="1"/>
      <name val="Calibri"/>
      <family val="2"/>
      <scheme val="minor"/>
    </font>
    <font>
      <sz val="11"/>
      <color theme="1"/>
      <name val="Calibri"/>
      <family val="2"/>
    </font>
    <font>
      <vertAlign val="subscript"/>
      <sz val="11"/>
      <color theme="1"/>
      <name val="Calibri"/>
      <family val="2"/>
    </font>
    <font>
      <u/>
      <sz val="11"/>
      <color theme="10"/>
      <name val="Calibri"/>
      <family val="2"/>
      <scheme val="minor"/>
    </font>
    <font>
      <sz val="8"/>
      <name val="Calibri"/>
      <family val="2"/>
      <scheme val="minor"/>
    </font>
    <font>
      <sz val="11"/>
      <color theme="1"/>
      <name val="Calibri"/>
      <family val="2"/>
      <scheme val="minor"/>
    </font>
    <font>
      <sz val="10"/>
      <color theme="1"/>
      <name val="Source Sans Pro"/>
      <family val="2"/>
    </font>
    <font>
      <b/>
      <sz val="10"/>
      <color theme="0"/>
      <name val="Source Sans Pro"/>
      <family val="2"/>
    </font>
    <font>
      <sz val="10"/>
      <name val="Source Sans Pro"/>
      <family val="2"/>
    </font>
    <font>
      <b/>
      <u/>
      <sz val="10"/>
      <color theme="1"/>
      <name val="Source Sans Pro"/>
      <family val="2"/>
    </font>
    <font>
      <sz val="10"/>
      <color theme="0"/>
      <name val="Source Sans Pro"/>
      <family val="2"/>
    </font>
    <font>
      <vertAlign val="subscript"/>
      <sz val="10"/>
      <name val="Source Sans Pro"/>
      <family val="2"/>
    </font>
    <font>
      <sz val="8"/>
      <name val="Source Sans Pro"/>
      <family val="2"/>
    </font>
    <font>
      <b/>
      <sz val="10"/>
      <color theme="1"/>
      <name val="Source Sans Pro"/>
      <family val="2"/>
    </font>
    <font>
      <sz val="10"/>
      <color theme="0" tint="-0.34998626667073579"/>
      <name val="Source Sans Pro"/>
      <family val="2"/>
    </font>
    <font>
      <vertAlign val="superscript"/>
      <sz val="10"/>
      <color theme="1"/>
      <name val="Source Sans Pro"/>
      <family val="2"/>
    </font>
    <font>
      <vertAlign val="subscript"/>
      <sz val="10"/>
      <color theme="1"/>
      <name val="Source Sans Pro"/>
      <family val="2"/>
    </font>
    <font>
      <sz val="10"/>
      <color rgb="FF123902"/>
      <name val="Source Sans Pro"/>
      <family val="2"/>
    </font>
    <font>
      <b/>
      <i/>
      <sz val="10"/>
      <color theme="0"/>
      <name val="Source Sans Pro"/>
      <family val="2"/>
    </font>
    <font>
      <b/>
      <i/>
      <vertAlign val="subscript"/>
      <sz val="10"/>
      <color theme="0"/>
      <name val="Source Sans Pro"/>
      <family val="2"/>
    </font>
    <font>
      <b/>
      <vertAlign val="subscript"/>
      <sz val="10"/>
      <color theme="0"/>
      <name val="Source Sans Pro"/>
      <family val="2"/>
    </font>
    <font>
      <sz val="10"/>
      <color theme="4"/>
      <name val="Source Sans Pro"/>
      <family val="2"/>
    </font>
    <font>
      <b/>
      <sz val="10"/>
      <color theme="4"/>
      <name val="Source Sans Pro"/>
      <family val="2"/>
    </font>
    <font>
      <b/>
      <sz val="10"/>
      <name val="Source Sans Pro"/>
      <family val="2"/>
    </font>
    <font>
      <sz val="10"/>
      <color rgb="FF00B0F0"/>
      <name val="Source Sans Pro"/>
      <family val="2"/>
    </font>
    <font>
      <b/>
      <sz val="10"/>
      <color rgb="FF00B0F0"/>
      <name val="Source Sans Pro"/>
      <family val="2"/>
    </font>
    <font>
      <sz val="10"/>
      <color rgb="FF0070C0"/>
      <name val="Source Sans Pro"/>
      <family val="2"/>
    </font>
    <font>
      <b/>
      <sz val="10"/>
      <color rgb="FF0070C0"/>
      <name val="Source Sans Pro"/>
      <family val="2"/>
    </font>
    <font>
      <strike/>
      <sz val="10"/>
      <color theme="0" tint="-0.499984740745262"/>
      <name val="Source Sans Pro"/>
      <family val="2"/>
    </font>
    <font>
      <i/>
      <sz val="8"/>
      <color theme="1"/>
      <name val="Source Sans Pro"/>
      <family val="2"/>
    </font>
    <font>
      <b/>
      <sz val="10"/>
      <color theme="7" tint="0.59999389629810485"/>
      <name val="Source Sans Pro"/>
      <family val="2"/>
    </font>
    <font>
      <i/>
      <sz val="10"/>
      <color theme="1"/>
      <name val="Source Sans Pro"/>
      <family val="2"/>
    </font>
  </fonts>
  <fills count="21">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bgColor theme="9"/>
      </patternFill>
    </fill>
    <fill>
      <patternFill patternType="solid">
        <fgColor theme="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1"/>
        <bgColor indexed="64"/>
      </patternFill>
    </fill>
    <fill>
      <patternFill patternType="solid">
        <fgColor rgb="FF305033"/>
        <bgColor indexed="64"/>
      </patternFill>
    </fill>
    <fill>
      <patternFill patternType="solid">
        <fgColor rgb="FF687E67"/>
        <bgColor indexed="64"/>
      </patternFill>
    </fill>
    <fill>
      <patternFill patternType="solid">
        <fgColor rgb="FFAAB3A4"/>
        <bgColor indexed="64"/>
      </patternFill>
    </fill>
    <fill>
      <patternFill patternType="solid">
        <fgColor rgb="FFDFDFD6"/>
        <bgColor indexed="64"/>
      </patternFill>
    </fill>
    <fill>
      <patternFill patternType="solid">
        <fgColor rgb="FFF4F4F2"/>
        <bgColor indexed="64"/>
      </patternFill>
    </fill>
    <fill>
      <patternFill patternType="solid">
        <fgColor rgb="FFCD5B2B"/>
        <bgColor indexed="64"/>
      </patternFill>
    </fill>
  </fills>
  <borders count="6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rgb="FFCD5B2B"/>
      </left>
      <right/>
      <top style="thin">
        <color rgb="FFCD5B2B"/>
      </top>
      <bottom style="thin">
        <color rgb="FFCD5B2B"/>
      </bottom>
      <diagonal/>
    </border>
    <border>
      <left/>
      <right/>
      <top style="thin">
        <color rgb="FFCD5B2B"/>
      </top>
      <bottom style="thin">
        <color rgb="FFCD5B2B"/>
      </bottom>
      <diagonal/>
    </border>
    <border>
      <left/>
      <right style="thin">
        <color rgb="FFCD5B2B"/>
      </right>
      <top style="thin">
        <color rgb="FFCD5B2B"/>
      </top>
      <bottom style="thin">
        <color rgb="FFCD5B2B"/>
      </bottom>
      <diagonal/>
    </border>
    <border>
      <left style="thin">
        <color rgb="FFCD5B2B"/>
      </left>
      <right/>
      <top style="thin">
        <color rgb="FFCD5B2B"/>
      </top>
      <bottom/>
      <diagonal/>
    </border>
    <border>
      <left/>
      <right/>
      <top style="thin">
        <color rgb="FFCD5B2B"/>
      </top>
      <bottom/>
      <diagonal/>
    </border>
    <border>
      <left/>
      <right style="thin">
        <color rgb="FFCD5B2B"/>
      </right>
      <top style="thin">
        <color rgb="FFCD5B2B"/>
      </top>
      <bottom/>
      <diagonal/>
    </border>
    <border>
      <left style="thin">
        <color rgb="FFCD5B2B"/>
      </left>
      <right/>
      <top/>
      <bottom/>
      <diagonal/>
    </border>
    <border>
      <left/>
      <right style="thin">
        <color rgb="FFCD5B2B"/>
      </right>
      <top/>
      <bottom/>
      <diagonal/>
    </border>
    <border>
      <left style="thin">
        <color rgb="FFCD5B2B"/>
      </left>
      <right/>
      <top/>
      <bottom style="thin">
        <color rgb="FFCD5B2B"/>
      </bottom>
      <diagonal/>
    </border>
    <border>
      <left/>
      <right/>
      <top/>
      <bottom style="thin">
        <color rgb="FFCD5B2B"/>
      </bottom>
      <diagonal/>
    </border>
    <border>
      <left/>
      <right style="thin">
        <color rgb="FFCD5B2B"/>
      </right>
      <top/>
      <bottom style="thin">
        <color rgb="FFCD5B2B"/>
      </bottom>
      <diagonal/>
    </border>
    <border>
      <left style="thin">
        <color rgb="FFCD5B2B"/>
      </left>
      <right style="thin">
        <color rgb="FFCD5B2B"/>
      </right>
      <top style="thin">
        <color rgb="FFCD5B2B"/>
      </top>
      <bottom/>
      <diagonal/>
    </border>
    <border>
      <left style="thin">
        <color rgb="FFCD5B2B"/>
      </left>
      <right style="thin">
        <color rgb="FFCD5B2B"/>
      </right>
      <top/>
      <bottom/>
      <diagonal/>
    </border>
    <border>
      <left style="thin">
        <color rgb="FFCD5B2B"/>
      </left>
      <right style="thin">
        <color rgb="FFCD5B2B"/>
      </right>
      <top/>
      <bottom style="thin">
        <color rgb="FFCD5B2B"/>
      </bottom>
      <diagonal/>
    </border>
  </borders>
  <cellStyleXfs count="3">
    <xf numFmtId="0" fontId="0" fillId="0" borderId="0"/>
    <xf numFmtId="0" fontId="12" fillId="0" borderId="0" applyNumberFormat="0" applyFill="0" applyBorder="0" applyAlignment="0" applyProtection="0"/>
    <xf numFmtId="9" fontId="14" fillId="0" borderId="0" applyFont="0" applyFill="0" applyBorder="0" applyAlignment="0" applyProtection="0"/>
  </cellStyleXfs>
  <cellXfs count="465">
    <xf numFmtId="0" fontId="0" fillId="0" borderId="0" xfId="0"/>
    <xf numFmtId="2" fontId="0" fillId="0" borderId="0" xfId="0" applyNumberFormat="1"/>
    <xf numFmtId="0" fontId="0" fillId="0" borderId="0" xfId="0" applyAlignment="1">
      <alignment horizontal="left"/>
    </xf>
    <xf numFmtId="0" fontId="0" fillId="0" borderId="3" xfId="0" applyBorder="1"/>
    <xf numFmtId="0" fontId="0" fillId="0" borderId="4" xfId="0" applyBorder="1"/>
    <xf numFmtId="0" fontId="0" fillId="0" borderId="5" xfId="0" applyBorder="1"/>
    <xf numFmtId="0" fontId="0" fillId="0" borderId="6" xfId="0" applyBorder="1"/>
    <xf numFmtId="0" fontId="6" fillId="0" borderId="5" xfId="0" applyFont="1" applyBorder="1"/>
    <xf numFmtId="0" fontId="0" fillId="0" borderId="8" xfId="0" applyBorder="1"/>
    <xf numFmtId="0" fontId="0" fillId="0" borderId="9" xfId="0" applyBorder="1"/>
    <xf numFmtId="165" fontId="0" fillId="0" borderId="0" xfId="0" applyNumberFormat="1"/>
    <xf numFmtId="0" fontId="0" fillId="0" borderId="0" xfId="0" applyAlignment="1">
      <alignment horizontal="right"/>
    </xf>
    <xf numFmtId="0" fontId="6" fillId="0" borderId="0" xfId="0" applyFont="1" applyAlignment="1">
      <alignment horizontal="right"/>
    </xf>
    <xf numFmtId="0" fontId="8" fillId="0" borderId="0" xfId="0" applyFont="1" applyAlignment="1">
      <alignment horizontal="center"/>
    </xf>
    <xf numFmtId="164" fontId="0" fillId="0" borderId="0" xfId="0" applyNumberFormat="1"/>
    <xf numFmtId="0" fontId="4" fillId="0" borderId="0" xfId="0" applyFont="1" applyAlignment="1">
      <alignment vertical="center"/>
    </xf>
    <xf numFmtId="0" fontId="0" fillId="0" borderId="5" xfId="0" applyBorder="1" applyAlignment="1">
      <alignment horizontal="right"/>
    </xf>
    <xf numFmtId="0" fontId="3" fillId="0" borderId="5" xfId="0" applyFont="1" applyBorder="1" applyAlignment="1">
      <alignment horizontal="right" vertical="center"/>
    </xf>
    <xf numFmtId="0" fontId="3" fillId="0" borderId="7" xfId="0" applyFont="1" applyBorder="1" applyAlignment="1">
      <alignment horizontal="right" vertical="center"/>
    </xf>
    <xf numFmtId="0" fontId="8" fillId="0" borderId="5" xfId="0" applyFont="1" applyBorder="1" applyAlignment="1">
      <alignment horizontal="right"/>
    </xf>
    <xf numFmtId="0" fontId="0" fillId="0" borderId="5" xfId="0" applyBorder="1" applyAlignment="1">
      <alignment horizontal="right" vertical="center"/>
    </xf>
    <xf numFmtId="0" fontId="0" fillId="0" borderId="0" xfId="0" applyAlignment="1">
      <alignment vertical="center"/>
    </xf>
    <xf numFmtId="0" fontId="0" fillId="0" borderId="6" xfId="0" applyBorder="1" applyAlignment="1">
      <alignment vertical="center" wrapText="1"/>
    </xf>
    <xf numFmtId="0" fontId="10" fillId="0" borderId="0" xfId="0" applyFont="1"/>
    <xf numFmtId="0" fontId="6" fillId="0" borderId="5" xfId="0" applyFont="1" applyBorder="1" applyAlignment="1">
      <alignment horizontal="left"/>
    </xf>
    <xf numFmtId="0" fontId="0" fillId="0" borderId="7" xfId="0" applyBorder="1" applyAlignment="1">
      <alignment horizontal="left"/>
    </xf>
    <xf numFmtId="0" fontId="0" fillId="0" borderId="5" xfId="0" applyBorder="1" applyAlignment="1">
      <alignment horizontal="left"/>
    </xf>
    <xf numFmtId="0" fontId="0" fillId="3" borderId="11" xfId="0" applyFill="1" applyBorder="1"/>
    <xf numFmtId="2" fontId="0" fillId="3" borderId="13" xfId="0" applyNumberFormat="1" applyFill="1" applyBorder="1"/>
    <xf numFmtId="2" fontId="0" fillId="4" borderId="10" xfId="0" applyNumberFormat="1" applyFill="1" applyBorder="1"/>
    <xf numFmtId="0" fontId="0" fillId="4" borderId="10" xfId="0" applyFill="1" applyBorder="1"/>
    <xf numFmtId="0" fontId="6" fillId="0" borderId="0" xfId="0" applyFont="1" applyAlignment="1">
      <alignment horizontal="center"/>
    </xf>
    <xf numFmtId="0" fontId="6" fillId="0" borderId="0" xfId="0" applyFont="1" applyAlignment="1">
      <alignment horizontal="center" vertical="center"/>
    </xf>
    <xf numFmtId="0" fontId="0" fillId="4" borderId="14" xfId="0" applyFill="1" applyBorder="1"/>
    <xf numFmtId="0" fontId="0" fillId="0" borderId="13" xfId="0" applyBorder="1"/>
    <xf numFmtId="14" fontId="0" fillId="0" borderId="0" xfId="0" applyNumberFormat="1" applyAlignment="1">
      <alignment horizontal="left"/>
    </xf>
    <xf numFmtId="0" fontId="0" fillId="0" borderId="5" xfId="0" applyBorder="1" applyAlignment="1">
      <alignment horizontal="center"/>
    </xf>
    <xf numFmtId="0" fontId="0" fillId="0" borderId="0" xfId="0" applyAlignment="1">
      <alignment horizontal="center"/>
    </xf>
    <xf numFmtId="1" fontId="0" fillId="0" borderId="0" xfId="0" applyNumberFormat="1" applyAlignment="1">
      <alignment horizontal="center"/>
    </xf>
    <xf numFmtId="0" fontId="0" fillId="0" borderId="11" xfId="0" applyBorder="1" applyAlignment="1">
      <alignment horizontal="right"/>
    </xf>
    <xf numFmtId="0" fontId="0" fillId="0" borderId="12" xfId="0" applyBorder="1"/>
    <xf numFmtId="0" fontId="0" fillId="0" borderId="2" xfId="0" applyBorder="1" applyAlignment="1">
      <alignment horizontal="right"/>
    </xf>
    <xf numFmtId="0" fontId="0" fillId="0" borderId="6" xfId="0" applyBorder="1" applyAlignment="1">
      <alignment horizontal="center" vertical="center" wrapText="1"/>
    </xf>
    <xf numFmtId="0" fontId="0" fillId="0" borderId="6" xfId="0" applyBorder="1" applyAlignment="1">
      <alignment horizontal="center"/>
    </xf>
    <xf numFmtId="0" fontId="0" fillId="0" borderId="7" xfId="0" applyBorder="1" applyAlignment="1">
      <alignment horizontal="right"/>
    </xf>
    <xf numFmtId="0" fontId="8" fillId="0" borderId="5" xfId="0" applyFont="1" applyBorder="1"/>
    <xf numFmtId="0" fontId="0" fillId="0" borderId="10" xfId="0" applyBorder="1" applyAlignment="1">
      <alignment horizontal="center"/>
    </xf>
    <xf numFmtId="0" fontId="0" fillId="0" borderId="16" xfId="0" applyBorder="1" applyAlignment="1">
      <alignment horizontal="center"/>
    </xf>
    <xf numFmtId="165" fontId="0" fillId="3" borderId="1" xfId="0" applyNumberFormat="1" applyFill="1" applyBorder="1"/>
    <xf numFmtId="0" fontId="12" fillId="0" borderId="0" xfId="1"/>
    <xf numFmtId="0" fontId="0" fillId="0" borderId="2" xfId="0" applyBorder="1"/>
    <xf numFmtId="0" fontId="0" fillId="4" borderId="14" xfId="0" applyFill="1" applyBorder="1" applyAlignment="1">
      <alignment horizontal="right"/>
    </xf>
    <xf numFmtId="2" fontId="0" fillId="4" borderId="15" xfId="0" applyNumberFormat="1" applyFill="1" applyBorder="1" applyAlignment="1">
      <alignment horizontal="right"/>
    </xf>
    <xf numFmtId="0" fontId="0" fillId="4" borderId="14" xfId="0" applyFill="1" applyBorder="1" applyAlignment="1">
      <alignment vertical="center"/>
    </xf>
    <xf numFmtId="0" fontId="0" fillId="0" borderId="6" xfId="0" applyBorder="1" applyAlignment="1">
      <alignment vertical="center"/>
    </xf>
    <xf numFmtId="2" fontId="0" fillId="4" borderId="14" xfId="0" applyNumberFormat="1" applyFill="1" applyBorder="1"/>
    <xf numFmtId="2" fontId="0" fillId="4" borderId="17" xfId="0" applyNumberFormat="1" applyFill="1" applyBorder="1"/>
    <xf numFmtId="2" fontId="0" fillId="4" borderId="18" xfId="0" applyNumberFormat="1" applyFill="1" applyBorder="1"/>
    <xf numFmtId="2" fontId="0" fillId="0" borderId="10" xfId="0" applyNumberFormat="1" applyBorder="1"/>
    <xf numFmtId="0" fontId="0" fillId="0" borderId="19" xfId="0" applyBorder="1"/>
    <xf numFmtId="2" fontId="0" fillId="0" borderId="14" xfId="0" applyNumberFormat="1" applyBorder="1"/>
    <xf numFmtId="0" fontId="0" fillId="4" borderId="10" xfId="0" applyFill="1" applyBorder="1" applyAlignment="1">
      <alignment horizontal="center" vertical="center"/>
    </xf>
    <xf numFmtId="2" fontId="0" fillId="4" borderId="10" xfId="0" applyNumberFormat="1" applyFill="1" applyBorder="1" applyAlignment="1">
      <alignment horizontal="center"/>
    </xf>
    <xf numFmtId="0" fontId="0" fillId="0" borderId="6" xfId="0" quotePrefix="1" applyBorder="1"/>
    <xf numFmtId="0" fontId="6" fillId="0" borderId="10" xfId="0" applyFont="1" applyBorder="1" applyAlignment="1">
      <alignment horizontal="center" vertical="center" wrapText="1"/>
    </xf>
    <xf numFmtId="164" fontId="0" fillId="0" borderId="10" xfId="0" applyNumberFormat="1" applyBorder="1" applyAlignment="1">
      <alignment horizontal="center"/>
    </xf>
    <xf numFmtId="0" fontId="6" fillId="0" borderId="26" xfId="0" applyFont="1" applyBorder="1" applyAlignment="1">
      <alignment horizontal="center" vertical="center" wrapText="1"/>
    </xf>
    <xf numFmtId="0" fontId="6" fillId="0" borderId="16" xfId="0" applyFont="1" applyBorder="1" applyAlignment="1">
      <alignment horizontal="center" vertical="center" wrapText="1"/>
    </xf>
    <xf numFmtId="0" fontId="0" fillId="0" borderId="26" xfId="0" applyBorder="1" applyAlignment="1">
      <alignment horizontal="center"/>
    </xf>
    <xf numFmtId="0" fontId="15" fillId="13" borderId="0" xfId="0" applyFont="1" applyFill="1" applyAlignment="1">
      <alignment vertical="center"/>
    </xf>
    <xf numFmtId="0" fontId="16" fillId="15" borderId="27" xfId="0" applyFont="1" applyFill="1" applyBorder="1" applyAlignment="1">
      <alignment horizontal="center" vertical="center"/>
    </xf>
    <xf numFmtId="0" fontId="17" fillId="19" borderId="32" xfId="0" applyFont="1" applyFill="1" applyBorder="1" applyAlignment="1">
      <alignment vertical="center"/>
    </xf>
    <xf numFmtId="0" fontId="17" fillId="13" borderId="0" xfId="0" applyFont="1" applyFill="1" applyAlignment="1">
      <alignment vertical="center"/>
    </xf>
    <xf numFmtId="0" fontId="15" fillId="7" borderId="0" xfId="0" applyFont="1" applyFill="1" applyAlignment="1">
      <alignment vertical="center"/>
    </xf>
    <xf numFmtId="0" fontId="15" fillId="9" borderId="0" xfId="0" applyFont="1" applyFill="1" applyAlignment="1">
      <alignment vertical="center"/>
    </xf>
    <xf numFmtId="0" fontId="15" fillId="19" borderId="40" xfId="0" applyFont="1" applyFill="1" applyBorder="1" applyAlignment="1">
      <alignment vertical="center"/>
    </xf>
    <xf numFmtId="0" fontId="15" fillId="19" borderId="41" xfId="0" applyFont="1" applyFill="1" applyBorder="1" applyAlignment="1">
      <alignment vertical="center"/>
    </xf>
    <xf numFmtId="0" fontId="17" fillId="19" borderId="44" xfId="0" applyFont="1" applyFill="1" applyBorder="1" applyAlignment="1">
      <alignment horizontal="center" vertical="center"/>
    </xf>
    <xf numFmtId="0" fontId="17" fillId="19" borderId="45" xfId="0" applyFont="1" applyFill="1" applyBorder="1" applyAlignment="1">
      <alignment horizontal="center" vertical="center"/>
    </xf>
    <xf numFmtId="0" fontId="17" fillId="19" borderId="10" xfId="0" applyFont="1" applyFill="1" applyBorder="1" applyAlignment="1">
      <alignment horizontal="center" vertical="center"/>
    </xf>
    <xf numFmtId="0" fontId="15" fillId="19" borderId="42" xfId="0" applyFont="1" applyFill="1" applyBorder="1" applyAlignment="1">
      <alignment vertical="center"/>
    </xf>
    <xf numFmtId="0" fontId="15" fillId="19" borderId="44" xfId="0" applyFont="1" applyFill="1" applyBorder="1" applyAlignment="1">
      <alignment horizontal="center" vertical="center"/>
    </xf>
    <xf numFmtId="0" fontId="15" fillId="19" borderId="45" xfId="0" applyFont="1" applyFill="1" applyBorder="1" applyAlignment="1">
      <alignment horizontal="center" vertical="center"/>
    </xf>
    <xf numFmtId="0" fontId="18" fillId="0" borderId="10" xfId="0" applyFont="1" applyBorder="1" applyAlignment="1">
      <alignment horizontal="center" vertical="center"/>
    </xf>
    <xf numFmtId="0" fontId="17" fillId="18" borderId="10" xfId="0" applyFont="1" applyFill="1" applyBorder="1" applyAlignment="1">
      <alignment horizontal="center" vertical="center"/>
    </xf>
    <xf numFmtId="0" fontId="16" fillId="15" borderId="10" xfId="0" applyFont="1" applyFill="1" applyBorder="1" applyAlignment="1">
      <alignment horizontal="center" vertical="center"/>
    </xf>
    <xf numFmtId="0" fontId="15" fillId="18" borderId="46" xfId="0" applyFont="1" applyFill="1" applyBorder="1" applyAlignment="1">
      <alignment horizontal="center" vertical="center"/>
    </xf>
    <xf numFmtId="0" fontId="16" fillId="16" borderId="10" xfId="0" applyFont="1" applyFill="1" applyBorder="1" applyAlignment="1">
      <alignment horizontal="center" vertical="center"/>
    </xf>
    <xf numFmtId="0" fontId="17" fillId="11" borderId="10" xfId="0" applyFont="1" applyFill="1" applyBorder="1" applyAlignment="1">
      <alignment horizontal="center" vertical="center"/>
    </xf>
    <xf numFmtId="0" fontId="17" fillId="19" borderId="48" xfId="0" applyFont="1" applyFill="1" applyBorder="1" applyAlignment="1">
      <alignment horizontal="center" vertical="center"/>
    </xf>
    <xf numFmtId="0" fontId="17" fillId="19" borderId="49" xfId="0" applyFont="1" applyFill="1" applyBorder="1" applyAlignment="1">
      <alignment horizontal="center" vertical="center"/>
    </xf>
    <xf numFmtId="0" fontId="22" fillId="13" borderId="0" xfId="0" applyFont="1" applyFill="1" applyAlignment="1">
      <alignment horizontal="right" vertical="center"/>
    </xf>
    <xf numFmtId="0" fontId="15" fillId="18" borderId="10" xfId="0" applyFont="1" applyFill="1" applyBorder="1" applyAlignment="1">
      <alignment horizontal="center" vertical="center"/>
    </xf>
    <xf numFmtId="0" fontId="17" fillId="19" borderId="32" xfId="0" applyFont="1" applyFill="1" applyBorder="1" applyAlignment="1">
      <alignment horizontal="center" vertical="center"/>
    </xf>
    <xf numFmtId="0" fontId="15" fillId="17" borderId="10" xfId="0" applyFont="1" applyFill="1" applyBorder="1" applyAlignment="1">
      <alignment horizontal="center" vertical="center"/>
    </xf>
    <xf numFmtId="0" fontId="17" fillId="19" borderId="41" xfId="0" applyFont="1" applyFill="1" applyBorder="1" applyAlignment="1">
      <alignment horizontal="center" vertical="center"/>
    </xf>
    <xf numFmtId="0" fontId="15" fillId="17" borderId="42" xfId="0" applyFont="1" applyFill="1" applyBorder="1" applyAlignment="1">
      <alignment horizontal="center" vertical="center"/>
    </xf>
    <xf numFmtId="0" fontId="17" fillId="19" borderId="36" xfId="0" applyFont="1" applyFill="1" applyBorder="1" applyAlignment="1">
      <alignment horizontal="center" vertical="center"/>
    </xf>
    <xf numFmtId="0" fontId="17" fillId="18" borderId="33" xfId="0" applyFont="1" applyFill="1" applyBorder="1" applyAlignment="1">
      <alignment horizontal="center" vertical="center"/>
    </xf>
    <xf numFmtId="0" fontId="15" fillId="17" borderId="46" xfId="0" applyFont="1" applyFill="1" applyBorder="1" applyAlignment="1">
      <alignment horizontal="center" vertical="center"/>
    </xf>
    <xf numFmtId="0" fontId="17" fillId="19" borderId="42" xfId="0" applyFont="1" applyFill="1" applyBorder="1" applyAlignment="1">
      <alignment horizontal="center" vertical="center"/>
    </xf>
    <xf numFmtId="0" fontId="17" fillId="17" borderId="42" xfId="0" applyFont="1" applyFill="1" applyBorder="1" applyAlignment="1">
      <alignment horizontal="center" vertical="center"/>
    </xf>
    <xf numFmtId="0" fontId="15" fillId="17" borderId="50" xfId="0" applyFont="1" applyFill="1" applyBorder="1" applyAlignment="1">
      <alignment horizontal="center" vertical="center"/>
    </xf>
    <xf numFmtId="0" fontId="15" fillId="19" borderId="44" xfId="0" applyFont="1" applyFill="1" applyBorder="1" applyAlignment="1">
      <alignment vertical="center"/>
    </xf>
    <xf numFmtId="0" fontId="17" fillId="19" borderId="46" xfId="0" applyFont="1" applyFill="1" applyBorder="1" applyAlignment="1">
      <alignment horizontal="center" vertical="center"/>
    </xf>
    <xf numFmtId="0" fontId="15" fillId="19" borderId="45" xfId="0" applyFont="1" applyFill="1" applyBorder="1" applyAlignment="1">
      <alignment vertical="center"/>
    </xf>
    <xf numFmtId="0" fontId="17" fillId="17" borderId="46" xfId="0" applyFont="1" applyFill="1" applyBorder="1" applyAlignment="1">
      <alignment horizontal="center" vertical="center"/>
    </xf>
    <xf numFmtId="0" fontId="17" fillId="19" borderId="50" xfId="0" applyFont="1" applyFill="1" applyBorder="1" applyAlignment="1">
      <alignment horizontal="center" vertical="center"/>
    </xf>
    <xf numFmtId="0" fontId="17" fillId="18" borderId="46" xfId="0" applyFont="1" applyFill="1" applyBorder="1" applyAlignment="1">
      <alignment horizontal="center" vertical="center"/>
    </xf>
    <xf numFmtId="0" fontId="15" fillId="19" borderId="49" xfId="0" applyFont="1" applyFill="1" applyBorder="1" applyAlignment="1">
      <alignment vertical="center"/>
    </xf>
    <xf numFmtId="0" fontId="17" fillId="17" borderId="50" xfId="0" applyFont="1" applyFill="1" applyBorder="1" applyAlignment="1">
      <alignment horizontal="center" vertical="center"/>
    </xf>
    <xf numFmtId="0" fontId="15" fillId="19" borderId="48" xfId="0" applyFont="1" applyFill="1" applyBorder="1" applyAlignment="1">
      <alignment vertical="center"/>
    </xf>
    <xf numFmtId="0" fontId="16" fillId="15" borderId="38" xfId="0" applyFont="1" applyFill="1" applyBorder="1" applyAlignment="1">
      <alignment vertical="center"/>
    </xf>
    <xf numFmtId="0" fontId="16" fillId="15" borderId="32" xfId="0" applyFont="1" applyFill="1" applyBorder="1" applyAlignment="1">
      <alignment vertical="center"/>
    </xf>
    <xf numFmtId="0" fontId="23" fillId="13" borderId="0" xfId="0" applyFont="1" applyFill="1" applyAlignment="1">
      <alignment vertical="center"/>
    </xf>
    <xf numFmtId="0" fontId="15" fillId="19" borderId="41" xfId="0" applyFont="1" applyFill="1" applyBorder="1" applyAlignment="1">
      <alignment horizontal="center" vertical="center"/>
    </xf>
    <xf numFmtId="166" fontId="15" fillId="17" borderId="42" xfId="0" applyNumberFormat="1" applyFont="1" applyFill="1" applyBorder="1" applyAlignment="1">
      <alignment horizontal="center" vertical="center"/>
    </xf>
    <xf numFmtId="0" fontId="15" fillId="19" borderId="10" xfId="0" applyFont="1" applyFill="1" applyBorder="1" applyAlignment="1">
      <alignment horizontal="center" vertical="center"/>
    </xf>
    <xf numFmtId="0" fontId="22" fillId="12" borderId="10" xfId="0" applyFont="1" applyFill="1" applyBorder="1" applyAlignment="1">
      <alignment horizontal="center" vertical="center"/>
    </xf>
    <xf numFmtId="166" fontId="15" fillId="17" borderId="46" xfId="0" applyNumberFormat="1" applyFont="1" applyFill="1" applyBorder="1" applyAlignment="1">
      <alignment horizontal="center" vertical="center"/>
    </xf>
    <xf numFmtId="0" fontId="15" fillId="19" borderId="49" xfId="0" applyFont="1" applyFill="1" applyBorder="1" applyAlignment="1">
      <alignment horizontal="center" vertical="center"/>
    </xf>
    <xf numFmtId="166" fontId="15" fillId="17" borderId="50" xfId="0" applyNumberFormat="1" applyFont="1" applyFill="1" applyBorder="1" applyAlignment="1">
      <alignment horizontal="center" vertical="center"/>
    </xf>
    <xf numFmtId="0" fontId="15" fillId="13" borderId="0" xfId="0" applyFont="1" applyFill="1" applyAlignment="1">
      <alignment vertical="center" wrapText="1"/>
    </xf>
    <xf numFmtId="165" fontId="15" fillId="17" borderId="50" xfId="0" applyNumberFormat="1" applyFont="1" applyFill="1" applyBorder="1" applyAlignment="1">
      <alignment horizontal="center" vertical="center"/>
    </xf>
    <xf numFmtId="0" fontId="15" fillId="13" borderId="0" xfId="0" applyFont="1" applyFill="1" applyAlignment="1">
      <alignment horizontal="left" vertical="center"/>
    </xf>
    <xf numFmtId="0" fontId="22" fillId="13" borderId="0" xfId="0" applyFont="1" applyFill="1" applyAlignment="1">
      <alignment vertical="center"/>
    </xf>
    <xf numFmtId="0" fontId="15" fillId="19" borderId="45" xfId="0" applyFont="1" applyFill="1" applyBorder="1" applyAlignment="1">
      <alignment horizontal="left" vertical="center"/>
    </xf>
    <xf numFmtId="0" fontId="15" fillId="8" borderId="46" xfId="0" applyFont="1" applyFill="1" applyBorder="1" applyAlignment="1">
      <alignment horizontal="center" vertical="center"/>
    </xf>
    <xf numFmtId="0" fontId="16" fillId="15" borderId="10" xfId="0" applyFont="1" applyFill="1" applyBorder="1" applyAlignment="1">
      <alignment horizontal="center" vertical="center" wrapText="1"/>
    </xf>
    <xf numFmtId="0" fontId="15" fillId="8" borderId="42" xfId="0" applyFont="1" applyFill="1" applyBorder="1" applyAlignment="1">
      <alignment horizontal="center" vertical="center"/>
    </xf>
    <xf numFmtId="0" fontId="15" fillId="8" borderId="50" xfId="0" applyFont="1" applyFill="1" applyBorder="1" applyAlignment="1">
      <alignment horizontal="center" vertical="center"/>
    </xf>
    <xf numFmtId="0" fontId="15" fillId="8" borderId="0" xfId="0" applyFont="1" applyFill="1" applyAlignment="1">
      <alignment vertical="center"/>
    </xf>
    <xf numFmtId="3" fontId="26" fillId="11" borderId="0" xfId="0" applyNumberFormat="1" applyFont="1" applyFill="1" applyAlignment="1" applyProtection="1">
      <alignment horizontal="center" vertical="center" shrinkToFit="1"/>
      <protection locked="0"/>
    </xf>
    <xf numFmtId="0" fontId="16" fillId="14" borderId="28" xfId="0" applyFont="1" applyFill="1" applyBorder="1" applyAlignment="1">
      <alignment horizontal="center"/>
    </xf>
    <xf numFmtId="0" fontId="27" fillId="14" borderId="28" xfId="0" applyFont="1" applyFill="1" applyBorder="1" applyAlignment="1">
      <alignment horizontal="center"/>
    </xf>
    <xf numFmtId="13" fontId="27" fillId="14" borderId="28" xfId="0" applyNumberFormat="1" applyFont="1" applyFill="1" applyBorder="1" applyAlignment="1">
      <alignment horizontal="center"/>
    </xf>
    <xf numFmtId="13" fontId="27" fillId="14" borderId="28" xfId="0" applyNumberFormat="1" applyFont="1" applyFill="1" applyBorder="1" applyAlignment="1">
      <alignment horizontal="center" vertical="center"/>
    </xf>
    <xf numFmtId="0" fontId="17" fillId="13" borderId="0" xfId="0" applyFont="1" applyFill="1"/>
    <xf numFmtId="0" fontId="17" fillId="13" borderId="0" xfId="0" applyFont="1" applyFill="1" applyAlignment="1">
      <alignment horizontal="center"/>
    </xf>
    <xf numFmtId="164" fontId="17" fillId="13" borderId="0" xfId="0" applyNumberFormat="1" applyFont="1" applyFill="1" applyAlignment="1">
      <alignment horizontal="center"/>
    </xf>
    <xf numFmtId="2" fontId="17" fillId="13" borderId="0" xfId="0" applyNumberFormat="1" applyFont="1" applyFill="1" applyAlignment="1">
      <alignment horizontal="center"/>
    </xf>
    <xf numFmtId="13" fontId="17" fillId="13" borderId="0" xfId="0" applyNumberFormat="1" applyFont="1" applyFill="1" applyAlignment="1">
      <alignment horizontal="center"/>
    </xf>
    <xf numFmtId="165" fontId="17" fillId="13" borderId="0" xfId="0" applyNumberFormat="1" applyFont="1" applyFill="1" applyAlignment="1">
      <alignment horizontal="center"/>
    </xf>
    <xf numFmtId="13" fontId="17" fillId="13" borderId="0" xfId="0" applyNumberFormat="1" applyFont="1" applyFill="1" applyAlignment="1">
      <alignment horizontal="center" vertical="center"/>
    </xf>
    <xf numFmtId="165" fontId="17" fillId="13" borderId="0" xfId="0" applyNumberFormat="1" applyFont="1" applyFill="1" applyAlignment="1" applyProtection="1">
      <alignment horizontal="center"/>
      <protection locked="0"/>
    </xf>
    <xf numFmtId="13" fontId="17" fillId="13" borderId="0" xfId="0" applyNumberFormat="1" applyFont="1" applyFill="1" applyAlignment="1" applyProtection="1">
      <alignment horizontal="center" vertical="center"/>
      <protection locked="0"/>
    </xf>
    <xf numFmtId="166" fontId="17" fillId="13" borderId="0" xfId="0" applyNumberFormat="1" applyFont="1" applyFill="1" applyAlignment="1">
      <alignment horizontal="center"/>
    </xf>
    <xf numFmtId="1" fontId="17" fillId="13" borderId="0" xfId="0" applyNumberFormat="1" applyFont="1" applyFill="1" applyAlignment="1">
      <alignment horizontal="center"/>
    </xf>
    <xf numFmtId="2" fontId="17" fillId="13" borderId="0" xfId="0" applyNumberFormat="1" applyFont="1" applyFill="1" applyAlignment="1" applyProtection="1">
      <alignment horizontal="center"/>
      <protection locked="0"/>
    </xf>
    <xf numFmtId="13" fontId="17" fillId="13" borderId="0" xfId="0" applyNumberFormat="1" applyFont="1" applyFill="1"/>
    <xf numFmtId="0" fontId="15" fillId="13" borderId="0" xfId="0" applyFont="1" applyFill="1" applyAlignment="1">
      <alignment horizontal="center" vertical="center"/>
    </xf>
    <xf numFmtId="0" fontId="15" fillId="11" borderId="10" xfId="0" applyFont="1" applyFill="1" applyBorder="1" applyAlignment="1">
      <alignment horizontal="center" vertical="center"/>
    </xf>
    <xf numFmtId="0" fontId="16" fillId="15" borderId="33" xfId="0" applyFont="1" applyFill="1" applyBorder="1" applyAlignment="1">
      <alignment horizontal="center" vertical="center"/>
    </xf>
    <xf numFmtId="0" fontId="15" fillId="17" borderId="33" xfId="0" applyFont="1" applyFill="1" applyBorder="1" applyAlignment="1">
      <alignment horizontal="center" vertical="center"/>
    </xf>
    <xf numFmtId="0" fontId="15" fillId="11" borderId="33" xfId="0" applyFont="1" applyFill="1" applyBorder="1" applyAlignment="1">
      <alignment horizontal="center" vertical="center"/>
    </xf>
    <xf numFmtId="0" fontId="16" fillId="16" borderId="10" xfId="0" applyFont="1" applyFill="1" applyBorder="1" applyAlignment="1">
      <alignment horizontal="center" vertical="center" wrapText="1"/>
    </xf>
    <xf numFmtId="0" fontId="22" fillId="13" borderId="0" xfId="0" applyFont="1" applyFill="1" applyAlignment="1">
      <alignment horizontal="center" vertical="center"/>
    </xf>
    <xf numFmtId="0" fontId="15" fillId="8" borderId="0" xfId="0" applyFont="1" applyFill="1" applyAlignment="1">
      <alignment horizontal="center" vertical="center"/>
    </xf>
    <xf numFmtId="0" fontId="15" fillId="11" borderId="0" xfId="0" applyFont="1" applyFill="1" applyAlignment="1">
      <alignment horizontal="center" vertical="center"/>
    </xf>
    <xf numFmtId="0" fontId="15" fillId="13" borderId="0" xfId="0" applyFont="1" applyFill="1"/>
    <xf numFmtId="0" fontId="19" fillId="14" borderId="10" xfId="0" applyFont="1" applyFill="1" applyBorder="1" applyAlignment="1">
      <alignment horizontal="center" vertical="center"/>
    </xf>
    <xf numFmtId="0" fontId="19" fillId="14" borderId="10" xfId="0" applyFont="1" applyFill="1" applyBorder="1" applyAlignment="1">
      <alignment horizontal="left" vertical="center"/>
    </xf>
    <xf numFmtId="0" fontId="18" fillId="13" borderId="0" xfId="0" applyFont="1" applyFill="1" applyAlignment="1">
      <alignment vertical="center"/>
    </xf>
    <xf numFmtId="0" fontId="18" fillId="13" borderId="0" xfId="0" applyFont="1" applyFill="1" applyAlignment="1">
      <alignment horizontal="center" vertical="center"/>
    </xf>
    <xf numFmtId="0" fontId="15" fillId="0" borderId="0" xfId="0" applyFont="1" applyAlignment="1">
      <alignment horizontal="center" vertical="center"/>
    </xf>
    <xf numFmtId="166" fontId="15" fillId="0" borderId="0" xfId="0" applyNumberFormat="1" applyFont="1" applyAlignment="1">
      <alignment horizontal="center" vertical="center"/>
    </xf>
    <xf numFmtId="0" fontId="15" fillId="0" borderId="0" xfId="0" applyFont="1" applyAlignment="1">
      <alignment horizontal="left" vertical="center"/>
    </xf>
    <xf numFmtId="0" fontId="22" fillId="0" borderId="0" xfId="0" applyFont="1" applyAlignment="1">
      <alignment horizontal="center" vertical="center"/>
    </xf>
    <xf numFmtId="165" fontId="15" fillId="0" borderId="0" xfId="0" applyNumberFormat="1" applyFont="1" applyAlignment="1">
      <alignment horizontal="center" vertical="center"/>
    </xf>
    <xf numFmtId="2" fontId="15" fillId="0" borderId="0" xfId="0" applyNumberFormat="1" applyFont="1" applyAlignment="1">
      <alignment horizontal="center" vertical="center"/>
    </xf>
    <xf numFmtId="0" fontId="15" fillId="0" borderId="11" xfId="0" applyFont="1" applyBorder="1" applyAlignment="1">
      <alignment horizontal="center" vertical="center"/>
    </xf>
    <xf numFmtId="0" fontId="15" fillId="0" borderId="12" xfId="0" applyFont="1" applyBorder="1" applyAlignment="1">
      <alignment horizontal="center" vertical="center"/>
    </xf>
    <xf numFmtId="0" fontId="15" fillId="0" borderId="20" xfId="0" applyFont="1" applyBorder="1" applyAlignment="1">
      <alignment horizontal="center" vertical="center"/>
    </xf>
    <xf numFmtId="0" fontId="22" fillId="0" borderId="12" xfId="0" applyFont="1" applyBorder="1" applyAlignment="1">
      <alignment horizontal="center" vertical="center"/>
    </xf>
    <xf numFmtId="0" fontId="22" fillId="0" borderId="13" xfId="0" applyFont="1" applyBorder="1" applyAlignment="1">
      <alignment horizontal="center" vertical="center"/>
    </xf>
    <xf numFmtId="0" fontId="16" fillId="5" borderId="12" xfId="0" applyFont="1" applyFill="1" applyBorder="1" applyAlignment="1">
      <alignment horizontal="center" vertical="center"/>
    </xf>
    <xf numFmtId="0" fontId="16" fillId="5" borderId="13" xfId="0" applyFont="1" applyFill="1" applyBorder="1" applyAlignment="1">
      <alignment horizontal="center" vertical="center"/>
    </xf>
    <xf numFmtId="0" fontId="16" fillId="5" borderId="8" xfId="0" applyFont="1" applyFill="1" applyBorder="1" applyAlignment="1">
      <alignment horizontal="center" vertical="center"/>
    </xf>
    <xf numFmtId="0" fontId="16" fillId="5" borderId="0" xfId="0" applyFont="1" applyFill="1" applyAlignment="1">
      <alignment horizontal="center" vertical="center"/>
    </xf>
    <xf numFmtId="0" fontId="15" fillId="0" borderId="2" xfId="0" applyFont="1" applyBorder="1" applyAlignment="1">
      <alignment horizontal="center" vertical="center"/>
    </xf>
    <xf numFmtId="0" fontId="15" fillId="0" borderId="3" xfId="0" applyFont="1" applyBorder="1" applyAlignment="1">
      <alignment horizontal="center" vertical="center"/>
    </xf>
    <xf numFmtId="2" fontId="15" fillId="0" borderId="3" xfId="0" applyNumberFormat="1" applyFont="1" applyBorder="1" applyAlignment="1">
      <alignment horizontal="center" vertical="center"/>
    </xf>
    <xf numFmtId="1" fontId="15" fillId="0" borderId="3" xfId="0" applyNumberFormat="1" applyFont="1" applyBorder="1" applyAlignment="1">
      <alignment horizontal="center" vertical="center"/>
    </xf>
    <xf numFmtId="2" fontId="15" fillId="0" borderId="2" xfId="0" applyNumberFormat="1" applyFont="1" applyBorder="1" applyAlignment="1">
      <alignment horizontal="center" vertical="center"/>
    </xf>
    <xf numFmtId="2" fontId="15" fillId="0" borderId="21"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15" fillId="0" borderId="4" xfId="0" applyNumberFormat="1" applyFont="1" applyBorder="1" applyAlignment="1">
      <alignment horizontal="center" vertical="center"/>
    </xf>
    <xf numFmtId="0" fontId="30" fillId="0" borderId="5" xfId="0" applyFont="1" applyBorder="1" applyAlignment="1">
      <alignment horizontal="center" vertical="center"/>
    </xf>
    <xf numFmtId="0" fontId="30" fillId="0" borderId="0" xfId="0" applyFont="1" applyAlignment="1">
      <alignment horizontal="center" vertical="center"/>
    </xf>
    <xf numFmtId="2" fontId="30" fillId="0" borderId="0" xfId="0" applyNumberFormat="1" applyFont="1" applyAlignment="1">
      <alignment horizontal="center" vertical="center"/>
    </xf>
    <xf numFmtId="1" fontId="15" fillId="0" borderId="0" xfId="0" applyNumberFormat="1" applyFont="1" applyAlignment="1">
      <alignment horizontal="center" vertical="center"/>
    </xf>
    <xf numFmtId="2" fontId="30" fillId="0" borderId="5" xfId="0" applyNumberFormat="1" applyFont="1" applyBorder="1" applyAlignment="1">
      <alignment horizontal="center" vertical="center"/>
    </xf>
    <xf numFmtId="2" fontId="30" fillId="0" borderId="22" xfId="0" applyNumberFormat="1" applyFont="1" applyBorder="1" applyAlignment="1">
      <alignment horizontal="center" vertical="center"/>
    </xf>
    <xf numFmtId="2" fontId="31" fillId="0" borderId="0" xfId="0" applyNumberFormat="1" applyFont="1" applyAlignment="1">
      <alignment horizontal="center" vertical="center"/>
    </xf>
    <xf numFmtId="2" fontId="31" fillId="0" borderId="6" xfId="0" applyNumberFormat="1" applyFont="1" applyBorder="1" applyAlignment="1">
      <alignment horizontal="center" vertical="center"/>
    </xf>
    <xf numFmtId="2" fontId="15" fillId="0" borderId="22" xfId="0" applyNumberFormat="1" applyFont="1" applyBorder="1" applyAlignment="1">
      <alignment horizontal="center" vertical="center"/>
    </xf>
    <xf numFmtId="2" fontId="22" fillId="0" borderId="0" xfId="0" applyNumberFormat="1" applyFont="1" applyAlignment="1">
      <alignment horizontal="center" vertical="center"/>
    </xf>
    <xf numFmtId="2" fontId="22" fillId="0" borderId="6" xfId="0" applyNumberFormat="1" applyFont="1" applyBorder="1" applyAlignment="1">
      <alignment horizontal="center" vertical="center"/>
    </xf>
    <xf numFmtId="2" fontId="15" fillId="0" borderId="5" xfId="0" applyNumberFormat="1" applyFont="1" applyBorder="1" applyAlignment="1">
      <alignment horizontal="center" vertical="center"/>
    </xf>
    <xf numFmtId="2" fontId="15" fillId="0" borderId="6" xfId="0" applyNumberFormat="1" applyFont="1" applyBorder="1" applyAlignment="1">
      <alignment horizontal="center" vertical="center"/>
    </xf>
    <xf numFmtId="0" fontId="30" fillId="0" borderId="7" xfId="0" applyFont="1" applyBorder="1" applyAlignment="1">
      <alignment horizontal="center" vertical="center"/>
    </xf>
    <xf numFmtId="166" fontId="30" fillId="0" borderId="8" xfId="0" applyNumberFormat="1" applyFont="1" applyBorder="1" applyAlignment="1">
      <alignment horizontal="center" vertical="center"/>
    </xf>
    <xf numFmtId="2" fontId="30" fillId="0" borderId="8" xfId="0" applyNumberFormat="1" applyFont="1" applyBorder="1" applyAlignment="1">
      <alignment horizontal="center" vertical="center"/>
    </xf>
    <xf numFmtId="0" fontId="30" fillId="0" borderId="8" xfId="0" applyFont="1" applyBorder="1" applyAlignment="1">
      <alignment horizontal="center" vertical="center"/>
    </xf>
    <xf numFmtId="1" fontId="15" fillId="0" borderId="8" xfId="0" applyNumberFormat="1" applyFont="1" applyBorder="1" applyAlignment="1">
      <alignment horizontal="center" vertical="center"/>
    </xf>
    <xf numFmtId="2" fontId="15" fillId="0" borderId="8" xfId="0" applyNumberFormat="1" applyFont="1" applyBorder="1" applyAlignment="1">
      <alignment horizontal="center" vertical="center"/>
    </xf>
    <xf numFmtId="2" fontId="30" fillId="0" borderId="7" xfId="0" applyNumberFormat="1" applyFont="1" applyBorder="1" applyAlignment="1">
      <alignment horizontal="center" vertical="center"/>
    </xf>
    <xf numFmtId="2" fontId="30" fillId="0" borderId="23" xfId="0" applyNumberFormat="1" applyFont="1" applyBorder="1" applyAlignment="1">
      <alignment horizontal="center" vertical="center"/>
    </xf>
    <xf numFmtId="2" fontId="31" fillId="0" borderId="8" xfId="0" applyNumberFormat="1" applyFont="1" applyBorder="1" applyAlignment="1">
      <alignment horizontal="center" vertical="center"/>
    </xf>
    <xf numFmtId="2" fontId="31" fillId="0" borderId="9" xfId="0" applyNumberFormat="1" applyFont="1" applyBorder="1" applyAlignment="1">
      <alignment horizontal="center" vertical="center"/>
    </xf>
    <xf numFmtId="2" fontId="15" fillId="0" borderId="23" xfId="0" applyNumberFormat="1" applyFont="1" applyBorder="1" applyAlignment="1">
      <alignment horizontal="center" vertical="center"/>
    </xf>
    <xf numFmtId="2" fontId="22" fillId="0" borderId="8" xfId="0" applyNumberFormat="1" applyFont="1" applyBorder="1" applyAlignment="1">
      <alignment horizontal="center" vertical="center"/>
    </xf>
    <xf numFmtId="2" fontId="22" fillId="0" borderId="9" xfId="0" applyNumberFormat="1" applyFont="1" applyBorder="1" applyAlignment="1">
      <alignment horizontal="center" vertical="center"/>
    </xf>
    <xf numFmtId="2" fontId="15" fillId="0" borderId="7" xfId="0" applyNumberFormat="1" applyFont="1" applyBorder="1" applyAlignment="1">
      <alignment horizontal="center" vertical="center"/>
    </xf>
    <xf numFmtId="2" fontId="15" fillId="0" borderId="9" xfId="0" applyNumberFormat="1" applyFont="1" applyBorder="1" applyAlignment="1">
      <alignment horizontal="center" vertical="center"/>
    </xf>
    <xf numFmtId="0" fontId="17" fillId="0" borderId="0" xfId="0" applyFont="1" applyAlignment="1">
      <alignment horizontal="center" vertical="center"/>
    </xf>
    <xf numFmtId="165" fontId="30" fillId="0" borderId="8" xfId="0" applyNumberFormat="1" applyFont="1" applyBorder="1" applyAlignment="1">
      <alignment horizontal="center" vertical="center"/>
    </xf>
    <xf numFmtId="167" fontId="15" fillId="0" borderId="0" xfId="0" applyNumberFormat="1" applyFont="1" applyAlignment="1">
      <alignment horizontal="center" vertical="center"/>
    </xf>
    <xf numFmtId="0" fontId="15" fillId="6" borderId="2" xfId="0" applyFont="1" applyFill="1" applyBorder="1" applyAlignment="1">
      <alignment horizontal="center" vertical="center"/>
    </xf>
    <xf numFmtId="0" fontId="15" fillId="6" borderId="3" xfId="0" applyFont="1" applyFill="1" applyBorder="1" applyAlignment="1">
      <alignment horizontal="center" vertical="center"/>
    </xf>
    <xf numFmtId="165" fontId="15" fillId="6" borderId="3" xfId="0" applyNumberFormat="1" applyFont="1" applyFill="1" applyBorder="1" applyAlignment="1">
      <alignment horizontal="center" vertical="center"/>
    </xf>
    <xf numFmtId="2" fontId="30" fillId="6" borderId="8" xfId="0" applyNumberFormat="1" applyFont="1" applyFill="1" applyBorder="1" applyAlignment="1">
      <alignment horizontal="center" vertical="center"/>
    </xf>
    <xf numFmtId="2" fontId="15" fillId="6" borderId="3" xfId="0" applyNumberFormat="1" applyFont="1" applyFill="1" applyBorder="1" applyAlignment="1">
      <alignment horizontal="center" vertical="center"/>
    </xf>
    <xf numFmtId="1" fontId="15" fillId="6" borderId="3" xfId="0" applyNumberFormat="1" applyFont="1" applyFill="1" applyBorder="1" applyAlignment="1">
      <alignment horizontal="center" vertical="center"/>
    </xf>
    <xf numFmtId="166" fontId="15" fillId="6" borderId="3" xfId="0" applyNumberFormat="1" applyFont="1" applyFill="1" applyBorder="1" applyAlignment="1">
      <alignment horizontal="center" vertical="center"/>
    </xf>
    <xf numFmtId="2" fontId="15" fillId="6" borderId="2" xfId="0" applyNumberFormat="1" applyFont="1" applyFill="1" applyBorder="1" applyAlignment="1">
      <alignment horizontal="center" vertical="center"/>
    </xf>
    <xf numFmtId="2" fontId="15" fillId="6" borderId="21" xfId="0" applyNumberFormat="1" applyFont="1" applyFill="1" applyBorder="1" applyAlignment="1">
      <alignment horizontal="center" vertical="center"/>
    </xf>
    <xf numFmtId="2" fontId="22" fillId="6" borderId="3" xfId="0" applyNumberFormat="1" applyFont="1" applyFill="1" applyBorder="1" applyAlignment="1">
      <alignment horizontal="center" vertical="center"/>
    </xf>
    <xf numFmtId="2" fontId="22" fillId="6" borderId="4" xfId="0" applyNumberFormat="1" applyFont="1" applyFill="1" applyBorder="1" applyAlignment="1">
      <alignment horizontal="center" vertical="center"/>
    </xf>
    <xf numFmtId="2" fontId="15" fillId="6" borderId="4" xfId="0" applyNumberFormat="1" applyFont="1" applyFill="1" applyBorder="1" applyAlignment="1">
      <alignment horizontal="center" vertical="center"/>
    </xf>
    <xf numFmtId="168" fontId="15" fillId="6" borderId="0" xfId="0" applyNumberFormat="1" applyFont="1" applyFill="1" applyAlignment="1">
      <alignment horizontal="center" vertical="center"/>
    </xf>
    <xf numFmtId="166" fontId="15" fillId="6" borderId="0" xfId="0" applyNumberFormat="1" applyFont="1" applyFill="1" applyAlignment="1">
      <alignment horizontal="center" vertical="center"/>
    </xf>
    <xf numFmtId="0" fontId="15" fillId="6" borderId="0" xfId="0" applyFont="1" applyFill="1" applyAlignment="1">
      <alignment horizontal="center" vertical="center"/>
    </xf>
    <xf numFmtId="2" fontId="30" fillId="6" borderId="24" xfId="0" applyNumberFormat="1" applyFont="1" applyFill="1" applyBorder="1" applyAlignment="1">
      <alignment horizontal="center" vertical="center"/>
    </xf>
    <xf numFmtId="2" fontId="30" fillId="6" borderId="25" xfId="0" applyNumberFormat="1" applyFont="1" applyFill="1" applyBorder="1" applyAlignment="1">
      <alignment horizontal="center" vertical="center"/>
    </xf>
    <xf numFmtId="166" fontId="30" fillId="0" borderId="0" xfId="0" applyNumberFormat="1" applyFont="1" applyAlignment="1">
      <alignment horizontal="center" vertical="center"/>
    </xf>
    <xf numFmtId="2" fontId="30" fillId="0" borderId="24" xfId="0" applyNumberFormat="1" applyFont="1" applyBorder="1" applyAlignment="1">
      <alignment horizontal="center" vertical="center"/>
    </xf>
    <xf numFmtId="2" fontId="30" fillId="0" borderId="25" xfId="0" applyNumberFormat="1" applyFont="1" applyBorder="1" applyAlignment="1">
      <alignment horizontal="center" vertical="center"/>
    </xf>
    <xf numFmtId="0" fontId="15" fillId="0" borderId="7" xfId="0" applyFont="1" applyBorder="1" applyAlignment="1">
      <alignment horizontal="center" vertical="center"/>
    </xf>
    <xf numFmtId="166" fontId="15" fillId="0" borderId="8" xfId="0" applyNumberFormat="1" applyFont="1" applyBorder="1" applyAlignment="1">
      <alignment horizontal="center" vertical="center"/>
    </xf>
    <xf numFmtId="0" fontId="15" fillId="0" borderId="8" xfId="0" applyFont="1" applyBorder="1" applyAlignment="1">
      <alignment horizontal="center" vertical="center"/>
    </xf>
    <xf numFmtId="0" fontId="17" fillId="0" borderId="7" xfId="0" applyFont="1" applyBorder="1" applyAlignment="1">
      <alignment horizontal="center" vertical="center"/>
    </xf>
    <xf numFmtId="166" fontId="17" fillId="0" borderId="8" xfId="0" applyNumberFormat="1" applyFont="1" applyBorder="1" applyAlignment="1">
      <alignment horizontal="center" vertical="center"/>
    </xf>
    <xf numFmtId="2" fontId="17" fillId="0" borderId="8" xfId="0" applyNumberFormat="1" applyFont="1" applyBorder="1" applyAlignment="1">
      <alignment horizontal="center" vertical="center"/>
    </xf>
    <xf numFmtId="0" fontId="17" fillId="0" borderId="8" xfId="0" applyFont="1" applyBorder="1" applyAlignment="1">
      <alignment horizontal="center" vertical="center"/>
    </xf>
    <xf numFmtId="1" fontId="17" fillId="0" borderId="8" xfId="0" applyNumberFormat="1" applyFont="1" applyBorder="1" applyAlignment="1">
      <alignment horizontal="center" vertical="center"/>
    </xf>
    <xf numFmtId="2" fontId="17" fillId="0" borderId="7" xfId="0" applyNumberFormat="1" applyFont="1" applyBorder="1" applyAlignment="1">
      <alignment horizontal="center" vertical="center"/>
    </xf>
    <xf numFmtId="2" fontId="17" fillId="0" borderId="23" xfId="0" applyNumberFormat="1" applyFont="1" applyBorder="1" applyAlignment="1">
      <alignment horizontal="center" vertical="center"/>
    </xf>
    <xf numFmtId="2" fontId="32" fillId="0" borderId="8" xfId="0" applyNumberFormat="1" applyFont="1" applyBorder="1" applyAlignment="1">
      <alignment horizontal="center" vertical="center"/>
    </xf>
    <xf numFmtId="2" fontId="32" fillId="0" borderId="9" xfId="0" applyNumberFormat="1" applyFont="1" applyBorder="1" applyAlignment="1">
      <alignment horizontal="center" vertical="center"/>
    </xf>
    <xf numFmtId="2" fontId="17" fillId="0" borderId="9" xfId="0" applyNumberFormat="1" applyFont="1" applyBorder="1" applyAlignment="1">
      <alignment horizontal="center" vertical="center"/>
    </xf>
    <xf numFmtId="166" fontId="17" fillId="0" borderId="0" xfId="0" applyNumberFormat="1" applyFont="1" applyAlignment="1">
      <alignment horizontal="center" vertical="center"/>
    </xf>
    <xf numFmtId="0" fontId="33" fillId="0" borderId="2" xfId="0" applyFont="1" applyBorder="1" applyAlignment="1">
      <alignment horizontal="center" vertical="center"/>
    </xf>
    <xf numFmtId="0" fontId="33" fillId="0" borderId="3" xfId="0" applyFont="1" applyBorder="1" applyAlignment="1">
      <alignment horizontal="center" vertical="center"/>
    </xf>
    <xf numFmtId="2" fontId="33" fillId="0" borderId="3" xfId="0" applyNumberFormat="1" applyFont="1" applyBorder="1" applyAlignment="1">
      <alignment horizontal="center" vertical="center"/>
    </xf>
    <xf numFmtId="1" fontId="33" fillId="0" borderId="3" xfId="0" applyNumberFormat="1" applyFont="1" applyBorder="1" applyAlignment="1">
      <alignment horizontal="center" vertical="center"/>
    </xf>
    <xf numFmtId="2" fontId="33" fillId="0" borderId="2" xfId="0" applyNumberFormat="1" applyFont="1" applyBorder="1" applyAlignment="1">
      <alignment horizontal="center" vertical="center"/>
    </xf>
    <xf numFmtId="2" fontId="33" fillId="0" borderId="21" xfId="0" applyNumberFormat="1" applyFont="1" applyBorder="1" applyAlignment="1">
      <alignment horizontal="center" vertical="center"/>
    </xf>
    <xf numFmtId="2" fontId="34" fillId="0" borderId="3" xfId="0" applyNumberFormat="1" applyFont="1" applyBorder="1" applyAlignment="1">
      <alignment horizontal="center" vertical="center"/>
    </xf>
    <xf numFmtId="2" fontId="34" fillId="0" borderId="4" xfId="0" applyNumberFormat="1" applyFont="1" applyBorder="1" applyAlignment="1">
      <alignment horizontal="center" vertical="center"/>
    </xf>
    <xf numFmtId="2" fontId="33" fillId="0" borderId="4" xfId="0" applyNumberFormat="1" applyFont="1" applyBorder="1" applyAlignment="1">
      <alignment horizontal="center" vertical="center"/>
    </xf>
    <xf numFmtId="0" fontId="33" fillId="0" borderId="0" xfId="0" applyFont="1" applyAlignment="1">
      <alignment horizontal="center" vertical="center"/>
    </xf>
    <xf numFmtId="0" fontId="35" fillId="0" borderId="2" xfId="0" applyFont="1" applyBorder="1" applyAlignment="1">
      <alignment horizontal="center" vertical="center"/>
    </xf>
    <xf numFmtId="0" fontId="35" fillId="0" borderId="3" xfId="0" applyFont="1" applyBorder="1" applyAlignment="1">
      <alignment horizontal="center" vertical="center"/>
    </xf>
    <xf numFmtId="2" fontId="35" fillId="0" borderId="3" xfId="0" applyNumberFormat="1" applyFont="1" applyBorder="1" applyAlignment="1">
      <alignment horizontal="center" vertical="center"/>
    </xf>
    <xf numFmtId="1" fontId="35" fillId="0" borderId="3" xfId="0" applyNumberFormat="1" applyFont="1" applyBorder="1" applyAlignment="1">
      <alignment horizontal="center" vertical="center"/>
    </xf>
    <xf numFmtId="2" fontId="35" fillId="0" borderId="2" xfId="0" applyNumberFormat="1" applyFont="1" applyBorder="1" applyAlignment="1">
      <alignment horizontal="center" vertical="center"/>
    </xf>
    <xf numFmtId="2" fontId="35" fillId="0" borderId="21" xfId="0" applyNumberFormat="1" applyFont="1" applyBorder="1" applyAlignment="1">
      <alignment horizontal="center" vertical="center"/>
    </xf>
    <xf numFmtId="2" fontId="36" fillId="0" borderId="3" xfId="0" applyNumberFormat="1" applyFont="1" applyBorder="1" applyAlignment="1">
      <alignment horizontal="center" vertical="center"/>
    </xf>
    <xf numFmtId="2" fontId="36" fillId="0" borderId="4" xfId="0" applyNumberFormat="1" applyFont="1" applyBorder="1" applyAlignment="1">
      <alignment horizontal="center" vertical="center"/>
    </xf>
    <xf numFmtId="2" fontId="35" fillId="0" borderId="4" xfId="0" applyNumberFormat="1" applyFont="1" applyBorder="1" applyAlignment="1">
      <alignment horizontal="center" vertical="center"/>
    </xf>
    <xf numFmtId="0" fontId="35" fillId="0" borderId="0" xfId="0" applyFont="1" applyAlignment="1">
      <alignment horizontal="center" vertical="center"/>
    </xf>
    <xf numFmtId="0" fontId="15" fillId="17" borderId="0" xfId="0" applyFont="1" applyFill="1" applyAlignment="1">
      <alignment vertical="center"/>
    </xf>
    <xf numFmtId="0" fontId="15" fillId="17" borderId="0" xfId="0" applyFont="1" applyFill="1" applyAlignment="1">
      <alignment horizontal="center" vertical="center"/>
    </xf>
    <xf numFmtId="0" fontId="15" fillId="17" borderId="29" xfId="0" applyFont="1" applyFill="1" applyBorder="1" applyAlignment="1">
      <alignment horizontal="center" vertical="center"/>
    </xf>
    <xf numFmtId="0" fontId="15" fillId="17" borderId="22" xfId="0" applyFont="1" applyFill="1" applyBorder="1" applyAlignment="1">
      <alignment horizontal="center" vertical="center"/>
    </xf>
    <xf numFmtId="9" fontId="22" fillId="13" borderId="0" xfId="2" applyFont="1" applyFill="1" applyBorder="1" applyAlignment="1">
      <alignment horizontal="center" vertical="center"/>
    </xf>
    <xf numFmtId="166" fontId="22" fillId="13" borderId="0" xfId="0" applyNumberFormat="1" applyFont="1" applyFill="1" applyAlignment="1">
      <alignment horizontal="center" vertical="center"/>
    </xf>
    <xf numFmtId="9" fontId="16" fillId="15" borderId="10" xfId="2" applyFont="1" applyFill="1" applyBorder="1" applyAlignment="1">
      <alignment horizontal="center" vertical="center"/>
    </xf>
    <xf numFmtId="166" fontId="16" fillId="15" borderId="10" xfId="0" applyNumberFormat="1" applyFont="1" applyFill="1" applyBorder="1" applyAlignment="1">
      <alignment horizontal="center" vertical="center"/>
    </xf>
    <xf numFmtId="9" fontId="15" fillId="17" borderId="0" xfId="2" applyFont="1" applyFill="1" applyAlignment="1">
      <alignment horizontal="center" vertical="center"/>
    </xf>
    <xf numFmtId="166" fontId="15" fillId="17" borderId="0" xfId="0" applyNumberFormat="1" applyFont="1" applyFill="1" applyAlignment="1">
      <alignment horizontal="center" vertical="center"/>
    </xf>
    <xf numFmtId="166" fontId="15" fillId="17" borderId="22" xfId="0" applyNumberFormat="1" applyFont="1" applyFill="1" applyBorder="1" applyAlignment="1">
      <alignment horizontal="center" vertical="center"/>
    </xf>
    <xf numFmtId="166" fontId="15" fillId="17" borderId="37" xfId="0" quotePrefix="1" applyNumberFormat="1" applyFont="1" applyFill="1" applyBorder="1" applyAlignment="1">
      <alignment horizontal="center" vertical="center"/>
    </xf>
    <xf numFmtId="0" fontId="15" fillId="17" borderId="31" xfId="0" applyFont="1" applyFill="1" applyBorder="1" applyAlignment="1">
      <alignment horizontal="center" vertical="center"/>
    </xf>
    <xf numFmtId="0" fontId="15" fillId="17" borderId="28" xfId="0" applyFont="1" applyFill="1" applyBorder="1" applyAlignment="1">
      <alignment horizontal="center" vertical="center"/>
    </xf>
    <xf numFmtId="0" fontId="15" fillId="17" borderId="30" xfId="0" applyFont="1" applyFill="1" applyBorder="1" applyAlignment="1">
      <alignment horizontal="center" vertical="center"/>
    </xf>
    <xf numFmtId="9" fontId="15" fillId="17" borderId="28" xfId="2" applyFont="1" applyFill="1" applyBorder="1" applyAlignment="1">
      <alignment horizontal="center" vertical="center"/>
    </xf>
    <xf numFmtId="166" fontId="15" fillId="17" borderId="28" xfId="0" applyNumberFormat="1" applyFont="1" applyFill="1" applyBorder="1" applyAlignment="1">
      <alignment horizontal="center" vertical="center"/>
    </xf>
    <xf numFmtId="166" fontId="15" fillId="17" borderId="30" xfId="0" applyNumberFormat="1" applyFont="1" applyFill="1" applyBorder="1" applyAlignment="1">
      <alignment horizontal="center" vertical="center"/>
    </xf>
    <xf numFmtId="166" fontId="15" fillId="17" borderId="14" xfId="0" quotePrefix="1" applyNumberFormat="1" applyFont="1" applyFill="1" applyBorder="1" applyAlignment="1">
      <alignment horizontal="center" vertical="center"/>
    </xf>
    <xf numFmtId="9" fontId="15" fillId="13" borderId="0" xfId="2" applyFont="1" applyFill="1" applyBorder="1" applyAlignment="1">
      <alignment horizontal="center" vertical="center"/>
    </xf>
    <xf numFmtId="166" fontId="15" fillId="13" borderId="0" xfId="0" applyNumberFormat="1" applyFont="1" applyFill="1" applyAlignment="1">
      <alignment horizontal="center" vertical="center"/>
    </xf>
    <xf numFmtId="0" fontId="16" fillId="15" borderId="32" xfId="0" applyFont="1" applyFill="1" applyBorder="1" applyAlignment="1">
      <alignment horizontal="center" vertical="center" wrapText="1"/>
    </xf>
    <xf numFmtId="0" fontId="15" fillId="17" borderId="34" xfId="0" applyFont="1" applyFill="1" applyBorder="1" applyAlignment="1">
      <alignment vertical="center"/>
    </xf>
    <xf numFmtId="0" fontId="15" fillId="17" borderId="34" xfId="0" applyFont="1" applyFill="1" applyBorder="1" applyAlignment="1">
      <alignment horizontal="center" vertical="center"/>
    </xf>
    <xf numFmtId="0" fontId="15" fillId="17" borderId="35" xfId="0" applyFont="1" applyFill="1" applyBorder="1" applyAlignment="1">
      <alignment horizontal="center" vertical="center"/>
    </xf>
    <xf numFmtId="0" fontId="15" fillId="17" borderId="36" xfId="0" applyFont="1" applyFill="1" applyBorder="1" applyAlignment="1">
      <alignment horizontal="center" vertical="center"/>
    </xf>
    <xf numFmtId="0" fontId="15" fillId="17" borderId="29" xfId="0" applyFont="1" applyFill="1" applyBorder="1" applyAlignment="1">
      <alignment vertical="center"/>
    </xf>
    <xf numFmtId="0" fontId="15" fillId="17" borderId="31" xfId="0" applyFont="1" applyFill="1" applyBorder="1" applyAlignment="1">
      <alignment vertical="center"/>
    </xf>
    <xf numFmtId="0" fontId="15" fillId="19" borderId="46" xfId="0" applyFont="1" applyFill="1" applyBorder="1" applyAlignment="1">
      <alignment horizontal="center" vertical="center"/>
    </xf>
    <xf numFmtId="0" fontId="18" fillId="13" borderId="54" xfId="0" applyFont="1" applyFill="1" applyBorder="1" applyAlignment="1">
      <alignment horizontal="center" vertical="center"/>
    </xf>
    <xf numFmtId="0" fontId="18" fillId="13" borderId="55" xfId="0" applyFont="1" applyFill="1" applyBorder="1" applyAlignment="1">
      <alignment horizontal="center" vertical="center"/>
    </xf>
    <xf numFmtId="0" fontId="18" fillId="13" borderId="56" xfId="0" applyFont="1" applyFill="1" applyBorder="1" applyAlignment="1">
      <alignment horizontal="center" vertical="center"/>
    </xf>
    <xf numFmtId="0" fontId="18" fillId="13" borderId="62" xfId="0" applyFont="1" applyFill="1" applyBorder="1" applyAlignment="1">
      <alignment horizontal="center" vertical="center"/>
    </xf>
    <xf numFmtId="0" fontId="22" fillId="13" borderId="63" xfId="0" applyFont="1" applyFill="1" applyBorder="1" applyAlignment="1">
      <alignment horizontal="center" vertical="center"/>
    </xf>
    <xf numFmtId="0" fontId="18" fillId="13" borderId="56" xfId="0" applyFont="1" applyFill="1" applyBorder="1" applyAlignment="1">
      <alignment horizontal="left" vertical="center"/>
    </xf>
    <xf numFmtId="0" fontId="16" fillId="20" borderId="10" xfId="0" applyFont="1" applyFill="1" applyBorder="1" applyAlignment="1">
      <alignment horizontal="center" vertical="center"/>
    </xf>
    <xf numFmtId="0" fontId="15" fillId="19" borderId="39" xfId="0" applyFont="1" applyFill="1" applyBorder="1" applyAlignment="1">
      <alignment horizontal="left" vertical="center" indent="1"/>
    </xf>
    <xf numFmtId="0" fontId="17" fillId="19" borderId="43" xfId="0" applyFont="1" applyFill="1" applyBorder="1" applyAlignment="1">
      <alignment horizontal="left" vertical="center" indent="1"/>
    </xf>
    <xf numFmtId="0" fontId="15" fillId="19" borderId="43" xfId="0" applyFont="1" applyFill="1" applyBorder="1" applyAlignment="1">
      <alignment horizontal="left" vertical="center" indent="1"/>
    </xf>
    <xf numFmtId="0" fontId="17" fillId="19" borderId="47" xfId="0" applyFont="1" applyFill="1" applyBorder="1" applyAlignment="1">
      <alignment horizontal="left" vertical="center" indent="1"/>
    </xf>
    <xf numFmtId="0" fontId="15" fillId="19" borderId="47" xfId="0" applyFont="1" applyFill="1" applyBorder="1" applyAlignment="1">
      <alignment horizontal="left" vertical="center" indent="1"/>
    </xf>
    <xf numFmtId="0" fontId="17" fillId="19" borderId="27" xfId="0" applyFont="1" applyFill="1" applyBorder="1" applyAlignment="1">
      <alignment horizontal="left" vertical="center" indent="1"/>
    </xf>
    <xf numFmtId="0" fontId="17" fillId="19" borderId="38" xfId="0" applyFont="1" applyFill="1" applyBorder="1" applyAlignment="1">
      <alignment horizontal="left" vertical="center" indent="1"/>
    </xf>
    <xf numFmtId="0" fontId="15" fillId="19" borderId="33" xfId="0" applyFont="1" applyFill="1" applyBorder="1" applyAlignment="1">
      <alignment horizontal="left" vertical="center" indent="1"/>
    </xf>
    <xf numFmtId="0" fontId="15" fillId="19" borderId="35" xfId="0" applyFont="1" applyFill="1" applyBorder="1" applyAlignment="1">
      <alignment horizontal="left" vertical="center" indent="1"/>
    </xf>
    <xf numFmtId="0" fontId="16" fillId="15" borderId="27" xfId="0" applyFont="1" applyFill="1" applyBorder="1" applyAlignment="1">
      <alignment horizontal="left" vertical="center" indent="1"/>
    </xf>
    <xf numFmtId="0" fontId="15" fillId="19" borderId="40" xfId="0" applyFont="1" applyFill="1" applyBorder="1" applyAlignment="1">
      <alignment horizontal="left" vertical="center" indent="1"/>
    </xf>
    <xf numFmtId="0" fontId="15" fillId="19" borderId="44" xfId="0" applyFont="1" applyFill="1" applyBorder="1" applyAlignment="1">
      <alignment horizontal="left" vertical="center" indent="1"/>
    </xf>
    <xf numFmtId="0" fontId="15" fillId="19" borderId="48" xfId="0" applyFont="1" applyFill="1" applyBorder="1" applyAlignment="1">
      <alignment horizontal="left" vertical="center" indent="1"/>
    </xf>
    <xf numFmtId="0" fontId="15" fillId="19" borderId="46" xfId="0" applyFont="1" applyFill="1" applyBorder="1" applyAlignment="1">
      <alignment horizontal="left" vertical="center" indent="1"/>
    </xf>
    <xf numFmtId="0" fontId="15" fillId="19" borderId="42" xfId="0" applyFont="1" applyFill="1" applyBorder="1" applyAlignment="1">
      <alignment horizontal="left" vertical="center" indent="1"/>
    </xf>
    <xf numFmtId="0" fontId="15" fillId="19" borderId="50" xfId="0" applyFont="1" applyFill="1" applyBorder="1" applyAlignment="1">
      <alignment horizontal="left" vertical="center" indent="1"/>
    </xf>
    <xf numFmtId="0" fontId="15" fillId="19" borderId="10" xfId="0" applyFont="1" applyFill="1" applyBorder="1" applyAlignment="1">
      <alignment horizontal="left" vertical="center" indent="1"/>
    </xf>
    <xf numFmtId="0" fontId="17" fillId="19" borderId="42" xfId="0" applyFont="1" applyFill="1" applyBorder="1" applyAlignment="1">
      <alignment horizontal="left" vertical="center" indent="1"/>
    </xf>
    <xf numFmtId="0" fontId="17" fillId="19" borderId="50" xfId="0" applyFont="1" applyFill="1" applyBorder="1" applyAlignment="1">
      <alignment horizontal="left" vertical="center" indent="1"/>
    </xf>
    <xf numFmtId="0" fontId="17" fillId="19" borderId="10" xfId="0" applyFont="1" applyFill="1" applyBorder="1" applyAlignment="1">
      <alignment horizontal="left" vertical="center" indent="1"/>
    </xf>
    <xf numFmtId="0" fontId="15" fillId="15" borderId="14" xfId="0" applyFont="1" applyFill="1" applyBorder="1" applyAlignment="1">
      <alignment vertical="center"/>
    </xf>
    <xf numFmtId="0" fontId="17" fillId="15" borderId="14" xfId="0" applyFont="1" applyFill="1" applyBorder="1" applyAlignment="1">
      <alignment vertical="center"/>
    </xf>
    <xf numFmtId="0" fontId="17" fillId="11" borderId="42" xfId="0" applyFont="1" applyFill="1" applyBorder="1" applyAlignment="1" applyProtection="1">
      <alignment horizontal="center" vertical="center"/>
      <protection locked="0"/>
    </xf>
    <xf numFmtId="0" fontId="17" fillId="11" borderId="46" xfId="0" applyFont="1" applyFill="1" applyBorder="1" applyAlignment="1" applyProtection="1">
      <alignment horizontal="center" vertical="center"/>
      <protection locked="0"/>
    </xf>
    <xf numFmtId="0" fontId="17" fillId="11" borderId="50" xfId="0" applyFont="1" applyFill="1" applyBorder="1" applyAlignment="1" applyProtection="1">
      <alignment horizontal="center" vertical="center"/>
      <protection locked="0"/>
    </xf>
    <xf numFmtId="0" fontId="17" fillId="11" borderId="10" xfId="0" applyFont="1" applyFill="1" applyBorder="1" applyAlignment="1" applyProtection="1">
      <alignment horizontal="center" vertical="center"/>
      <protection locked="0"/>
    </xf>
    <xf numFmtId="1" fontId="17" fillId="11" borderId="46" xfId="0" applyNumberFormat="1" applyFont="1" applyFill="1" applyBorder="1" applyAlignment="1" applyProtection="1">
      <alignment horizontal="center" vertical="center"/>
      <protection locked="0"/>
    </xf>
    <xf numFmtId="0" fontId="15" fillId="11" borderId="46" xfId="0" applyFont="1" applyFill="1" applyBorder="1" applyAlignment="1" applyProtection="1">
      <alignment horizontal="center" vertical="center"/>
      <protection locked="0"/>
    </xf>
    <xf numFmtId="0" fontId="15" fillId="17" borderId="37" xfId="0" applyFont="1" applyFill="1" applyBorder="1" applyAlignment="1">
      <alignment vertical="center"/>
    </xf>
    <xf numFmtId="0" fontId="15" fillId="17" borderId="14" xfId="0" applyFont="1" applyFill="1" applyBorder="1" applyAlignment="1">
      <alignment vertical="center"/>
    </xf>
    <xf numFmtId="9" fontId="22" fillId="18" borderId="10" xfId="2" applyFont="1" applyFill="1" applyBorder="1" applyAlignment="1">
      <alignment horizontal="center" vertical="center"/>
    </xf>
    <xf numFmtId="164" fontId="17" fillId="17" borderId="42" xfId="0" applyNumberFormat="1" applyFont="1" applyFill="1" applyBorder="1" applyAlignment="1">
      <alignment horizontal="center" vertical="center"/>
    </xf>
    <xf numFmtId="164" fontId="17" fillId="17" borderId="46" xfId="0" applyNumberFormat="1" applyFont="1" applyFill="1" applyBorder="1" applyAlignment="1">
      <alignment horizontal="center" vertical="center"/>
    </xf>
    <xf numFmtId="164" fontId="17" fillId="17" borderId="50" xfId="0" applyNumberFormat="1" applyFont="1" applyFill="1" applyBorder="1" applyAlignment="1">
      <alignment horizontal="center" vertical="center"/>
    </xf>
    <xf numFmtId="165" fontId="15" fillId="17" borderId="46" xfId="0" applyNumberFormat="1" applyFont="1" applyFill="1" applyBorder="1" applyAlignment="1">
      <alignment horizontal="center" vertical="center"/>
    </xf>
    <xf numFmtId="165" fontId="15" fillId="18" borderId="46" xfId="0" applyNumberFormat="1" applyFont="1" applyFill="1" applyBorder="1" applyAlignment="1">
      <alignment horizontal="center" vertical="center"/>
    </xf>
    <xf numFmtId="0" fontId="16" fillId="15" borderId="10" xfId="0" applyFont="1" applyFill="1" applyBorder="1" applyAlignment="1">
      <alignment horizontal="left" vertical="center" wrapText="1" indent="1"/>
    </xf>
    <xf numFmtId="169" fontId="15" fillId="13" borderId="0" xfId="2" applyNumberFormat="1" applyFont="1" applyFill="1" applyAlignment="1">
      <alignment horizontal="center" vertical="center"/>
    </xf>
    <xf numFmtId="169" fontId="15" fillId="17" borderId="0" xfId="2" applyNumberFormat="1" applyFont="1" applyFill="1" applyAlignment="1">
      <alignment horizontal="center" vertical="center"/>
    </xf>
    <xf numFmtId="0" fontId="15" fillId="13" borderId="54" xfId="0" applyFont="1" applyFill="1" applyBorder="1" applyAlignment="1">
      <alignment horizontal="center" vertical="center"/>
    </xf>
    <xf numFmtId="0" fontId="15" fillId="13" borderId="55" xfId="0" applyFont="1" applyFill="1" applyBorder="1" applyAlignment="1">
      <alignment horizontal="center" vertical="center"/>
    </xf>
    <xf numFmtId="0" fontId="15" fillId="13" borderId="57" xfId="0" applyFont="1" applyFill="1" applyBorder="1" applyAlignment="1">
      <alignment horizontal="center" vertical="center"/>
    </xf>
    <xf numFmtId="0" fontId="19" fillId="15" borderId="0" xfId="0" applyFont="1" applyFill="1" applyAlignment="1">
      <alignment horizontal="right" vertical="center"/>
    </xf>
    <xf numFmtId="0" fontId="15" fillId="13" borderId="0" xfId="0" applyFont="1" applyFill="1" applyAlignment="1">
      <alignment horizontal="right" vertical="center"/>
    </xf>
    <xf numFmtId="0" fontId="22" fillId="13" borderId="0" xfId="0" applyFont="1" applyFill="1" applyAlignment="1">
      <alignment horizontal="left" vertical="center" indent="1"/>
    </xf>
    <xf numFmtId="0" fontId="15" fillId="13" borderId="0" xfId="0" applyFont="1" applyFill="1" applyAlignment="1">
      <alignment horizontal="left" vertical="center" indent="1"/>
    </xf>
    <xf numFmtId="0" fontId="15" fillId="17" borderId="0" xfId="0" applyFont="1" applyFill="1" applyAlignment="1">
      <alignment horizontal="left" vertical="center" indent="1"/>
    </xf>
    <xf numFmtId="0" fontId="15" fillId="17" borderId="28" xfId="0" applyFont="1" applyFill="1" applyBorder="1" applyAlignment="1">
      <alignment horizontal="left" vertical="center" indent="1"/>
    </xf>
    <xf numFmtId="14" fontId="15" fillId="18" borderId="10" xfId="0" applyNumberFormat="1" applyFont="1" applyFill="1" applyBorder="1" applyAlignment="1">
      <alignment horizontal="center" vertical="center"/>
    </xf>
    <xf numFmtId="0" fontId="15" fillId="18" borderId="10" xfId="0" applyFont="1" applyFill="1" applyBorder="1" applyAlignment="1">
      <alignment horizontal="left" vertical="center"/>
    </xf>
    <xf numFmtId="0" fontId="15" fillId="18" borderId="10" xfId="0" quotePrefix="1" applyFont="1" applyFill="1" applyBorder="1" applyAlignment="1">
      <alignment horizontal="center" vertical="center"/>
    </xf>
    <xf numFmtId="0" fontId="15" fillId="17" borderId="57" xfId="0" applyFont="1" applyFill="1" applyBorder="1" applyAlignment="1">
      <alignment horizontal="center" vertical="center"/>
    </xf>
    <xf numFmtId="0" fontId="15" fillId="17" borderId="58" xfId="0" applyFont="1" applyFill="1" applyBorder="1" applyAlignment="1">
      <alignment horizontal="left" vertical="center"/>
    </xf>
    <xf numFmtId="0" fontId="15" fillId="17" borderId="59" xfId="0" applyFont="1" applyFill="1" applyBorder="1" applyAlignment="1">
      <alignment horizontal="center" vertical="center"/>
    </xf>
    <xf numFmtId="0" fontId="15" fillId="17" borderId="60" xfId="0" applyFont="1" applyFill="1" applyBorder="1" applyAlignment="1">
      <alignment horizontal="center" vertical="center"/>
    </xf>
    <xf numFmtId="0" fontId="15" fillId="17" borderId="61" xfId="0" applyFont="1" applyFill="1" applyBorder="1" applyAlignment="1">
      <alignment horizontal="left" vertical="center"/>
    </xf>
    <xf numFmtId="0" fontId="22" fillId="17" borderId="53" xfId="0" applyFont="1" applyFill="1" applyBorder="1" applyAlignment="1">
      <alignment vertical="center"/>
    </xf>
    <xf numFmtId="0" fontId="15" fillId="17" borderId="63" xfId="0" applyFont="1" applyFill="1" applyBorder="1" applyAlignment="1">
      <alignment horizontal="center" vertical="center"/>
    </xf>
    <xf numFmtId="0" fontId="15" fillId="17" borderId="64" xfId="0" applyFont="1" applyFill="1" applyBorder="1" applyAlignment="1">
      <alignment horizontal="center" vertical="center"/>
    </xf>
    <xf numFmtId="0" fontId="15" fillId="11" borderId="57" xfId="0" applyFont="1" applyFill="1" applyBorder="1" applyAlignment="1">
      <alignment horizontal="center" vertical="center"/>
    </xf>
    <xf numFmtId="0" fontId="15" fillId="11" borderId="59" xfId="0" applyFont="1" applyFill="1" applyBorder="1" applyAlignment="1">
      <alignment horizontal="center" vertical="center"/>
    </xf>
    <xf numFmtId="0" fontId="15" fillId="11" borderId="58" xfId="0" applyFont="1" applyFill="1" applyBorder="1" applyAlignment="1">
      <alignment horizontal="center" vertical="center"/>
    </xf>
    <xf numFmtId="0" fontId="15" fillId="17" borderId="0" xfId="0" applyFont="1" applyFill="1" applyAlignment="1">
      <alignment horizontal="left" vertical="center"/>
    </xf>
    <xf numFmtId="0" fontId="16" fillId="15" borderId="14" xfId="0" applyFont="1" applyFill="1" applyBorder="1" applyAlignment="1">
      <alignment horizontal="center" vertical="center"/>
    </xf>
    <xf numFmtId="0" fontId="15" fillId="13" borderId="0" xfId="0" applyFont="1" applyFill="1" applyAlignment="1">
      <alignment horizontal="center"/>
    </xf>
    <xf numFmtId="0" fontId="15" fillId="17" borderId="35" xfId="0" applyFont="1" applyFill="1" applyBorder="1" applyAlignment="1">
      <alignment horizontal="center"/>
    </xf>
    <xf numFmtId="0" fontId="15" fillId="17" borderId="36" xfId="0" applyFont="1" applyFill="1" applyBorder="1" applyAlignment="1">
      <alignment horizontal="center"/>
    </xf>
    <xf numFmtId="0" fontId="15" fillId="17" borderId="0" xfId="0" applyFont="1" applyFill="1" applyAlignment="1">
      <alignment horizontal="center"/>
    </xf>
    <xf numFmtId="0" fontId="15" fillId="17" borderId="22" xfId="0" applyFont="1" applyFill="1" applyBorder="1" applyAlignment="1">
      <alignment horizontal="center"/>
    </xf>
    <xf numFmtId="0" fontId="15" fillId="17" borderId="28" xfId="0" applyFont="1" applyFill="1" applyBorder="1" applyAlignment="1">
      <alignment horizontal="center"/>
    </xf>
    <xf numFmtId="0" fontId="15" fillId="17" borderId="30" xfId="0" applyFont="1" applyFill="1" applyBorder="1" applyAlignment="1">
      <alignment horizontal="center"/>
    </xf>
    <xf numFmtId="10" fontId="15" fillId="17" borderId="35" xfId="0" applyNumberFormat="1" applyFont="1" applyFill="1" applyBorder="1" applyAlignment="1">
      <alignment horizontal="center"/>
    </xf>
    <xf numFmtId="10" fontId="15" fillId="17" borderId="0" xfId="0" applyNumberFormat="1" applyFont="1" applyFill="1" applyAlignment="1">
      <alignment horizontal="center"/>
    </xf>
    <xf numFmtId="0" fontId="37" fillId="13" borderId="0" xfId="0" applyFont="1" applyFill="1" applyAlignment="1">
      <alignment vertical="center"/>
    </xf>
    <xf numFmtId="0" fontId="15" fillId="17" borderId="34" xfId="0" applyFont="1" applyFill="1" applyBorder="1" applyAlignment="1">
      <alignment horizontal="left" indent="1"/>
    </xf>
    <xf numFmtId="0" fontId="15" fillId="17" borderId="29" xfId="0" applyFont="1" applyFill="1" applyBorder="1" applyAlignment="1">
      <alignment horizontal="left" indent="1"/>
    </xf>
    <xf numFmtId="0" fontId="15" fillId="17" borderId="31" xfId="0" applyFont="1" applyFill="1" applyBorder="1" applyAlignment="1">
      <alignment horizontal="left" indent="1"/>
    </xf>
    <xf numFmtId="0" fontId="15" fillId="13" borderId="0" xfId="0" applyFont="1" applyFill="1" applyAlignment="1">
      <alignment horizontal="left" indent="1"/>
    </xf>
    <xf numFmtId="0" fontId="38" fillId="13" borderId="0" xfId="0" applyFont="1" applyFill="1" applyAlignment="1">
      <alignment vertical="center"/>
    </xf>
    <xf numFmtId="0" fontId="18" fillId="17" borderId="34" xfId="0" applyFont="1" applyFill="1" applyBorder="1" applyAlignment="1">
      <alignment vertical="center" wrapText="1"/>
    </xf>
    <xf numFmtId="0" fontId="15" fillId="17" borderId="35" xfId="0" applyFont="1" applyFill="1" applyBorder="1" applyAlignment="1">
      <alignment vertical="center"/>
    </xf>
    <xf numFmtId="0" fontId="15" fillId="17" borderId="36" xfId="0" applyFont="1" applyFill="1" applyBorder="1" applyAlignment="1">
      <alignment vertical="center"/>
    </xf>
    <xf numFmtId="0" fontId="15" fillId="8" borderId="10" xfId="0" applyFont="1" applyFill="1" applyBorder="1" applyAlignment="1">
      <alignment horizontal="left" vertical="center" indent="1"/>
    </xf>
    <xf numFmtId="0" fontId="18" fillId="18" borderId="10" xfId="0" applyFont="1" applyFill="1" applyBorder="1" applyAlignment="1">
      <alignment horizontal="left" vertical="center" wrapText="1"/>
    </xf>
    <xf numFmtId="0" fontId="17" fillId="11" borderId="46" xfId="0" applyFont="1" applyFill="1" applyBorder="1" applyAlignment="1" applyProtection="1">
      <alignment horizontal="center" vertical="center" wrapText="1"/>
      <protection locked="0"/>
    </xf>
    <xf numFmtId="0" fontId="15" fillId="17" borderId="46" xfId="0" applyFont="1" applyFill="1" applyBorder="1" applyAlignment="1">
      <alignment horizontal="center" vertical="center" wrapText="1"/>
    </xf>
    <xf numFmtId="0" fontId="17" fillId="11" borderId="38" xfId="0" applyFont="1" applyFill="1" applyBorder="1" applyAlignment="1" applyProtection="1">
      <alignment horizontal="right" vertical="center"/>
      <protection locked="0"/>
    </xf>
    <xf numFmtId="0" fontId="16" fillId="15" borderId="10" xfId="0" applyFont="1" applyFill="1" applyBorder="1" applyAlignment="1">
      <alignment horizontal="center" vertical="center"/>
    </xf>
    <xf numFmtId="0" fontId="16" fillId="16" borderId="10" xfId="0" applyFont="1" applyFill="1" applyBorder="1" applyAlignment="1">
      <alignment horizontal="center" vertical="center"/>
    </xf>
    <xf numFmtId="0" fontId="17" fillId="11" borderId="27" xfId="0" applyFont="1" applyFill="1" applyBorder="1" applyAlignment="1" applyProtection="1">
      <alignment horizontal="center" vertical="center" shrinkToFit="1"/>
      <protection locked="0"/>
    </xf>
    <xf numFmtId="0" fontId="17" fillId="11" borderId="38" xfId="0" applyFont="1" applyFill="1" applyBorder="1" applyAlignment="1" applyProtection="1">
      <alignment horizontal="center" vertical="center" shrinkToFit="1"/>
      <protection locked="0"/>
    </xf>
    <xf numFmtId="0" fontId="17" fillId="11" borderId="32" xfId="0" applyFont="1" applyFill="1" applyBorder="1" applyAlignment="1" applyProtection="1">
      <alignment horizontal="center" vertical="center" shrinkToFit="1"/>
      <protection locked="0"/>
    </xf>
    <xf numFmtId="0" fontId="16" fillId="15" borderId="10" xfId="0" applyFont="1" applyFill="1" applyBorder="1" applyAlignment="1">
      <alignment horizontal="center" vertical="center" wrapText="1"/>
    </xf>
    <xf numFmtId="0" fontId="21" fillId="18" borderId="10" xfId="0" applyFont="1" applyFill="1" applyBorder="1" applyAlignment="1">
      <alignment horizontal="center" vertical="center" shrinkToFit="1"/>
    </xf>
    <xf numFmtId="0" fontId="15" fillId="17" borderId="29" xfId="0" applyFont="1" applyFill="1" applyBorder="1" applyAlignment="1">
      <alignment horizontal="left" vertical="center" wrapText="1" indent="1"/>
    </xf>
    <xf numFmtId="0" fontId="15" fillId="17" borderId="0" xfId="0" applyFont="1" applyFill="1" applyAlignment="1">
      <alignment horizontal="left" vertical="center" wrapText="1" indent="1"/>
    </xf>
    <xf numFmtId="0" fontId="15" fillId="17" borderId="22" xfId="0" applyFont="1" applyFill="1" applyBorder="1" applyAlignment="1">
      <alignment horizontal="left" vertical="center" wrapText="1" indent="1"/>
    </xf>
    <xf numFmtId="0" fontId="15" fillId="17" borderId="29" xfId="0" applyFont="1" applyFill="1" applyBorder="1" applyAlignment="1">
      <alignment horizontal="center" vertical="center" wrapText="1"/>
    </xf>
    <xf numFmtId="0" fontId="15" fillId="17" borderId="0" xfId="0" applyFont="1" applyFill="1" applyAlignment="1">
      <alignment horizontal="center" vertical="center" wrapText="1"/>
    </xf>
    <xf numFmtId="0" fontId="15" fillId="17" borderId="22" xfId="0" applyFont="1" applyFill="1" applyBorder="1" applyAlignment="1">
      <alignment horizontal="center" vertical="center" wrapText="1"/>
    </xf>
    <xf numFmtId="0" fontId="16" fillId="15" borderId="34" xfId="0" applyFont="1" applyFill="1" applyBorder="1" applyAlignment="1">
      <alignment horizontal="center" vertical="center"/>
    </xf>
    <xf numFmtId="0" fontId="16" fillId="15" borderId="38" xfId="0" applyFont="1" applyFill="1" applyBorder="1" applyAlignment="1">
      <alignment horizontal="center" vertical="center"/>
    </xf>
    <xf numFmtId="0" fontId="16" fillId="15" borderId="36" xfId="0" applyFont="1" applyFill="1" applyBorder="1" applyAlignment="1">
      <alignment horizontal="center" vertical="center"/>
    </xf>
    <xf numFmtId="0" fontId="15" fillId="19" borderId="27" xfId="0" applyFont="1" applyFill="1" applyBorder="1" applyAlignment="1">
      <alignment horizontal="left" vertical="center"/>
    </xf>
    <xf numFmtId="0" fontId="15" fillId="19" borderId="38" xfId="0" applyFont="1" applyFill="1" applyBorder="1" applyAlignment="1">
      <alignment horizontal="left" vertical="center"/>
    </xf>
    <xf numFmtId="0" fontId="16" fillId="15" borderId="27" xfId="0" applyFont="1" applyFill="1" applyBorder="1" applyAlignment="1">
      <alignment horizontal="center" vertical="center"/>
    </xf>
    <xf numFmtId="0" fontId="16" fillId="15" borderId="32" xfId="0" applyFont="1" applyFill="1" applyBorder="1" applyAlignment="1">
      <alignment horizontal="center" vertical="center"/>
    </xf>
    <xf numFmtId="0" fontId="15" fillId="17" borderId="31" xfId="0" applyFont="1" applyFill="1" applyBorder="1" applyAlignment="1">
      <alignment horizontal="left" vertical="center" wrapText="1" indent="1"/>
    </xf>
    <xf numFmtId="0" fontId="15" fillId="17" borderId="28" xfId="0" applyFont="1" applyFill="1" applyBorder="1" applyAlignment="1">
      <alignment horizontal="left" vertical="center" wrapText="1" indent="1"/>
    </xf>
    <xf numFmtId="0" fontId="15" fillId="17" borderId="30" xfId="0" applyFont="1" applyFill="1" applyBorder="1" applyAlignment="1">
      <alignment horizontal="left" vertical="center" wrapText="1" indent="1"/>
    </xf>
    <xf numFmtId="0" fontId="16" fillId="15" borderId="27" xfId="0" applyFont="1" applyFill="1" applyBorder="1" applyAlignment="1">
      <alignment horizontal="left" vertical="center" indent="1"/>
    </xf>
    <xf numFmtId="0" fontId="16" fillId="15" borderId="32" xfId="0" applyFont="1" applyFill="1" applyBorder="1" applyAlignment="1">
      <alignment horizontal="left" vertical="center" indent="1"/>
    </xf>
    <xf numFmtId="0" fontId="16" fillId="16" borderId="27" xfId="0" applyFont="1" applyFill="1" applyBorder="1" applyAlignment="1">
      <alignment horizontal="center" vertical="center"/>
    </xf>
    <xf numFmtId="0" fontId="16" fillId="16" borderId="38" xfId="0" applyFont="1" applyFill="1" applyBorder="1" applyAlignment="1">
      <alignment horizontal="center" vertical="center"/>
    </xf>
    <xf numFmtId="0" fontId="16" fillId="16" borderId="32" xfId="0" applyFont="1" applyFill="1" applyBorder="1" applyAlignment="1">
      <alignment horizontal="center" vertical="center"/>
    </xf>
    <xf numFmtId="0" fontId="16" fillId="15" borderId="33" xfId="0" applyFont="1" applyFill="1" applyBorder="1" applyAlignment="1">
      <alignment horizontal="center" vertical="center" wrapText="1"/>
    </xf>
    <xf numFmtId="0" fontId="16" fillId="15" borderId="14" xfId="0" applyFont="1" applyFill="1" applyBorder="1" applyAlignment="1">
      <alignment horizontal="center" vertical="center" wrapText="1"/>
    </xf>
    <xf numFmtId="0" fontId="16" fillId="15" borderId="33" xfId="0" applyFont="1" applyFill="1" applyBorder="1" applyAlignment="1">
      <alignment horizontal="center" vertical="center"/>
    </xf>
    <xf numFmtId="0" fontId="16" fillId="15" borderId="14" xfId="0" applyFont="1" applyFill="1" applyBorder="1" applyAlignment="1">
      <alignment horizontal="center" vertical="center"/>
    </xf>
    <xf numFmtId="0" fontId="0" fillId="0" borderId="0" xfId="0" applyAlignment="1">
      <alignment horizontal="center"/>
    </xf>
    <xf numFmtId="0" fontId="6" fillId="2" borderId="11" xfId="0" applyFont="1" applyFill="1" applyBorder="1" applyAlignment="1">
      <alignment horizontal="center"/>
    </xf>
    <xf numFmtId="0" fontId="6" fillId="2" borderId="12" xfId="0" applyFont="1" applyFill="1" applyBorder="1" applyAlignment="1">
      <alignment horizontal="center"/>
    </xf>
    <xf numFmtId="0" fontId="6" fillId="2" borderId="13" xfId="0" applyFont="1" applyFill="1" applyBorder="1" applyAlignment="1">
      <alignment horizontal="center"/>
    </xf>
    <xf numFmtId="0" fontId="6" fillId="10" borderId="11" xfId="0" applyFont="1" applyFill="1" applyBorder="1" applyAlignment="1">
      <alignment horizontal="center"/>
    </xf>
    <xf numFmtId="0" fontId="6" fillId="10" borderId="12" xfId="0" applyFont="1" applyFill="1" applyBorder="1" applyAlignment="1">
      <alignment horizontal="center"/>
    </xf>
    <xf numFmtId="0" fontId="6" fillId="10" borderId="13" xfId="0" applyFont="1" applyFill="1" applyBorder="1" applyAlignment="1">
      <alignment horizontal="center"/>
    </xf>
    <xf numFmtId="0" fontId="9" fillId="2" borderId="11" xfId="0" applyFont="1" applyFill="1" applyBorder="1" applyAlignment="1">
      <alignment horizontal="center"/>
    </xf>
    <xf numFmtId="0" fontId="9" fillId="2" borderId="12" xfId="0" applyFont="1" applyFill="1" applyBorder="1" applyAlignment="1">
      <alignment horizontal="center"/>
    </xf>
    <xf numFmtId="0" fontId="9" fillId="2" borderId="13" xfId="0" applyFont="1" applyFill="1" applyBorder="1" applyAlignment="1">
      <alignment horizontal="center"/>
    </xf>
    <xf numFmtId="0" fontId="16" fillId="15" borderId="10" xfId="0" applyFont="1" applyFill="1" applyBorder="1" applyAlignment="1">
      <alignment horizontal="left" vertical="center" indent="1"/>
    </xf>
    <xf numFmtId="166" fontId="16" fillId="15" borderId="36" xfId="0" applyNumberFormat="1" applyFont="1" applyFill="1" applyBorder="1" applyAlignment="1">
      <alignment horizontal="center" vertical="center" wrapText="1"/>
    </xf>
    <xf numFmtId="166" fontId="16" fillId="15" borderId="30" xfId="0" applyNumberFormat="1" applyFont="1" applyFill="1" applyBorder="1" applyAlignment="1">
      <alignment horizontal="center" vertical="center" wrapText="1"/>
    </xf>
    <xf numFmtId="9" fontId="16" fillId="15" borderId="10" xfId="2" applyFont="1" applyFill="1" applyBorder="1" applyAlignment="1">
      <alignment horizontal="center" vertical="center"/>
    </xf>
    <xf numFmtId="0" fontId="16" fillId="15" borderId="33" xfId="0" applyFont="1" applyFill="1" applyBorder="1" applyAlignment="1">
      <alignment horizontal="left" vertical="center" wrapText="1"/>
    </xf>
    <xf numFmtId="0" fontId="16" fillId="15" borderId="37" xfId="0" applyFont="1" applyFill="1" applyBorder="1" applyAlignment="1">
      <alignment horizontal="left" vertical="center" wrapText="1"/>
    </xf>
    <xf numFmtId="0" fontId="16" fillId="15" borderId="14" xfId="0" applyFont="1" applyFill="1" applyBorder="1" applyAlignment="1">
      <alignment horizontal="left" vertical="center" wrapText="1"/>
    </xf>
    <xf numFmtId="0" fontId="16" fillId="15" borderId="33" xfId="0" applyFont="1" applyFill="1" applyBorder="1" applyAlignment="1">
      <alignment horizontal="left" vertical="center" wrapText="1" indent="1"/>
    </xf>
    <xf numFmtId="0" fontId="16" fillId="15" borderId="37" xfId="0" applyFont="1" applyFill="1" applyBorder="1" applyAlignment="1">
      <alignment horizontal="left" vertical="center" wrapText="1" indent="1"/>
    </xf>
    <xf numFmtId="0" fontId="16" fillId="15" borderId="14" xfId="0" applyFont="1" applyFill="1" applyBorder="1" applyAlignment="1">
      <alignment horizontal="left" vertical="center" wrapText="1" indent="1"/>
    </xf>
    <xf numFmtId="0" fontId="16" fillId="15" borderId="37" xfId="0" applyFont="1" applyFill="1" applyBorder="1" applyAlignment="1">
      <alignment horizontal="center" vertical="center" wrapText="1"/>
    </xf>
    <xf numFmtId="0" fontId="16" fillId="15" borderId="31" xfId="0" applyFont="1" applyFill="1" applyBorder="1" applyAlignment="1">
      <alignment horizontal="center" vertical="center"/>
    </xf>
    <xf numFmtId="0" fontId="16" fillId="15" borderId="30" xfId="0" applyFont="1" applyFill="1" applyBorder="1" applyAlignment="1">
      <alignment horizontal="center" vertical="center"/>
    </xf>
    <xf numFmtId="169" fontId="16" fillId="15" borderId="10" xfId="2" applyNumberFormat="1" applyFont="1" applyFill="1" applyBorder="1" applyAlignment="1">
      <alignment horizontal="center" vertical="center" wrapText="1"/>
    </xf>
    <xf numFmtId="0" fontId="15" fillId="0" borderId="0" xfId="0" applyFont="1" applyAlignment="1">
      <alignment horizontal="center" vertical="center"/>
    </xf>
    <xf numFmtId="0" fontId="15" fillId="0" borderId="0" xfId="0" applyFont="1" applyAlignment="1">
      <alignment horizontal="center" vertical="center" wrapText="1"/>
    </xf>
    <xf numFmtId="0" fontId="22" fillId="13" borderId="51" xfId="0" applyFont="1" applyFill="1" applyBorder="1" applyAlignment="1">
      <alignment horizontal="center" vertical="center"/>
    </xf>
    <xf numFmtId="0" fontId="22" fillId="13" borderId="52" xfId="0" applyFont="1" applyFill="1" applyBorder="1" applyAlignment="1">
      <alignment horizontal="center" vertical="center"/>
    </xf>
    <xf numFmtId="0" fontId="22" fillId="13" borderId="53" xfId="0" applyFont="1" applyFill="1" applyBorder="1" applyAlignment="1">
      <alignment horizontal="center" vertical="center"/>
    </xf>
    <xf numFmtId="0" fontId="15" fillId="18" borderId="33" xfId="0" applyFont="1" applyFill="1" applyBorder="1" applyAlignment="1">
      <alignment horizontal="left" vertical="center" wrapText="1"/>
    </xf>
    <xf numFmtId="0" fontId="15" fillId="18" borderId="14" xfId="0" applyFont="1" applyFill="1" applyBorder="1" applyAlignment="1">
      <alignment horizontal="left" vertical="center" wrapText="1"/>
    </xf>
    <xf numFmtId="14" fontId="15" fillId="18" borderId="33" xfId="0" applyNumberFormat="1" applyFont="1" applyFill="1" applyBorder="1" applyAlignment="1">
      <alignment horizontal="center" vertical="center"/>
    </xf>
    <xf numFmtId="14" fontId="15" fillId="18" borderId="14" xfId="0" applyNumberFormat="1" applyFont="1" applyFill="1" applyBorder="1" applyAlignment="1">
      <alignment horizontal="center" vertical="center"/>
    </xf>
    <xf numFmtId="0" fontId="15" fillId="18" borderId="33" xfId="0" applyFont="1" applyFill="1" applyBorder="1" applyAlignment="1">
      <alignment horizontal="center" vertical="center" wrapText="1"/>
    </xf>
    <xf numFmtId="0" fontId="15" fillId="18" borderId="14" xfId="0" applyFont="1" applyFill="1" applyBorder="1" applyAlignment="1">
      <alignment horizontal="center" vertical="center" wrapText="1"/>
    </xf>
    <xf numFmtId="0" fontId="15" fillId="18" borderId="33" xfId="0" applyFont="1" applyFill="1" applyBorder="1" applyAlignment="1">
      <alignment horizontal="center" vertical="center"/>
    </xf>
    <xf numFmtId="0" fontId="15" fillId="18" borderId="14" xfId="0" applyFont="1" applyFill="1" applyBorder="1" applyAlignment="1">
      <alignment horizontal="center" vertical="center"/>
    </xf>
  </cellXfs>
  <cellStyles count="3">
    <cellStyle name="Hyperlink" xfId="1" builtinId="8"/>
    <cellStyle name="Normal" xfId="0" builtinId="0"/>
    <cellStyle name="Percent" xfId="2" builtinId="5"/>
  </cellStyles>
  <dxfs count="64">
    <dxf>
      <numFmt numFmtId="166" formatCode="0.0000"/>
      <alignment horizontal="center" vertical="center" textRotation="0" wrapText="0" indent="0" justifyLastLine="0" shrinkToFit="0" readingOrder="0"/>
    </dxf>
    <dxf>
      <numFmt numFmtId="166" formatCode="0.0000"/>
      <alignment horizontal="center" vertical="center" textRotation="0" wrapText="0" indent="0" justifyLastLine="0" shrinkToFit="0" readingOrder="0"/>
    </dxf>
    <dxf>
      <numFmt numFmtId="2" formatCode="0.00"/>
      <alignment horizontal="center" vertical="center" textRotation="0" wrapText="0" indent="0" justifyLastLine="0" shrinkToFit="0" readingOrder="0"/>
      <border diagonalUp="0" diagonalDown="0">
        <left/>
        <right style="medium">
          <color indexed="64"/>
        </right>
        <vertical/>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border diagonalUp="0" diagonalDown="0">
        <left style="medium">
          <color indexed="64"/>
        </left>
        <right/>
        <vertical/>
      </border>
    </dxf>
    <dxf>
      <font>
        <b/>
      </font>
      <numFmt numFmtId="2" formatCode="0.00"/>
      <alignment horizontal="center" vertical="center" textRotation="0" wrapText="0" indent="0" justifyLastLine="0" shrinkToFit="0" readingOrder="0"/>
      <border diagonalUp="0" diagonalDown="0" outline="0">
        <left/>
        <right style="medium">
          <color indexed="64"/>
        </right>
        <top/>
        <bottom/>
      </border>
    </dxf>
    <dxf>
      <font>
        <b/>
      </font>
      <numFmt numFmtId="2" formatCode="0.00"/>
      <alignment horizontal="center" vertical="center" textRotation="0" wrapText="0" indent="0" justifyLastLine="0" shrinkToFit="0" readingOrder="0"/>
      <border diagonalUp="0" diagonalDown="0" outline="0">
        <left style="medium">
          <color indexed="64"/>
        </left>
        <right/>
        <top/>
        <bottom/>
      </border>
    </dxf>
    <dxf>
      <numFmt numFmtId="2" formatCode="0.00"/>
      <alignment horizontal="center" vertical="center" textRotation="0" wrapText="0" indent="0" justifyLastLine="0" shrinkToFit="0" readingOrder="0"/>
      <border diagonalUp="0" diagonalDown="0">
        <left/>
        <right style="thin">
          <color indexed="64"/>
        </right>
        <top/>
        <bottom/>
        <vertical/>
        <horizontal/>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border diagonalUp="0" diagonalDown="0">
        <left style="medium">
          <color indexed="64"/>
        </left>
        <right/>
        <top/>
        <bottom/>
        <vertical/>
        <horizontal/>
      </border>
    </dxf>
    <dxf>
      <font>
        <b/>
      </font>
      <numFmt numFmtId="2" formatCode="0.00"/>
      <alignment horizontal="center" vertical="center" textRotation="0" wrapText="0" indent="0" justifyLastLine="0" shrinkToFit="0" readingOrder="0"/>
      <border diagonalUp="0" diagonalDown="0" outline="0">
        <left/>
        <right style="medium">
          <color indexed="64"/>
        </right>
        <top/>
        <bottom/>
      </border>
    </dxf>
    <dxf>
      <font>
        <b/>
      </font>
      <numFmt numFmtId="2" formatCode="0.00"/>
      <alignment horizontal="center" vertical="center" textRotation="0" wrapText="0" indent="0" justifyLastLine="0" shrinkToFit="0" readingOrder="0"/>
      <border diagonalUp="0" diagonalDown="0" outline="0">
        <left style="medium">
          <color indexed="64"/>
        </left>
        <right/>
        <top/>
        <bottom/>
      </border>
    </dxf>
    <dxf>
      <numFmt numFmtId="2" formatCode="0.00"/>
      <alignment horizontal="center" vertical="center" textRotation="0" wrapText="0" indent="0" justifyLastLine="0" shrinkToFit="0" readingOrder="0"/>
      <border diagonalUp="0" diagonalDown="0">
        <left/>
        <right style="thin">
          <color indexed="64"/>
        </right>
        <top/>
        <bottom/>
        <vertical/>
        <horizontal/>
      </border>
    </dxf>
    <dxf>
      <numFmt numFmtId="2" formatCode="0.00"/>
      <alignment horizontal="center" vertical="center" textRotation="0" wrapText="0" indent="0" justifyLastLine="0" shrinkToFit="0" readingOrder="0"/>
      <border diagonalUp="0" diagonalDown="0">
        <left style="medium">
          <color indexed="64"/>
        </left>
        <right/>
        <top/>
        <bottom/>
        <vertical/>
        <horizontal/>
      </border>
    </dxf>
    <dxf>
      <font>
        <b/>
      </font>
      <numFmt numFmtId="2" formatCode="0.00"/>
      <alignment horizontal="center" vertical="center" textRotation="0" wrapText="0" indent="0" justifyLastLine="0" shrinkToFit="0" readingOrder="0"/>
      <border diagonalUp="0" diagonalDown="0" outline="0">
        <left/>
        <right style="medium">
          <color indexed="64"/>
        </right>
        <top/>
        <bottom/>
      </border>
    </dxf>
    <dxf>
      <font>
        <b/>
      </font>
      <numFmt numFmtId="2" formatCode="0.00"/>
      <alignment horizontal="center" vertical="center" textRotation="0" wrapText="0" indent="0" justifyLastLine="0" shrinkToFit="0" readingOrder="0"/>
      <border diagonalUp="0" diagonalDown="0" outline="0">
        <left style="medium">
          <color indexed="64"/>
        </left>
        <right/>
        <top/>
        <bottom/>
      </border>
    </dxf>
    <dxf>
      <numFmt numFmtId="2" formatCode="0.00"/>
      <alignment horizontal="center" vertical="center" textRotation="0" wrapText="0" indent="0" justifyLastLine="0" shrinkToFit="0" readingOrder="0"/>
      <border diagonalUp="0" diagonalDown="0">
        <left/>
        <right style="thin">
          <color indexed="64"/>
        </right>
        <top/>
        <bottom/>
        <vertical/>
        <horizontal/>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border diagonalUp="0" diagonalDown="0">
        <left style="medium">
          <color indexed="64"/>
        </left>
        <right/>
        <top/>
        <bottom/>
        <vertical/>
        <horizontal/>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bottom style="medium">
          <color indexed="64"/>
        </bottom>
      </border>
    </dxf>
    <dxf>
      <alignment horizontal="center" vertical="center" textRotation="0" wrapText="0" indent="0" justifyLastLine="0" shrinkToFit="0" readingOrder="0"/>
    </dxf>
    <dxf>
      <font>
        <color rgb="FF9C0006"/>
      </font>
    </dxf>
    <dxf>
      <font>
        <color rgb="FF9C0006"/>
      </font>
    </dxf>
    <dxf>
      <font>
        <color rgb="FF9C0006"/>
      </font>
    </dxf>
    <dxf>
      <font>
        <color rgb="FF9C0006"/>
      </font>
    </dxf>
    <dxf>
      <font>
        <color theme="1" tint="0.499984740745262"/>
      </font>
    </dxf>
    <dxf>
      <font>
        <color rgb="FF9C0006"/>
      </font>
    </dxf>
    <dxf>
      <font>
        <color rgb="FF9C0006"/>
      </font>
    </dxf>
    <dxf>
      <font>
        <color rgb="FF9C0006"/>
      </font>
    </dxf>
    <dxf>
      <font>
        <color rgb="FF9C0006"/>
      </font>
    </dxf>
    <dxf>
      <font>
        <color rgb="FF9C0006"/>
      </font>
      <fill>
        <patternFill>
          <bgColor rgb="FFFFC7CE"/>
        </patternFill>
      </fill>
    </dxf>
  </dxfs>
  <tableStyles count="0" defaultTableStyle="TableStyleMedium2" defaultPivotStyle="PivotStyleLight16"/>
  <colors>
    <mruColors>
      <color rgb="FFAAB3A4"/>
      <color rgb="FFFFFFFF"/>
      <color rgb="FFDFDFD6"/>
      <color rgb="FF305033"/>
      <color rgb="FF123902"/>
      <color rgb="FF687E67"/>
      <color rgb="FFF4F4F2"/>
      <color rgb="FFCD5B2B"/>
      <color rgb="FF2573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Deflection vs Depth (Unadjusted)</a:t>
            </a:r>
          </a:p>
        </c:rich>
      </c:tx>
      <c:overlay val="0"/>
      <c:spPr>
        <a:noFill/>
        <a:ln>
          <a:noFill/>
        </a:ln>
        <a:effectLst/>
      </c:spPr>
    </c:title>
    <c:autoTitleDeleted val="0"/>
    <c:plotArea>
      <c:layout/>
      <c:scatterChart>
        <c:scatterStyle val="smoothMarker"/>
        <c:varyColors val="0"/>
        <c:ser>
          <c:idx val="2"/>
          <c:order val="0"/>
          <c:marker>
            <c:symbol val="none"/>
          </c:marker>
          <c:dPt>
            <c:idx val="0"/>
            <c:bubble3D val="0"/>
            <c:spPr>
              <a:ln w="19050" cap="rnd">
                <a:solidFill>
                  <a:schemeClr val="accent1"/>
                </a:solidFill>
                <a:round/>
              </a:ln>
              <a:effectLst/>
            </c:spPr>
            <c:extLst>
              <c:ext xmlns:c16="http://schemas.microsoft.com/office/drawing/2014/chart" uri="{C3380CC4-5D6E-409C-BE32-E72D297353CC}">
                <c16:uniqueId val="{00000001-EAFC-4687-B3EE-03110DDFFC6F}"/>
              </c:ext>
            </c:extLst>
          </c:dPt>
          <c:xVal>
            <c:numRef>
              <c:f>Dashboard!$Z$3:$Z$202</c:f>
              <c:numCache>
                <c:formatCode>General</c:formatCode>
                <c:ptCount val="200"/>
              </c:numCache>
            </c:numRef>
          </c:xVal>
          <c:yVal>
            <c:numRef>
              <c:f>Dashboard!$Y$3:$Y$202</c:f>
              <c:numCache>
                <c:formatCode>General</c:formatCode>
                <c:ptCount val="200"/>
              </c:numCache>
            </c:numRef>
          </c:yVal>
          <c:smooth val="1"/>
          <c:extLst>
            <c:ext xmlns:c16="http://schemas.microsoft.com/office/drawing/2014/chart" uri="{C3380CC4-5D6E-409C-BE32-E72D297353CC}">
              <c16:uniqueId val="{00000008-8DD2-4209-9D97-314003130094}"/>
            </c:ext>
          </c:extLst>
        </c:ser>
        <c:dLbls>
          <c:showLegendKey val="0"/>
          <c:showVal val="0"/>
          <c:showCatName val="0"/>
          <c:showSerName val="0"/>
          <c:showPercent val="0"/>
          <c:showBubbleSize val="0"/>
        </c:dLbls>
        <c:axId val="72311920"/>
        <c:axId val="72308560"/>
      </c:scatterChart>
      <c:valAx>
        <c:axId val="72311920"/>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08560"/>
        <c:crosses val="autoZero"/>
        <c:crossBetween val="midCat"/>
      </c:valAx>
      <c:valAx>
        <c:axId val="72308560"/>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11920"/>
        <c:crosses val="autoZero"/>
        <c:crossBetween val="midCat"/>
      </c:valAx>
      <c:spPr>
        <a:solidFill>
          <a:srgbClr val="F4F4F2"/>
        </a:solidFill>
      </c:spPr>
    </c:plotArea>
    <c:plotVisOnly val="1"/>
    <c:dispBlanksAs val="gap"/>
    <c:showDLblsOverMax val="0"/>
    <c:extLst/>
  </c:chart>
  <c:spPr>
    <a:solidFill>
      <a:srgbClr val="AAB3A4"/>
    </a:solidFill>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Moment vs Depth (Unadjusted)</a:t>
            </a:r>
          </a:p>
        </c:rich>
      </c:tx>
      <c:overlay val="0"/>
      <c:spPr>
        <a:noFill/>
        <a:ln>
          <a:noFill/>
        </a:ln>
        <a:effectLst/>
      </c:spPr>
    </c:title>
    <c:autoTitleDeleted val="0"/>
    <c:plotArea>
      <c:layout/>
      <c:scatterChart>
        <c:scatterStyle val="smoothMarker"/>
        <c:varyColors val="0"/>
        <c:ser>
          <c:idx val="0"/>
          <c:order val="0"/>
          <c:marker>
            <c:symbol val="none"/>
          </c:marker>
          <c:dPt>
            <c:idx val="0"/>
            <c:bubble3D val="0"/>
            <c:spPr>
              <a:ln w="19050" cap="rnd">
                <a:solidFill>
                  <a:schemeClr val="accent1"/>
                </a:solidFill>
                <a:round/>
              </a:ln>
              <a:effectLst/>
            </c:spPr>
            <c:extLst>
              <c:ext xmlns:c16="http://schemas.microsoft.com/office/drawing/2014/chart" uri="{C3380CC4-5D6E-409C-BE32-E72D297353CC}">
                <c16:uniqueId val="{00000001-3B5E-491F-8F4D-FBDACD0B5221}"/>
              </c:ext>
            </c:extLst>
          </c:dPt>
          <c:xVal>
            <c:numRef>
              <c:f>Dashboard!$AA$3:$AA$202</c:f>
              <c:numCache>
                <c:formatCode>General</c:formatCode>
                <c:ptCount val="200"/>
              </c:numCache>
            </c:numRef>
          </c:xVal>
          <c:yVal>
            <c:numRef>
              <c:f>Dashboard!$Y$3:$Y$202</c:f>
              <c:numCache>
                <c:formatCode>General</c:formatCode>
                <c:ptCount val="200"/>
              </c:numCache>
            </c:numRef>
          </c:yVal>
          <c:smooth val="1"/>
          <c:extLst>
            <c:ext xmlns:c16="http://schemas.microsoft.com/office/drawing/2014/chart" uri="{C3380CC4-5D6E-409C-BE32-E72D297353CC}">
              <c16:uniqueId val="{00000003-ABB5-4AB9-9C02-105743BDC746}"/>
            </c:ext>
          </c:extLst>
        </c:ser>
        <c:dLbls>
          <c:showLegendKey val="0"/>
          <c:showVal val="0"/>
          <c:showCatName val="0"/>
          <c:showSerName val="0"/>
          <c:showPercent val="0"/>
          <c:showBubbleSize val="0"/>
        </c:dLbls>
        <c:axId val="72311920"/>
        <c:axId val="72308560"/>
      </c:scatterChart>
      <c:valAx>
        <c:axId val="72311920"/>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08560"/>
        <c:crosses val="autoZero"/>
        <c:crossBetween val="midCat"/>
      </c:valAx>
      <c:valAx>
        <c:axId val="72308560"/>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11920"/>
        <c:crosses val="autoZero"/>
        <c:crossBetween val="midCat"/>
      </c:valAx>
      <c:spPr>
        <a:solidFill>
          <a:srgbClr val="F4F4F2"/>
        </a:solidFill>
      </c:spPr>
    </c:plotArea>
    <c:plotVisOnly val="1"/>
    <c:dispBlanksAs val="gap"/>
    <c:showDLblsOverMax val="0"/>
    <c:extLst/>
  </c:chart>
  <c:spPr>
    <a:solidFill>
      <a:srgbClr val="AAB3A4"/>
    </a:solidFill>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Shear vs Depth</a:t>
            </a:r>
          </a:p>
          <a:p>
            <a:pPr>
              <a:defRPr sz="1400" b="1" i="0" u="none" strike="noStrike" kern="1200" spc="0" baseline="0">
                <a:solidFill>
                  <a:schemeClr val="tx1">
                    <a:lumMod val="65000"/>
                    <a:lumOff val="35000"/>
                  </a:schemeClr>
                </a:solidFill>
                <a:latin typeface="+mn-lt"/>
                <a:ea typeface="+mn-ea"/>
                <a:cs typeface="+mn-cs"/>
              </a:defRPr>
            </a:pPr>
            <a:r>
              <a:rPr lang="en-US" b="1"/>
              <a:t>(Unadjusted)</a:t>
            </a:r>
          </a:p>
        </c:rich>
      </c:tx>
      <c:layout>
        <c:manualLayout>
          <c:xMode val="edge"/>
          <c:yMode val="edge"/>
          <c:x val="0.2875134878973461"/>
          <c:y val="8.4984113827876757E-3"/>
        </c:manualLayout>
      </c:layout>
      <c:overlay val="0"/>
      <c:spPr>
        <a:noFill/>
        <a:ln>
          <a:noFill/>
        </a:ln>
        <a:effectLst/>
      </c:spPr>
    </c:title>
    <c:autoTitleDeleted val="0"/>
    <c:plotArea>
      <c:layout>
        <c:manualLayout>
          <c:layoutTarget val="inner"/>
          <c:xMode val="edge"/>
          <c:yMode val="edge"/>
          <c:x val="8.6954333830394817E-2"/>
          <c:y val="9.3891002652691485E-2"/>
          <c:w val="0.83166304964733262"/>
          <c:h val="0.89052854752176613"/>
        </c:manualLayout>
      </c:layout>
      <c:scatterChart>
        <c:scatterStyle val="smoothMarker"/>
        <c:varyColors val="0"/>
        <c:ser>
          <c:idx val="0"/>
          <c:order val="0"/>
          <c:marker>
            <c:symbol val="none"/>
          </c:marker>
          <c:dPt>
            <c:idx val="0"/>
            <c:bubble3D val="0"/>
            <c:spPr>
              <a:ln w="19050" cap="rnd">
                <a:solidFill>
                  <a:schemeClr val="accent1"/>
                </a:solidFill>
                <a:round/>
              </a:ln>
              <a:effectLst/>
            </c:spPr>
            <c:extLst>
              <c:ext xmlns:c16="http://schemas.microsoft.com/office/drawing/2014/chart" uri="{C3380CC4-5D6E-409C-BE32-E72D297353CC}">
                <c16:uniqueId val="{00000001-CC99-472F-85AD-7EDD64A2BB31}"/>
              </c:ext>
            </c:extLst>
          </c:dPt>
          <c:xVal>
            <c:numRef>
              <c:f>Dashboard!$AB$3:$AB$202</c:f>
              <c:numCache>
                <c:formatCode>General</c:formatCode>
                <c:ptCount val="200"/>
              </c:numCache>
            </c:numRef>
          </c:xVal>
          <c:yVal>
            <c:numRef>
              <c:f>Dashboard!$Y$3:$Y$202</c:f>
              <c:numCache>
                <c:formatCode>General</c:formatCode>
                <c:ptCount val="200"/>
              </c:numCache>
            </c:numRef>
          </c:yVal>
          <c:smooth val="1"/>
          <c:extLst>
            <c:ext xmlns:c16="http://schemas.microsoft.com/office/drawing/2014/chart" uri="{C3380CC4-5D6E-409C-BE32-E72D297353CC}">
              <c16:uniqueId val="{00000002-CC99-472F-85AD-7EDD64A2BB31}"/>
            </c:ext>
          </c:extLst>
        </c:ser>
        <c:dLbls>
          <c:showLegendKey val="0"/>
          <c:showVal val="0"/>
          <c:showCatName val="0"/>
          <c:showSerName val="0"/>
          <c:showPercent val="0"/>
          <c:showBubbleSize val="0"/>
        </c:dLbls>
        <c:axId val="72311920"/>
        <c:axId val="72308560"/>
      </c:scatterChart>
      <c:valAx>
        <c:axId val="72311920"/>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08560"/>
        <c:crosses val="autoZero"/>
        <c:crossBetween val="midCat"/>
      </c:valAx>
      <c:valAx>
        <c:axId val="72308560"/>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11920"/>
        <c:crosses val="autoZero"/>
        <c:crossBetween val="midCat"/>
      </c:valAx>
      <c:spPr>
        <a:solidFill>
          <a:srgbClr val="F4F4F2"/>
        </a:solidFill>
      </c:spPr>
    </c:plotArea>
    <c:plotVisOnly val="1"/>
    <c:dispBlanksAs val="gap"/>
    <c:showDLblsOverMax val="0"/>
    <c:extLst/>
  </c:chart>
  <c:spPr>
    <a:solidFill>
      <a:srgbClr val="AAB3A4"/>
    </a:solidFill>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13</xdr:col>
      <xdr:colOff>390525</xdr:colOff>
      <xdr:row>23</xdr:row>
      <xdr:rowOff>44780</xdr:rowOff>
    </xdr:from>
    <xdr:to>
      <xdr:col>16</xdr:col>
      <xdr:colOff>590550</xdr:colOff>
      <xdr:row>63</xdr:row>
      <xdr:rowOff>197180</xdr:rowOff>
    </xdr:to>
    <xdr:graphicFrame macro="">
      <xdr:nvGraphicFramePr>
        <xdr:cNvPr id="4" name="Chart 3">
          <a:extLst>
            <a:ext uri="{FF2B5EF4-FFF2-40B4-BE49-F238E27FC236}">
              <a16:creationId xmlns:a16="http://schemas.microsoft.com/office/drawing/2014/main" id="{392DE380-8A33-E6C3-4EC9-6A4ACB0474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695325</xdr:colOff>
      <xdr:row>23</xdr:row>
      <xdr:rowOff>44163</xdr:rowOff>
    </xdr:from>
    <xdr:to>
      <xdr:col>20</xdr:col>
      <xdr:colOff>47625</xdr:colOff>
      <xdr:row>63</xdr:row>
      <xdr:rowOff>196563</xdr:rowOff>
    </xdr:to>
    <xdr:graphicFrame macro="">
      <xdr:nvGraphicFramePr>
        <xdr:cNvPr id="5" name="Chart 4">
          <a:extLst>
            <a:ext uri="{FF2B5EF4-FFF2-40B4-BE49-F238E27FC236}">
              <a16:creationId xmlns:a16="http://schemas.microsoft.com/office/drawing/2014/main" id="{BC5C8624-D56B-4A22-B521-FB14387384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146339</xdr:colOff>
      <xdr:row>23</xdr:row>
      <xdr:rowOff>45894</xdr:rowOff>
    </xdr:from>
    <xdr:to>
      <xdr:col>23</xdr:col>
      <xdr:colOff>346364</xdr:colOff>
      <xdr:row>63</xdr:row>
      <xdr:rowOff>198294</xdr:rowOff>
    </xdr:to>
    <xdr:graphicFrame macro="">
      <xdr:nvGraphicFramePr>
        <xdr:cNvPr id="6" name="Chart 5">
          <a:extLst>
            <a:ext uri="{FF2B5EF4-FFF2-40B4-BE49-F238E27FC236}">
              <a16:creationId xmlns:a16="http://schemas.microsoft.com/office/drawing/2014/main" id="{C272ED34-EC04-4C3C-A590-726F882F2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30480</xdr:colOff>
          <xdr:row>0</xdr:row>
          <xdr:rowOff>99060</xdr:rowOff>
        </xdr:from>
        <xdr:to>
          <xdr:col>6</xdr:col>
          <xdr:colOff>45720</xdr:colOff>
          <xdr:row>2</xdr:row>
          <xdr:rowOff>68580</xdr:rowOff>
        </xdr:to>
        <xdr:sp macro="" textlink="">
          <xdr:nvSpPr>
            <xdr:cNvPr id="1031" name="launchHomePag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0</xdr:colOff>
      <xdr:row>0</xdr:row>
      <xdr:rowOff>152399</xdr:rowOff>
    </xdr:from>
    <xdr:to>
      <xdr:col>9</xdr:col>
      <xdr:colOff>601980</xdr:colOff>
      <xdr:row>4</xdr:row>
      <xdr:rowOff>68679</xdr:rowOff>
    </xdr:to>
    <xdr:pic>
      <xdr:nvPicPr>
        <xdr:cNvPr id="9" name="Picture 8">
          <a:extLst>
            <a:ext uri="{FF2B5EF4-FFF2-40B4-BE49-F238E27FC236}">
              <a16:creationId xmlns:a16="http://schemas.microsoft.com/office/drawing/2014/main" id="{C33CB506-0D6E-48FE-83CF-81407ECB57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95875" y="152399"/>
          <a:ext cx="2219325" cy="70685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2139385-6D56-4A4F-ADA0-A2027CE71211}" autoFormatId="16" applyNumberFormats="0" applyBorderFormats="0" applyFontFormats="0" applyPatternFormats="0" applyAlignmentFormats="0" applyWidthHeightFormats="0">
  <queryTableRefresh nextId="53" unboundColumnsRight="38">
    <queryTableFields count="51">
      <queryTableField id="1" name="Designation Imperial (in x lb/ft)" tableColumnId="1"/>
      <queryTableField id="2" name="Depth h (in)" tableColumnId="2"/>
      <queryTableField id="3" name="Width w (in)" tableColumnId="3"/>
      <queryTableField id="4" name="Web Thickness tw (in)" tableColumnId="4"/>
      <queryTableField id="5" name="Flange Thickness tf (in)" tableColumnId="5"/>
      <queryTableField id="6" name="Sectional Area (in2)" tableColumnId="6"/>
      <queryTableField id="7" name="Weight (lbf/ft)" tableColumnId="7"/>
      <queryTableField id="8" name="Static Parameters Moment of Inertia Ix (in4)" tableColumnId="8"/>
      <queryTableField id="9" name="Static Parameters Moment of Inertia Iy (in4)" tableColumnId="9"/>
      <queryTableField id="19" dataBound="0" tableColumnId="19"/>
      <queryTableField id="18" dataBound="0" tableColumnId="18"/>
      <queryTableField id="10" name="Static Parameters Elastic Section Modulus Sx (in3)" tableColumnId="10"/>
      <queryTableField id="11" name="Static Parameters Elastic Section Modulus Sy (in3)" tableColumnId="11"/>
      <queryTableField id="13" dataBound="0" tableColumnId="13"/>
      <queryTableField id="20" dataBound="0" tableColumnId="21"/>
      <queryTableField id="12" dataBound="0" tableColumnId="12"/>
      <queryTableField id="14" dataBound="0" tableColumnId="14"/>
      <queryTableField id="15" dataBound="0" tableColumnId="15"/>
      <queryTableField id="16" dataBound="0" tableColumnId="16"/>
      <queryTableField id="17" dataBound="0" tableColumnId="17"/>
      <queryTableField id="21" dataBound="0" tableColumnId="22"/>
      <queryTableField id="26" dataBound="0" tableColumnId="33"/>
      <queryTableField id="23" dataBound="0" tableColumnId="20"/>
      <queryTableField id="22" dataBound="0" tableColumnId="23"/>
      <queryTableField id="24" dataBound="0" tableColumnId="24"/>
      <queryTableField id="25" dataBound="0" tableColumnId="25"/>
      <queryTableField id="33" dataBound="0" tableColumnId="26"/>
      <queryTableField id="27" dataBound="0" tableColumnId="27"/>
      <queryTableField id="28" dataBound="0" tableColumnId="28"/>
      <queryTableField id="34" dataBound="0" tableColumnId="32"/>
      <queryTableField id="46" dataBound="0" tableColumnId="45"/>
      <queryTableField id="29" dataBound="0" tableColumnId="29"/>
      <queryTableField id="30" dataBound="0" tableColumnId="30"/>
      <queryTableField id="37" dataBound="0" tableColumnId="37"/>
      <queryTableField id="38" dataBound="0" tableColumnId="38"/>
      <queryTableField id="49" dataBound="0" tableColumnId="48"/>
      <queryTableField id="31" dataBound="0" tableColumnId="31"/>
      <queryTableField id="35" dataBound="0" tableColumnId="34"/>
      <queryTableField id="36" dataBound="0" tableColumnId="35"/>
      <queryTableField id="48" dataBound="0" tableColumnId="47"/>
      <queryTableField id="44" dataBound="0" tableColumnId="43"/>
      <queryTableField id="43" dataBound="0" tableColumnId="42"/>
      <queryTableField id="45" dataBound="0" tableColumnId="44"/>
      <queryTableField id="47" dataBound="0" tableColumnId="46"/>
      <queryTableField id="50" dataBound="0" tableColumnId="49"/>
      <queryTableField id="40" dataBound="0" tableColumnId="36"/>
      <queryTableField id="42" dataBound="0" tableColumnId="41"/>
      <queryTableField id="41" dataBound="0" tableColumnId="40"/>
      <queryTableField id="39" dataBound="0" tableColumnId="39"/>
      <queryTableField id="51" dataBound="0" tableColumnId="51"/>
      <queryTableField id="52" dataBound="0" tableColumnId="5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04F2C0-E752-4C20-B4E9-05CA36884889}" name="Table_03" displayName="Table_03" ref="A8:AY242" tableType="queryTable" totalsRowShown="0" headerRowDxfId="53" dataDxfId="51" headerRowBorderDxfId="52">
  <autoFilter ref="A8:AY242" xr:uid="{CB55F112-F0E1-4B11-9867-700648E6109A}"/>
  <tableColumns count="51">
    <tableColumn id="1" xr3:uid="{165BA4B1-F223-4673-A2E4-D35009F9E989}" uniqueName="1" name="Designation Imperial (in x lb/ft)" queryTableFieldId="1" dataDxfId="50"/>
    <tableColumn id="2" xr3:uid="{748E1268-0A6B-4A8B-AD3F-A4919F8F8B8D}" uniqueName="2" name="Depth h (in)" queryTableFieldId="2" dataDxfId="49"/>
    <tableColumn id="3" xr3:uid="{63440007-2239-40D5-AF04-D979E988AD24}" uniqueName="3" name="Width w (in)" queryTableFieldId="3" dataDxfId="48"/>
    <tableColumn id="4" xr3:uid="{7D6B510C-6B80-4D23-8597-57980716E91C}" uniqueName="4" name="Web Thickness tw (in)" queryTableFieldId="4" dataDxfId="47"/>
    <tableColumn id="5" xr3:uid="{E1865B80-17BA-401D-B799-DACBBE367176}" uniqueName="5" name="Flange Thickness tf (in)" queryTableFieldId="5" dataDxfId="46"/>
    <tableColumn id="6" xr3:uid="{25D5FF86-E161-4FC4-BA5E-54ED82573BFD}" uniqueName="6" name="Sectional Area (in2)" queryTableFieldId="6" dataDxfId="45"/>
    <tableColumn id="7" xr3:uid="{E6E22ECB-E626-4CCA-BEFD-38DB5170218D}" uniqueName="7" name="Weight (lbf/ft)" queryTableFieldId="7" dataDxfId="44"/>
    <tableColumn id="8" xr3:uid="{880BDBB9-BD8F-4553-A715-F952B903C800}" uniqueName="8" name="Static Parameters Moment of Inertia Ix (in4)" queryTableFieldId="8" dataDxfId="43"/>
    <tableColumn id="9" xr3:uid="{18B6F70C-770C-4547-A5D6-2144E8484933}" uniqueName="9" name="Static Parameters Moment of Inertia Iy (in4)" queryTableFieldId="9" dataDxfId="42"/>
    <tableColumn id="19" xr3:uid="{B26B0A5B-9CD6-4CC1-BD91-A17F5F0652DF}" uniqueName="19" name="Static Parameters Plastic Section Modulus Zx (in3)" queryTableFieldId="19" dataDxfId="41">
      <calculatedColumnFormula>Table_03[[#This Row],[Width w (in)]]*Table_03[[#This Row],[Flange Thickness tf (in)]]*(Table_03[[#This Row],[Depth h (in)]]-Table_03[[#This Row],[Flange Thickness tf (in)]])+0.25*Table_03[[#This Row],[Web Thickness tw (in)]]*(Table_03[[#This Row],[Depth h (in)]]-2*Table_03[[#This Row],[Flange Thickness tf (in)]])^2</calculatedColumnFormula>
    </tableColumn>
    <tableColumn id="18" xr3:uid="{65D1533A-5A2B-4311-9E89-F945929235EC}" uniqueName="18" name="Static Parameters Plastic Section Modulus Zy (in3)" queryTableFieldId="18" dataDxfId="40">
      <calculatedColumnFormula>(Table_03[[#This Row],[Width w (in)]]^2*Table_03[[#This Row],[Flange Thickness tf (in)]])/2+0.25*Table_03[[#This Row],[Web Thickness tw (in)]]^2*(Table_03[[#This Row],[Depth h (in)]]-2*Table_03[[#This Row],[Flange Thickness tf (in)]])</calculatedColumnFormula>
    </tableColumn>
    <tableColumn id="10" xr3:uid="{BE1088B1-8DAD-4A66-8A0B-1085D0712406}" uniqueName="10" name="Static Parameters Elastic Section Modulus Sx (in3)2" queryTableFieldId="10" dataDxfId="39"/>
    <tableColumn id="11" xr3:uid="{F3001036-D501-4BAF-8428-032BBE26886F}" uniqueName="11" name="Static Parameters Elastic Section Modulus Sy (in3)3" queryTableFieldId="11" dataDxfId="38"/>
    <tableColumn id="13" xr3:uid="{13AE9611-CFBC-4C2A-B152-8F3AB2538101}" uniqueName="13" name="Strength (ksi)" queryTableFieldId="13" dataDxfId="37"/>
    <tableColumn id="21" xr3:uid="{2BA5AFCA-0592-4EA8-84EC-F1CAA0FD7E83}" uniqueName="21" name="rx (in)2" queryTableFieldId="20" dataDxfId="36">
      <calculatedColumnFormula>SQRT(Table_03[[#This Row],[Static Parameters Moment of Inertia Ix (in4)]]/Table_03[[#This Row],[Sectional Area (in2)]])</calculatedColumnFormula>
    </tableColumn>
    <tableColumn id="12" xr3:uid="{760FD3C1-7DFF-49B0-9CDC-42C306FFA1A1}" uniqueName="12" name="ry (in)2" queryTableFieldId="12" dataDxfId="35">
      <calculatedColumnFormula>SQRT(Table_03[[#This Row],[Static Parameters Moment of Inertia Iy (in4)]]/Table_03[[#This Row],[Sectional Area (in2)]])</calculatedColumnFormula>
    </tableColumn>
    <tableColumn id="14" xr3:uid="{4DB7A596-562B-43CC-885F-D5E547A1C8C2}" uniqueName="14" name="KL/ry" queryTableFieldId="14" dataDxfId="34">
      <calculatedColumnFormula>($B$6*$B$5*12)/Table_03[[#This Row],[ry (in)2]]</calculatedColumnFormula>
    </tableColumn>
    <tableColumn id="15" xr3:uid="{E9A121AC-3452-4D8F-AA99-F2E734A24767}" uniqueName="15" name="Fe,y" queryTableFieldId="15" dataDxfId="33">
      <calculatedColumnFormula>(PI()^2*$B$4)/(Table_03[[#This Row],[KL/ry]]^2)</calculatedColumnFormula>
    </tableColumn>
    <tableColumn id="16" xr3:uid="{123A5A8F-583A-4A95-993B-5F2886B2A83C}" uniqueName="16" name="Fcr,y" queryTableFieldId="16" dataDxfId="32">
      <calculatedColumnFormula>IF(Table_03[[#This Row],[Strength (ksi)]]/Table_03[[#This Row],[Fe,y]]&lt;2.25,(0.658^(Table_03[[#This Row],[Strength (ksi)]]/Table_03[[#This Row],[Fe,y]])*Table_03[[#This Row],[Strength (ksi)]]),0.877*Table_03[[#This Row],[Fe,y]])</calculatedColumnFormula>
    </tableColumn>
    <tableColumn id="17" xr3:uid="{4360FAAC-2131-4CD1-B16D-F0C9E50D7FB3}" uniqueName="17" name="Pn,fb,y" queryTableFieldId="17" dataDxfId="31">
      <calculatedColumnFormula>Table_03[[#This Row],[Fcr,y]]*Table_03[[#This Row],[Sectional Area (in2)]]</calculatedColumnFormula>
    </tableColumn>
    <tableColumn id="22" xr3:uid="{82D17AE9-C9F0-4A05-8005-8AFE62D83282}" uniqueName="22" name="Lp (ft)" queryTableFieldId="21" dataDxfId="30">
      <calculatedColumnFormula>1.76*Table_03[[#This Row],[ry (in)2]]*SQRT($B$4/Table_03[[#This Row],[Strength (ksi)]])/12</calculatedColumnFormula>
    </tableColumn>
    <tableColumn id="33" xr3:uid="{C5718EE3-EA5A-4D0A-94CB-0B01E4664E7B}" uniqueName="33" name="Lr" queryTableFieldId="26" dataDxfId="29">
      <calculatedColumnFormula>(1.95*Table_03[[#This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calculatedColumnFormula>
    </tableColumn>
    <tableColumn id="20" xr3:uid="{A752225A-5C5C-4DA5-AC9F-E66A094DCE1A}" uniqueName="20" name="ho" queryTableFieldId="23" dataDxfId="28">
      <calculatedColumnFormula>Table_03[[#This Row],[Depth h (in)]]-Table_03[[#This Row],[Flange Thickness tf (in)]]</calculatedColumnFormula>
    </tableColumn>
    <tableColumn id="23" xr3:uid="{05F92F6E-F002-42C7-917D-8720F4FCF9CD}" uniqueName="23" name="Cw*" queryTableFieldId="22" dataDxfId="27">
      <calculatedColumnFormula>(Table_03[[#This Row],[Static Parameters Moment of Inertia Iy (in4)]]*Table_03[[#This Row],[ho]]^2)/4</calculatedColumnFormula>
    </tableColumn>
    <tableColumn id="24" xr3:uid="{05B16661-71BD-4C0F-94DB-FEE71D531412}" uniqueName="24" name="rts" queryTableFieldId="24" dataDxfId="26">
      <calculatedColumnFormula>SQRT((SQRT(Table_03[[#This Row],[Static Parameters Moment of Inertia Iy (in4)]]*Table_03[[#This Row],[Cw*]])/Table_03[[#This Row],[Static Parameters Elastic Section Modulus Sx (in3)2]]))</calculatedColumnFormula>
    </tableColumn>
    <tableColumn id="25" xr3:uid="{4C1E9078-A329-4FBC-BD37-842B4FAE302A}" uniqueName="25" name="J*" queryTableFieldId="25" dataDxfId="25">
      <calculatedColumnFormula>(2*Table_03[[#This Row],[Width w (in)]]*Table_03[[#This Row],[Flange Thickness tf (in)]]^3/3)+((Table_03[[#This Row],[Depth h (in)]]-Table_03[[#This Row],[Flange Thickness tf (in)]]*2)*Table_03[[#This Row],[Web Thickness tw (in)]]^3)/3</calculatedColumnFormula>
    </tableColumn>
    <tableColumn id="26" xr3:uid="{25EBB665-5D83-4E5E-816B-227CBCE4F487}" uniqueName="26" name="b/t" queryTableFieldId="33" dataDxfId="24">
      <calculatedColumnFormula>Table_03[[#This Row],[Width w (in)]]*0.5/Table_03[[#This Row],[Flange Thickness tf (in)]]</calculatedColumnFormula>
    </tableColumn>
    <tableColumn id="27" xr3:uid="{BB3D1131-F1D7-460B-9F29-1FD146BDE73B}" uniqueName="27" name="λpf" queryTableFieldId="27" dataDxfId="23">
      <calculatedColumnFormula>0.38*SQRT($B$4/Table_03[[#This Row],[Strength (ksi)]])</calculatedColumnFormula>
    </tableColumn>
    <tableColumn id="28" xr3:uid="{B0719B66-0400-459D-949C-B20AFB232DD5}" uniqueName="28" name="λrf" queryTableFieldId="28" dataDxfId="22">
      <calculatedColumnFormula>1*SQRT($B$4/Table_03[[#This Row],[Strength (ksi)]])</calculatedColumnFormula>
    </tableColumn>
    <tableColumn id="32" xr3:uid="{FABA5372-904E-4E62-BF9A-7468692A2099}" uniqueName="32" name="Fcrx" queryTableFieldId="34" dataDxfId="21">
      <calculatedColumnFormula>(PI()^2*$B$4/(12*$B$5/Table_03[[#This Row],[rts]])^2)*SQRT(1+0.078*(Table_03[[#This Row],[J*]]/(Table_03[[#This Row],[Static Parameters Elastic Section Modulus Sx (in3)2]]*Table_03[[#This Row],[ho]])*$B$4/(12*$B$5/Table_03[[#This Row],[rts]])^2))</calculatedColumnFormula>
    </tableColumn>
    <tableColumn id="45" xr3:uid="{ED41F5A1-73B8-4F54-B241-1DC5BBD9727D}" uniqueName="45" name="Fcry" queryTableFieldId="46" dataDxfId="20">
      <calculatedColumnFormula>0.69*$B$4/Table_03[[#This Row],[b/t]]^2</calculatedColumnFormula>
    </tableColumn>
    <tableColumn id="29" xr3:uid="{2184CAF7-8DD6-4171-8D5C-274C4ED6EFB7}" uniqueName="29" name="Mp (k-in)" queryTableFieldId="29" dataDxfId="19">
      <calculatedColumnFormula>Table_03[[#This Row],[Strength (ksi)]]*Table_03[[#This Row],[Static Parameters Plastic Section Modulus Zx (in3)]]</calculatedColumnFormula>
    </tableColumn>
    <tableColumn id="30" xr3:uid="{39980884-CB7E-4A75-8155-C22874D7D856}" uniqueName="30" name="Mnlb,Non-Compact (k-in)" queryTableFieldId="30" dataDxfId="18">
      <calculatedColumnFormula>Table_03[[#This Row],[Mp (k-in)]]-(Table_03[[#This Row],[Mp (k-in)]]-0.7*Table_03[[#This Row],[Strength (ksi)]]*Table_03[[#This Row],[Static Parameters Elastic Section Modulus Sx (in3)2]])*((Table_03[[#This Row],[b/t]]-Table_03[[#This Row],[λpf]])/(Table_03[[#This Row],[λrf]]-Table_03[[#This Row],[λpf]]))</calculatedColumnFormula>
    </tableColumn>
    <tableColumn id="37" xr3:uid="{B4743AEE-E75C-4585-9F0B-58D2D9D9EFAF}" uniqueName="37" name="Mnlb,slender (k-in)" queryTableFieldId="37" dataDxfId="17">
      <calculatedColumnFormula>0.9*$B$4*Table_03[[#This Row],[kc]]*Table_03[[#This Row],[Static Parameters Elastic Section Modulus Sx (in3)2]]/Table_03[[#This Row],[b/t]]^2</calculatedColumnFormula>
    </tableColumn>
    <tableColumn id="38" xr3:uid="{BDB1182B-2A2F-4348-A746-084BFE9485E0}" uniqueName="38" name="Controlling LBx" queryTableFieldId="38" dataDxfId="16">
      <calculatedColumnFormula>IF(Table_03[[#This Row],[b/t]]&lt;Table_03[[#This Row],[λpf]],"Compact",IF(AND(Table_03[[#This Row],[b/t]]&gt;Table_03[[#This Row],[λpf]],Table_03[[#This Row],[λrf]]&gt;Table_03[[#This Row],[b/t]]),"Non-Compact","Slender"))</calculatedColumnFormula>
    </tableColumn>
    <tableColumn id="48" xr3:uid="{FAD89C5E-A45B-4A2E-8D62-6057389B25DE}" uniqueName="48" name="LBx" queryTableFieldId="49" dataDxfId="15">
      <calculatedColumnFormula>IF(Table_03[[#This Row],[Controlling LBx]]="Compact",Table_03[[#This Row],[Mp (k-in)]],IF(Table_03[[#This Row],[Controlling LBx]]="Non-Compact",Table_03[[#This Row],[Mnlb,Non-Compact (k-in)]],IF(Table_03[[#This Row],[Controlling LBx]]="Slender",Table_03[[#This Row],[Mnlb,slender (k-in)]],"ERROR")))</calculatedColumnFormula>
    </tableColumn>
    <tableColumn id="31" xr3:uid="{84A815EA-F5AD-44E4-A8B1-E005F2D32BFB}" uniqueName="31" name="Mnltbp (k-in)" queryTableFieldId="31" dataDxfId="14">
      <calculatedColumnFormula>Table_03[[#This Row],[Mp (k-in)]]-(Table_03[[#This Row],[Mp (k-in)]]-0.7*Table_03[[#This Row],[Strength (ksi)]]*Table_03[[#This Row],[Static Parameters Elastic Section Modulus Sx (in3)2]])*(($B$5-Table_03[[#This Row],[Lp (ft)]])/(Table_03[[#This Row],[Lr]]-Table_03[[#This Row],[Lp (ft)]]))</calculatedColumnFormula>
    </tableColumn>
    <tableColumn id="34" xr3:uid="{C3A2B09E-07E2-432E-9BFF-826F7FBADEFC}" uniqueName="34" name="Mnltbr (k-in)" queryTableFieldId="35" dataDxfId="13">
      <calculatedColumnFormula>Table_03[[#This Row],[Fcrx]]*Table_03[[#This Row],[Static Parameters Elastic Section Modulus Sx (in3)2]]</calculatedColumnFormula>
    </tableColumn>
    <tableColumn id="35" xr3:uid="{3FA3E26E-B8E4-485A-91A8-E27F1F1DEB01}" uniqueName="35" name="Controlling LTB" queryTableFieldId="36" dataDxfId="12">
      <calculatedColumnFormula>IF($B$5&lt;Table_03[[#This Row],[Lp (ft)]],"Yielding Controls",IF(AND($B$5&gt;Table_03[[#This Row],[Lp (ft)]],Table_03[[#This Row],[Lr]]&gt;$B$5),"Mltb,p Controls","Mltb,r Controls"))</calculatedColumnFormula>
    </tableColumn>
    <tableColumn id="47" xr3:uid="{81E9F065-47FE-4C0E-9785-14CB7FC932D6}" uniqueName="47" name="LTB" queryTableFieldId="48" dataDxfId="11">
      <calculatedColumnFormula>IF(Table_03[[#This Row],[Controlling LTB]]="Yielding Controls",Table_03[[#This Row],[Mp (k-in)]],IF(Table_03[[#This Row],[Controlling LTB]]="Mltb,p Controls",Table_03[[#This Row],[Mnltbp (k-in)]],IF(Table_03[[#This Row],[Controlling LTB]]="Mltb,r Controls",Table_03[[#This Row],[Mnltbr (k-in)]],"ERROR")))</calculatedColumnFormula>
    </tableColumn>
    <tableColumn id="43" xr3:uid="{EF95E7DA-8801-4E71-BC78-4A3A7B1A5B79}" uniqueName="43" name="Mny (k-in)" queryTableFieldId="44" dataDxfId="10">
      <calculatedColumnFormula>MIN(Table_03[[#This Row],[Strength (ksi)]]*Table_03[[#This Row],[Static Parameters Plastic Section Modulus Zy (in3)]],1.6*Table_03[[#This Row],[Strength (ksi)]]*Table_03[[#This Row],[Static Parameters Elastic Section Modulus Sy (in3)3]])</calculatedColumnFormula>
    </tableColumn>
    <tableColumn id="42" xr3:uid="{D9D1F853-6D17-4CB4-A386-5E97CAC9F962}" uniqueName="42" name="Mlby,Non-Compact (k-in)" queryTableFieldId="43" dataDxfId="9">
      <calculatedColumnFormula>MIN(Table_03[[#This Row],[Mny (k-in)]],Table_03[[#This Row],[Mny (k-in)]]-(Table_03[[#This Row],[Mny (k-in)]]-0.7*Table_03[[#This Row],[Static Parameters Elastic Section Modulus Sy (in3)3]]*Table_03[[#This Row],[Strength (ksi)]])*((Table_03[[#This Row],[b/t]]-Table_03[[#This Row],[λpf]])/(Table_03[[#This Row],[λrf]]-Table_03[[#This Row],[λpf]])))</calculatedColumnFormula>
    </tableColumn>
    <tableColumn id="44" xr3:uid="{9D630891-2BE5-494A-9058-B00D236101AC}" uniqueName="44" name="Mlby,Slender (k-in)" queryTableFieldId="45" dataDxfId="8">
      <calculatedColumnFormula>MIN(Table_03[[#This Row],[Mny (k-in)]],Table_03[[#This Row],[Fcry]]*Table_03[[#This Row],[Static Parameters Elastic Section Modulus Sy (in3)3]])</calculatedColumnFormula>
    </tableColumn>
    <tableColumn id="46" xr3:uid="{B140478C-EC50-4F74-84F7-EBE456EA99DE}" uniqueName="46" name="Controlling Lby" queryTableFieldId="47" dataDxfId="7">
      <calculatedColumnFormula>IF(Table_03[[#This Row],[b/t]]&lt;Table_03[[#This Row],[λpf]],"Compact",IF(AND(Table_03[[#This Row],[b/t]]&gt;Table_03[[#This Row],[λpf]],Table_03[[#This Row],[λrf]]&gt;Table_03[[#This Row],[b/t]]),"Non-Compact","Slender"))</calculatedColumnFormula>
    </tableColumn>
    <tableColumn id="49" xr3:uid="{D48A4EE5-2807-4703-BE5F-AFF810D6388E}" uniqueName="49" name="LBy" queryTableFieldId="50" dataDxfId="6">
      <calculatedColumnFormula>IF(Table_03[[#This Row],[Controlling Lby]]="Compact",Table_03[[#This Row],[Mny (k-in)]],IF(Table_03[[#This Row],[Controlling Lby]]="Non-Compact",Table_03[[#This Row],[Mlby,Non-Compact (k-in)]],IF(Table_03[[#This Row],[Controlling Lby]]="Slender",Table_03[[#This Row],[Mlby,Slender (k-in)]],"ERROR")))</calculatedColumnFormula>
    </tableColumn>
    <tableColumn id="36" xr3:uid="{48B0D980-E6B9-4EB6-B943-3EE11E8DD15A}" uniqueName="36" name="Controlling Mnx @ AG (k-in)" queryTableFieldId="40" dataDxfId="5">
      <calculatedColumnFormula>MIN(Table_03[[#This Row],[LBx]],Table_03[[#This Row],[LTB]],Table_03[[#This Row],[Mp (k-in)]])</calculatedColumnFormula>
    </tableColumn>
    <tableColumn id="41" xr3:uid="{837207A9-3588-4A1E-B768-A068DA1A9E40}" uniqueName="41" name="Controlling Mnx @ MM (k-in)" queryTableFieldId="42" dataDxfId="4">
      <calculatedColumnFormula>Table_03[[#This Row],[Mp (k-in)]]</calculatedColumnFormula>
    </tableColumn>
    <tableColumn id="40" xr3:uid="{F805FEBA-A1B4-47D7-B62C-034852352CDF}" uniqueName="40" name="Controlling Mny @ AG (k-in)" queryTableFieldId="41" dataDxfId="3">
      <calculatedColumnFormula>MIN(Table_03[[#This Row],[LBy]],Table_03[[#This Row],[Mny (k-in)]])</calculatedColumnFormula>
    </tableColumn>
    <tableColumn id="39" xr3:uid="{17180633-C4B6-4D2E-A789-2B93190A248A}" uniqueName="39" name="Controlling Mny @ MM (k-in)" queryTableFieldId="39" dataDxfId="2">
      <calculatedColumnFormula>Table_03[[#This Row],[Mny (k-in)]]</calculatedColumnFormula>
    </tableColumn>
    <tableColumn id="51" xr3:uid="{771F0FBA-E86A-41DC-8E1F-B755F9281C0E}" uniqueName="51" name="Fillet Radius" queryTableFieldId="51" dataDxfId="1">
      <calculatedColumnFormula>SQRT(((Table_03[[#This Row],[Sectional Area (in2)]]-(Table_03[[#This Row],[Flange Thickness tf (in)]]*Table_03[[#This Row],[Width w (in)]]*2+Table_03[[#This Row],[Web Thickness tw (in)]]*((Table_03[[#This Row],[Depth h (in)]]-2*Table_03[[#This Row],[Flange Thickness tf (in)]]))))/4)/(1-PI()/4))</calculatedColumnFormula>
    </tableColumn>
    <tableColumn id="52" xr3:uid="{D4B7EF80-F8F0-4C4D-A66E-7343610F4572}" uniqueName="52" name="kc" queryTableFieldId="52" dataDxfId="0">
      <calculatedColumnFormula>IF(4/SQRT((Table_03[[#This Row],[Depth h (in)]]-Table_03[[#This Row],[Flange Thickness tf (in)]]*2)/Table_03[[#This Row],[Web Thickness tw (in)]])&lt;0.35,0.35,IF(4/SQRT(Table_03[[#This Row],[Depth h (in)]]/Table_03[[#This Row],[Web Thickness tw (in)]])&gt;0.76,0.76,4/SQRT(Table_03[[#This Row],[Depth h (in)]]/Table_03[[#This Row],[Web Thickness tw (in)]])))</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473BD-ED0B-4B05-B564-782F5CC7EDA0}">
  <sheetPr codeName="Dashboard">
    <tabColor rgb="FF305033"/>
    <pageSetUpPr fitToPage="1"/>
  </sheetPr>
  <dimension ref="A1:AT202"/>
  <sheetViews>
    <sheetView topLeftCell="B1" zoomScale="95" zoomScaleNormal="95" workbookViewId="0">
      <selection activeCell="G20" sqref="G20"/>
    </sheetView>
  </sheetViews>
  <sheetFormatPr defaultColWidth="0" defaultRowHeight="16.2" customHeight="1" zeroHeight="1" x14ac:dyDescent="0.3"/>
  <cols>
    <col min="1" max="1" width="3.109375" style="69" customWidth="1"/>
    <col min="2" max="3" width="11.6640625" style="69" customWidth="1"/>
    <col min="4" max="4" width="12.6640625" style="69" customWidth="1"/>
    <col min="5" max="7" width="11.6640625" style="69" customWidth="1"/>
    <col min="8" max="8" width="12.6640625" style="69" customWidth="1"/>
    <col min="9" max="11" width="11.6640625" style="69" customWidth="1"/>
    <col min="12" max="12" width="12.6640625" style="69" customWidth="1"/>
    <col min="13" max="13" width="11.6640625" style="69" customWidth="1"/>
    <col min="14" max="24" width="12.6640625" style="69" customWidth="1"/>
    <col min="25" max="25" width="8.44140625" style="69" bestFit="1" customWidth="1"/>
    <col min="26" max="26" width="12.6640625" style="69" bestFit="1" customWidth="1"/>
    <col min="27" max="27" width="20.6640625" style="69" bestFit="1" customWidth="1"/>
    <col min="28" max="28" width="9.5546875" style="69" bestFit="1" customWidth="1"/>
    <col min="29" max="29" width="12.6640625" style="69" bestFit="1" customWidth="1"/>
    <col min="30" max="30" width="9.6640625" style="69" bestFit="1" customWidth="1"/>
    <col min="31" max="31" width="14.33203125" style="69" bestFit="1" customWidth="1"/>
    <col min="32" max="32" width="9.109375" style="69" bestFit="1" customWidth="1"/>
    <col min="33" max="33" width="10.33203125" style="69" bestFit="1" customWidth="1"/>
    <col min="34" max="34" width="14.6640625" style="69" bestFit="1" customWidth="1"/>
    <col min="35" max="35" width="5.6640625" style="69" bestFit="1" customWidth="1"/>
    <col min="36" max="36" width="8.44140625" style="69" bestFit="1" customWidth="1"/>
    <col min="37" max="37" width="12.6640625" style="69" bestFit="1" customWidth="1"/>
    <col min="38" max="38" width="20.6640625" style="69" bestFit="1" customWidth="1"/>
    <col min="39" max="39" width="9.6640625" style="69" bestFit="1" customWidth="1"/>
    <col min="40" max="40" width="12.6640625" style="69" bestFit="1" customWidth="1"/>
    <col min="41" max="41" width="9.6640625" style="69" bestFit="1" customWidth="1"/>
    <col min="42" max="42" width="14.33203125" style="69" bestFit="1" customWidth="1"/>
    <col min="43" max="43" width="9.109375" style="69" bestFit="1" customWidth="1"/>
    <col min="44" max="44" width="10.33203125" style="69" bestFit="1" customWidth="1"/>
    <col min="45" max="45" width="14.6640625" style="69" bestFit="1" customWidth="1"/>
    <col min="46" max="46" width="5.6640625" style="69" bestFit="1" customWidth="1"/>
    <col min="47" max="16384" width="9.109375" style="69" hidden="1"/>
  </cols>
  <sheetData>
    <row r="1" spans="1:46" ht="16.2" customHeight="1" x14ac:dyDescent="0.3"/>
    <row r="2" spans="1:46" ht="16.2" customHeight="1" x14ac:dyDescent="0.3">
      <c r="B2" s="70" t="s">
        <v>1182</v>
      </c>
      <c r="C2" s="395" t="s">
        <v>1234</v>
      </c>
      <c r="D2" s="395"/>
      <c r="E2" s="71" t="s">
        <v>0</v>
      </c>
      <c r="F2" s="72"/>
      <c r="M2" s="388" t="s">
        <v>1</v>
      </c>
      <c r="N2" s="389"/>
      <c r="O2" s="389"/>
      <c r="P2" s="389"/>
      <c r="Q2" s="389"/>
      <c r="R2" s="389"/>
      <c r="S2" s="390"/>
      <c r="U2" s="83" t="s">
        <v>1009</v>
      </c>
      <c r="V2" s="83" t="s">
        <v>1151</v>
      </c>
      <c r="W2" s="83" t="s">
        <v>1154</v>
      </c>
      <c r="Y2" s="351" t="s">
        <v>628</v>
      </c>
      <c r="Z2" s="351" t="s">
        <v>629</v>
      </c>
      <c r="AA2" s="351" t="s">
        <v>630</v>
      </c>
      <c r="AB2" s="351" t="s">
        <v>631</v>
      </c>
      <c r="AC2" s="351" t="s">
        <v>632</v>
      </c>
      <c r="AD2" s="351" t="s">
        <v>633</v>
      </c>
      <c r="AE2" s="351" t="s">
        <v>634</v>
      </c>
      <c r="AF2" s="351" t="s">
        <v>635</v>
      </c>
      <c r="AG2" s="351" t="s">
        <v>636</v>
      </c>
      <c r="AH2" s="351" t="s">
        <v>637</v>
      </c>
      <c r="AI2" s="352"/>
      <c r="AJ2" s="351" t="s">
        <v>628</v>
      </c>
      <c r="AK2" s="351" t="s">
        <v>629</v>
      </c>
      <c r="AL2" s="351" t="s">
        <v>630</v>
      </c>
      <c r="AM2" s="351" t="s">
        <v>631</v>
      </c>
      <c r="AN2" s="351" t="s">
        <v>632</v>
      </c>
      <c r="AO2" s="351" t="s">
        <v>633</v>
      </c>
      <c r="AP2" s="351" t="s">
        <v>634</v>
      </c>
      <c r="AQ2" s="351" t="s">
        <v>635</v>
      </c>
      <c r="AR2" s="351" t="s">
        <v>636</v>
      </c>
      <c r="AS2" s="351" t="s">
        <v>637</v>
      </c>
    </row>
    <row r="3" spans="1:46" ht="16.2" customHeight="1" x14ac:dyDescent="0.3">
      <c r="M3" s="406" t="s">
        <v>1191</v>
      </c>
      <c r="N3" s="407"/>
      <c r="O3" s="407"/>
      <c r="P3" s="407"/>
      <c r="Q3" s="407"/>
      <c r="R3" s="407"/>
      <c r="S3" s="408"/>
      <c r="U3" s="85" t="s">
        <v>1005</v>
      </c>
      <c r="V3" s="85" t="s">
        <v>1144</v>
      </c>
      <c r="W3" s="85" t="s">
        <v>1153</v>
      </c>
      <c r="Y3" s="73"/>
      <c r="Z3" s="73"/>
      <c r="AA3" s="73"/>
      <c r="AB3" s="73"/>
      <c r="AC3" s="73"/>
      <c r="AD3" s="73"/>
      <c r="AE3" s="73"/>
      <c r="AF3" s="73"/>
      <c r="AG3" s="73"/>
      <c r="AH3" s="73"/>
      <c r="AI3" s="69" t="b">
        <f t="shared" ref="AI3:AI34" si="0">AND(Z3&gt;0,AC3&gt;0)</f>
        <v>0</v>
      </c>
      <c r="AJ3" s="74"/>
      <c r="AK3" s="74"/>
      <c r="AL3" s="74"/>
      <c r="AM3" s="74"/>
      <c r="AN3" s="74"/>
      <c r="AO3" s="74"/>
      <c r="AP3" s="74"/>
      <c r="AQ3" s="74"/>
      <c r="AR3" s="74"/>
      <c r="AS3" s="74"/>
      <c r="AT3" s="69" t="b">
        <f t="shared" ref="AT3:AT66" si="1">AND(AK3&gt;0,AN3&gt;0)</f>
        <v>0</v>
      </c>
    </row>
    <row r="4" spans="1:46" ht="16.2" customHeight="1" x14ac:dyDescent="0.3">
      <c r="B4" s="401" t="s">
        <v>1040</v>
      </c>
      <c r="C4" s="309" t="s">
        <v>1077</v>
      </c>
      <c r="D4" s="75"/>
      <c r="E4" s="76"/>
      <c r="F4" s="331" t="s">
        <v>684</v>
      </c>
      <c r="M4" s="406"/>
      <c r="N4" s="407"/>
      <c r="O4" s="407"/>
      <c r="P4" s="407"/>
      <c r="Q4" s="407"/>
      <c r="R4" s="407"/>
      <c r="S4" s="408"/>
      <c r="U4" s="87" t="s">
        <v>1086</v>
      </c>
      <c r="V4" s="87" t="s">
        <v>1145</v>
      </c>
      <c r="W4" s="87" t="s">
        <v>1160</v>
      </c>
      <c r="Y4" s="73"/>
      <c r="Z4" s="73"/>
      <c r="AA4" s="73"/>
      <c r="AB4" s="73"/>
      <c r="AC4" s="73"/>
      <c r="AD4" s="73"/>
      <c r="AE4" s="73"/>
      <c r="AF4" s="73"/>
      <c r="AG4" s="73"/>
      <c r="AH4" s="73"/>
      <c r="AI4" s="69" t="b">
        <f t="shared" si="0"/>
        <v>0</v>
      </c>
      <c r="AJ4" s="74"/>
      <c r="AK4" s="74"/>
      <c r="AL4" s="74"/>
      <c r="AM4" s="74"/>
      <c r="AN4" s="74"/>
      <c r="AO4" s="74"/>
      <c r="AP4" s="74"/>
      <c r="AQ4" s="74"/>
      <c r="AR4" s="74"/>
      <c r="AS4" s="74"/>
      <c r="AT4" s="69" t="b">
        <f t="shared" si="1"/>
        <v>0</v>
      </c>
    </row>
    <row r="5" spans="1:46" ht="16.2" customHeight="1" x14ac:dyDescent="0.3">
      <c r="B5" s="401"/>
      <c r="C5" s="311" t="s">
        <v>1169</v>
      </c>
      <c r="D5" s="81"/>
      <c r="E5" s="82"/>
      <c r="F5" s="332">
        <v>65</v>
      </c>
      <c r="M5" s="403" t="s">
        <v>3</v>
      </c>
      <c r="N5" s="404"/>
      <c r="O5" s="404"/>
      <c r="P5" s="404"/>
      <c r="Q5" s="404"/>
      <c r="R5" s="404"/>
      <c r="S5" s="405"/>
      <c r="U5" s="88" t="s">
        <v>1006</v>
      </c>
      <c r="V5" s="88" t="s">
        <v>1152</v>
      </c>
      <c r="W5" s="88" t="s">
        <v>1155</v>
      </c>
      <c r="Y5" s="73"/>
      <c r="Z5" s="73"/>
      <c r="AA5" s="73"/>
      <c r="AB5" s="73"/>
      <c r="AC5" s="73"/>
      <c r="AD5" s="73"/>
      <c r="AE5" s="73"/>
      <c r="AF5" s="73"/>
      <c r="AG5" s="73"/>
      <c r="AH5" s="73"/>
      <c r="AI5" s="69" t="b">
        <f t="shared" si="0"/>
        <v>0</v>
      </c>
      <c r="AJ5" s="74"/>
      <c r="AK5" s="74"/>
      <c r="AL5" s="74"/>
      <c r="AM5" s="74"/>
      <c r="AN5" s="74"/>
      <c r="AO5" s="74"/>
      <c r="AP5" s="74"/>
      <c r="AQ5" s="74"/>
      <c r="AR5" s="74"/>
      <c r="AS5" s="74"/>
      <c r="AT5" s="69" t="b">
        <f t="shared" si="1"/>
        <v>0</v>
      </c>
    </row>
    <row r="6" spans="1:46" ht="16.2" customHeight="1" x14ac:dyDescent="0.3">
      <c r="B6" s="401"/>
      <c r="C6" s="310" t="s">
        <v>1170</v>
      </c>
      <c r="D6" s="77"/>
      <c r="E6" s="78"/>
      <c r="F6" s="108">
        <f>Pile.Fy+15</f>
        <v>80</v>
      </c>
      <c r="H6" s="396" t="s">
        <v>1002</v>
      </c>
      <c r="I6" s="396"/>
      <c r="J6" s="396"/>
      <c r="K6" s="396"/>
      <c r="M6" s="403"/>
      <c r="N6" s="404"/>
      <c r="O6" s="404"/>
      <c r="P6" s="404"/>
      <c r="Q6" s="404"/>
      <c r="R6" s="404"/>
      <c r="S6" s="405"/>
      <c r="U6" s="117" t="s">
        <v>1149</v>
      </c>
      <c r="V6" s="117" t="s">
        <v>1150</v>
      </c>
      <c r="W6" s="117" t="s">
        <v>1156</v>
      </c>
      <c r="Y6" s="73"/>
      <c r="Z6" s="73"/>
      <c r="AA6" s="73"/>
      <c r="AB6" s="73"/>
      <c r="AC6" s="73"/>
      <c r="AD6" s="73"/>
      <c r="AE6" s="73"/>
      <c r="AF6" s="73"/>
      <c r="AG6" s="73"/>
      <c r="AH6" s="73"/>
      <c r="AI6" s="69" t="b">
        <f t="shared" si="0"/>
        <v>0</v>
      </c>
      <c r="AJ6" s="74"/>
      <c r="AK6" s="74"/>
      <c r="AL6" s="74"/>
      <c r="AM6" s="74"/>
      <c r="AN6" s="74"/>
      <c r="AO6" s="74"/>
      <c r="AP6" s="74"/>
      <c r="AQ6" s="74"/>
      <c r="AR6" s="74"/>
      <c r="AS6" s="74"/>
      <c r="AT6" s="69" t="b">
        <f t="shared" si="1"/>
        <v>0</v>
      </c>
    </row>
    <row r="7" spans="1:46" ht="16.2" customHeight="1" x14ac:dyDescent="0.3">
      <c r="B7" s="401"/>
      <c r="C7" s="310" t="s">
        <v>1164</v>
      </c>
      <c r="D7" s="77"/>
      <c r="E7" s="78"/>
      <c r="F7" s="393">
        <v>0</v>
      </c>
      <c r="H7" s="402" t="s">
        <v>1418</v>
      </c>
      <c r="I7" s="402"/>
      <c r="J7" s="402"/>
      <c r="K7" s="402"/>
      <c r="M7" s="403" t="s">
        <v>4</v>
      </c>
      <c r="N7" s="404"/>
      <c r="O7" s="404"/>
      <c r="P7" s="404"/>
      <c r="Q7" s="404"/>
      <c r="R7" s="404"/>
      <c r="S7" s="405"/>
      <c r="U7" s="92" t="s">
        <v>1007</v>
      </c>
      <c r="V7" s="92" t="s">
        <v>1147</v>
      </c>
      <c r="W7" s="92" t="s">
        <v>1157</v>
      </c>
      <c r="Y7" s="73"/>
      <c r="Z7" s="73"/>
      <c r="AA7" s="73"/>
      <c r="AB7" s="73"/>
      <c r="AC7" s="73"/>
      <c r="AD7" s="73"/>
      <c r="AE7" s="73"/>
      <c r="AF7" s="73"/>
      <c r="AG7" s="73"/>
      <c r="AH7" s="73"/>
      <c r="AI7" s="69" t="b">
        <f t="shared" si="0"/>
        <v>0</v>
      </c>
      <c r="AJ7" s="74"/>
      <c r="AK7" s="74"/>
      <c r="AL7" s="74"/>
      <c r="AM7" s="74"/>
      <c r="AN7" s="74"/>
      <c r="AO7" s="74"/>
      <c r="AP7" s="74"/>
      <c r="AQ7" s="74"/>
      <c r="AR7" s="74"/>
      <c r="AS7" s="74"/>
      <c r="AT7" s="69" t="b">
        <f t="shared" si="1"/>
        <v>0</v>
      </c>
    </row>
    <row r="8" spans="1:46" ht="16.2" customHeight="1" x14ac:dyDescent="0.3">
      <c r="B8" s="401"/>
      <c r="C8" s="310" t="s">
        <v>1087</v>
      </c>
      <c r="D8" s="77"/>
      <c r="E8" s="78"/>
      <c r="F8" s="394">
        <v>7.125</v>
      </c>
      <c r="M8" s="403"/>
      <c r="N8" s="404"/>
      <c r="O8" s="404"/>
      <c r="P8" s="404"/>
      <c r="Q8" s="404"/>
      <c r="R8" s="404"/>
      <c r="S8" s="405"/>
      <c r="U8" s="94" t="s">
        <v>1008</v>
      </c>
      <c r="V8" s="94" t="s">
        <v>1146</v>
      </c>
      <c r="W8" s="94" t="s">
        <v>1158</v>
      </c>
      <c r="Y8" s="73"/>
      <c r="Z8" s="73"/>
      <c r="AA8" s="73"/>
      <c r="AB8" s="73"/>
      <c r="AC8" s="73"/>
      <c r="AD8" s="73"/>
      <c r="AE8" s="73"/>
      <c r="AF8" s="73"/>
      <c r="AG8" s="73"/>
      <c r="AH8" s="73"/>
      <c r="AI8" s="69" t="b">
        <f t="shared" si="0"/>
        <v>0</v>
      </c>
      <c r="AJ8" s="74"/>
      <c r="AK8" s="74"/>
      <c r="AL8" s="74"/>
      <c r="AM8" s="74"/>
      <c r="AN8" s="74"/>
      <c r="AO8" s="74"/>
      <c r="AP8" s="74"/>
      <c r="AQ8" s="74"/>
      <c r="AR8" s="74"/>
      <c r="AS8" s="74"/>
      <c r="AT8" s="69" t="b">
        <f t="shared" si="1"/>
        <v>0</v>
      </c>
    </row>
    <row r="9" spans="1:46" ht="16.2" customHeight="1" x14ac:dyDescent="0.3">
      <c r="B9" s="401"/>
      <c r="C9" s="311" t="s">
        <v>1047</v>
      </c>
      <c r="D9" s="81"/>
      <c r="E9" s="82"/>
      <c r="F9" s="393">
        <v>12</v>
      </c>
      <c r="H9" s="409" t="s">
        <v>1038</v>
      </c>
      <c r="I9" s="410"/>
      <c r="J9" s="410"/>
      <c r="K9" s="411"/>
      <c r="M9" s="403"/>
      <c r="N9" s="404"/>
      <c r="O9" s="404"/>
      <c r="P9" s="404"/>
      <c r="Q9" s="404"/>
      <c r="R9" s="404"/>
      <c r="S9" s="405"/>
      <c r="U9" s="308" t="s">
        <v>1143</v>
      </c>
      <c r="V9" s="308" t="s">
        <v>1148</v>
      </c>
      <c r="W9" s="308" t="s">
        <v>1159</v>
      </c>
      <c r="Y9" s="73"/>
      <c r="Z9" s="73"/>
      <c r="AA9" s="73"/>
      <c r="AB9" s="73"/>
      <c r="AC9" s="73"/>
      <c r="AD9" s="73"/>
      <c r="AE9" s="73"/>
      <c r="AF9" s="73"/>
      <c r="AG9" s="73"/>
      <c r="AH9" s="73"/>
      <c r="AI9" s="69" t="b">
        <f t="shared" si="0"/>
        <v>0</v>
      </c>
      <c r="AJ9" s="74"/>
      <c r="AK9" s="74"/>
      <c r="AL9" s="74"/>
      <c r="AM9" s="74"/>
      <c r="AN9" s="74"/>
      <c r="AO9" s="74"/>
      <c r="AP9" s="74"/>
      <c r="AQ9" s="74"/>
      <c r="AR9" s="74"/>
      <c r="AS9" s="74"/>
      <c r="AT9" s="69" t="b">
        <f t="shared" si="1"/>
        <v>0</v>
      </c>
    </row>
    <row r="10" spans="1:46" ht="16.2" customHeight="1" x14ac:dyDescent="0.3">
      <c r="B10" s="401"/>
      <c r="C10" s="310" t="s">
        <v>1050</v>
      </c>
      <c r="D10" s="77"/>
      <c r="E10" s="78"/>
      <c r="F10" s="332">
        <v>40</v>
      </c>
      <c r="H10" s="330"/>
      <c r="I10" s="79" t="s">
        <v>1078</v>
      </c>
      <c r="J10" s="79" t="s">
        <v>671</v>
      </c>
      <c r="K10" s="329"/>
      <c r="M10" s="416" t="s">
        <v>11</v>
      </c>
      <c r="N10" s="417"/>
      <c r="O10" s="417"/>
      <c r="P10" s="417"/>
      <c r="Q10" s="417"/>
      <c r="R10" s="417"/>
      <c r="S10" s="418"/>
      <c r="Y10" s="73"/>
      <c r="Z10" s="73"/>
      <c r="AA10" s="73"/>
      <c r="AB10" s="73"/>
      <c r="AC10" s="73"/>
      <c r="AD10" s="73"/>
      <c r="AE10" s="73"/>
      <c r="AF10" s="73"/>
      <c r="AG10" s="73"/>
      <c r="AH10" s="73"/>
      <c r="AI10" s="69" t="b">
        <f t="shared" si="0"/>
        <v>0</v>
      </c>
      <c r="AJ10" s="74"/>
      <c r="AK10" s="74"/>
      <c r="AL10" s="74"/>
      <c r="AM10" s="74"/>
      <c r="AN10" s="74"/>
      <c r="AO10" s="74"/>
      <c r="AP10" s="74"/>
      <c r="AQ10" s="74"/>
      <c r="AR10" s="74"/>
      <c r="AS10" s="74"/>
      <c r="AT10" s="69" t="b">
        <f t="shared" si="1"/>
        <v>0</v>
      </c>
    </row>
    <row r="11" spans="1:46" ht="16.2" customHeight="1" x14ac:dyDescent="0.3">
      <c r="B11" s="401"/>
      <c r="C11" s="310" t="s">
        <v>1051</v>
      </c>
      <c r="D11" s="77"/>
      <c r="E11" s="78"/>
      <c r="F11" s="86">
        <f>Pile.Embed+Pile.Reveal</f>
        <v>19.125</v>
      </c>
      <c r="H11" s="326" t="s">
        <v>668</v>
      </c>
      <c r="I11" s="331">
        <v>2E-3</v>
      </c>
      <c r="J11" s="331">
        <v>0.36</v>
      </c>
      <c r="K11" s="323" t="s">
        <v>670</v>
      </c>
      <c r="M11" s="387" t="s">
        <v>1190</v>
      </c>
      <c r="Y11" s="73"/>
      <c r="Z11" s="73"/>
      <c r="AA11" s="73"/>
      <c r="AB11" s="73"/>
      <c r="AC11" s="73"/>
      <c r="AD11" s="73"/>
      <c r="AE11" s="73"/>
      <c r="AF11" s="73"/>
      <c r="AG11" s="73"/>
      <c r="AH11" s="73"/>
      <c r="AI11" s="69" t="b">
        <f t="shared" si="0"/>
        <v>0</v>
      </c>
      <c r="AJ11" s="74"/>
      <c r="AK11" s="74"/>
      <c r="AL11" s="74"/>
      <c r="AM11" s="74"/>
      <c r="AN11" s="74"/>
      <c r="AO11" s="74"/>
      <c r="AP11" s="74"/>
      <c r="AQ11" s="74"/>
      <c r="AR11" s="74"/>
      <c r="AS11" s="74"/>
      <c r="AT11" s="69" t="b">
        <f t="shared" si="1"/>
        <v>0</v>
      </c>
    </row>
    <row r="12" spans="1:46" ht="16.2" customHeight="1" x14ac:dyDescent="0.3">
      <c r="A12" s="91"/>
      <c r="B12" s="401"/>
      <c r="C12" s="310" t="s">
        <v>1048</v>
      </c>
      <c r="D12" s="77"/>
      <c r="E12" s="78"/>
      <c r="F12" s="104">
        <v>2.1</v>
      </c>
      <c r="H12" s="327" t="s">
        <v>669</v>
      </c>
      <c r="I12" s="333">
        <v>1.6E-2</v>
      </c>
      <c r="J12" s="333">
        <v>1.44</v>
      </c>
      <c r="K12" s="324" t="s">
        <v>670</v>
      </c>
      <c r="Y12" s="73"/>
      <c r="Z12" s="73"/>
      <c r="AA12" s="73"/>
      <c r="AB12" s="73"/>
      <c r="AC12" s="73"/>
      <c r="AD12" s="73"/>
      <c r="AE12" s="73"/>
      <c r="AF12" s="73"/>
      <c r="AG12" s="73"/>
      <c r="AH12" s="73"/>
      <c r="AI12" s="69" t="b">
        <f t="shared" si="0"/>
        <v>0</v>
      </c>
      <c r="AJ12" s="74"/>
      <c r="AK12" s="74"/>
      <c r="AL12" s="74"/>
      <c r="AM12" s="74"/>
      <c r="AN12" s="74"/>
      <c r="AO12" s="74"/>
      <c r="AP12" s="74"/>
      <c r="AQ12" s="74"/>
      <c r="AR12" s="74"/>
      <c r="AS12" s="74"/>
      <c r="AT12" s="69" t="b">
        <f t="shared" si="1"/>
        <v>0</v>
      </c>
    </row>
    <row r="13" spans="1:46" ht="16.2" customHeight="1" x14ac:dyDescent="0.3">
      <c r="B13" s="401"/>
      <c r="C13" s="312" t="s">
        <v>1049</v>
      </c>
      <c r="D13" s="89"/>
      <c r="E13" s="90"/>
      <c r="F13" s="107">
        <v>29000</v>
      </c>
      <c r="H13" s="328" t="s">
        <v>672</v>
      </c>
      <c r="I13" s="84">
        <f>IF($F$7/I11&gt;$F$10,0,($F$10-($F$7/I11))*I12)</f>
        <v>0.64</v>
      </c>
      <c r="J13" s="84">
        <f>IF($F$7/J11&gt;$F$10,0,($F$10-($F$7/J11))*J12)</f>
        <v>57.599999999999994</v>
      </c>
      <c r="K13" s="325" t="s">
        <v>348</v>
      </c>
      <c r="Y13" s="73"/>
      <c r="Z13" s="73"/>
      <c r="AA13" s="73"/>
      <c r="AB13" s="73"/>
      <c r="AC13" s="73"/>
      <c r="AD13" s="73"/>
      <c r="AE13" s="73"/>
      <c r="AF13" s="73"/>
      <c r="AG13" s="73"/>
      <c r="AH13" s="73"/>
      <c r="AI13" s="69" t="b">
        <f t="shared" si="0"/>
        <v>0</v>
      </c>
      <c r="AJ13" s="74"/>
      <c r="AK13" s="74"/>
      <c r="AL13" s="74"/>
      <c r="AM13" s="74"/>
      <c r="AN13" s="74"/>
      <c r="AO13" s="74"/>
      <c r="AP13" s="74"/>
      <c r="AQ13" s="74"/>
      <c r="AR13" s="74"/>
      <c r="AS13" s="74"/>
      <c r="AT13" s="69" t="b">
        <f t="shared" si="1"/>
        <v>0</v>
      </c>
    </row>
    <row r="14" spans="1:46" ht="16.2" customHeight="1" x14ac:dyDescent="0.3">
      <c r="H14" s="72"/>
      <c r="Y14" s="73"/>
      <c r="Z14" s="73"/>
      <c r="AA14" s="73"/>
      <c r="AB14" s="73"/>
      <c r="AC14" s="73"/>
      <c r="AD14" s="73"/>
      <c r="AE14" s="73"/>
      <c r="AF14" s="73"/>
      <c r="AG14" s="73"/>
      <c r="AH14" s="73"/>
      <c r="AI14" s="69" t="b">
        <f t="shared" si="0"/>
        <v>0</v>
      </c>
      <c r="AJ14" s="74"/>
      <c r="AK14" s="74"/>
      <c r="AL14" s="74"/>
      <c r="AM14" s="74"/>
      <c r="AN14" s="74"/>
      <c r="AO14" s="74"/>
      <c r="AP14" s="74"/>
      <c r="AQ14" s="74"/>
      <c r="AR14" s="74"/>
      <c r="AS14" s="74"/>
      <c r="AT14" s="69" t="b">
        <f t="shared" si="1"/>
        <v>0</v>
      </c>
    </row>
    <row r="15" spans="1:46" ht="16.2" customHeight="1" x14ac:dyDescent="0.3">
      <c r="B15" s="396" t="s">
        <v>1035</v>
      </c>
      <c r="C15" s="93" t="s">
        <v>1039</v>
      </c>
      <c r="D15" s="398" t="s">
        <v>1249</v>
      </c>
      <c r="E15" s="399"/>
      <c r="F15" s="400"/>
      <c r="H15" s="314" t="s">
        <v>1057</v>
      </c>
      <c r="I15" s="315"/>
      <c r="J15" s="93" t="s">
        <v>1088</v>
      </c>
      <c r="K15" s="334">
        <v>0.77500000000000002</v>
      </c>
      <c r="L15" s="72"/>
      <c r="Y15" s="73"/>
      <c r="Z15" s="73"/>
      <c r="AA15" s="73"/>
      <c r="AB15" s="73"/>
      <c r="AC15" s="73"/>
      <c r="AD15" s="73"/>
      <c r="AE15" s="73"/>
      <c r="AF15" s="73"/>
      <c r="AG15" s="73"/>
      <c r="AH15" s="73"/>
      <c r="AI15" s="69" t="b">
        <f t="shared" si="0"/>
        <v>0</v>
      </c>
      <c r="AJ15" s="74"/>
      <c r="AK15" s="74"/>
      <c r="AL15" s="74"/>
      <c r="AM15" s="74"/>
      <c r="AN15" s="74"/>
      <c r="AO15" s="74"/>
      <c r="AP15" s="74"/>
      <c r="AQ15" s="74"/>
      <c r="AR15" s="74"/>
      <c r="AS15" s="74"/>
      <c r="AT15" s="69" t="b">
        <f t="shared" si="1"/>
        <v>0</v>
      </c>
    </row>
    <row r="16" spans="1:46" ht="16.2" customHeight="1" x14ac:dyDescent="0.3">
      <c r="B16" s="396"/>
      <c r="C16" s="397" t="s">
        <v>659</v>
      </c>
      <c r="D16" s="309" t="s">
        <v>1042</v>
      </c>
      <c r="E16" s="95"/>
      <c r="F16" s="96">
        <f>VLOOKUP($D$15,TOPL.data,3,FALSE)</f>
        <v>1458</v>
      </c>
      <c r="H16" s="316" t="s">
        <v>1052</v>
      </c>
      <c r="I16" s="317"/>
      <c r="J16" s="97" t="s">
        <v>1089</v>
      </c>
      <c r="K16" s="98">
        <f>Pile.Reveal+TT.Offset</f>
        <v>7.9</v>
      </c>
      <c r="Y16" s="73"/>
      <c r="Z16" s="73"/>
      <c r="AA16" s="73"/>
      <c r="AB16" s="73"/>
      <c r="AC16" s="73"/>
      <c r="AD16" s="73"/>
      <c r="AE16" s="73"/>
      <c r="AF16" s="73"/>
      <c r="AG16" s="73"/>
      <c r="AH16" s="73"/>
      <c r="AI16" s="69" t="b">
        <f t="shared" si="0"/>
        <v>0</v>
      </c>
      <c r="AJ16" s="74"/>
      <c r="AK16" s="74"/>
      <c r="AL16" s="74"/>
      <c r="AM16" s="74"/>
      <c r="AN16" s="74"/>
      <c r="AO16" s="74"/>
      <c r="AP16" s="74"/>
      <c r="AQ16" s="74"/>
      <c r="AR16" s="74"/>
      <c r="AS16" s="74"/>
      <c r="AT16" s="69" t="b">
        <f t="shared" si="1"/>
        <v>0</v>
      </c>
    </row>
    <row r="17" spans="2:46" ht="16.2" customHeight="1" x14ac:dyDescent="0.3">
      <c r="B17" s="396"/>
      <c r="C17" s="397"/>
      <c r="D17" s="311" t="s">
        <v>1041</v>
      </c>
      <c r="E17" s="78"/>
      <c r="F17" s="99">
        <f>-VLOOKUP($D$15,TOPL.data,6,FALSE)</f>
        <v>-15668.999999999996</v>
      </c>
      <c r="H17" s="419" t="s">
        <v>1058</v>
      </c>
      <c r="I17" s="420"/>
      <c r="J17" s="397" t="s">
        <v>1083</v>
      </c>
      <c r="K17" s="397"/>
      <c r="L17" s="397" t="s">
        <v>1084</v>
      </c>
      <c r="M17" s="397"/>
      <c r="O17" s="397" t="s">
        <v>1083</v>
      </c>
      <c r="P17" s="397"/>
      <c r="Q17" s="397"/>
      <c r="R17" s="397" t="s">
        <v>1084</v>
      </c>
      <c r="S17" s="397"/>
      <c r="T17" s="397"/>
      <c r="Y17" s="73"/>
      <c r="Z17" s="73"/>
      <c r="AA17" s="73"/>
      <c r="AB17" s="73"/>
      <c r="AC17" s="73"/>
      <c r="AD17" s="73"/>
      <c r="AE17" s="73"/>
      <c r="AF17" s="73"/>
      <c r="AG17" s="73"/>
      <c r="AH17" s="73"/>
      <c r="AI17" s="69" t="b">
        <f t="shared" si="0"/>
        <v>0</v>
      </c>
      <c r="AJ17" s="74"/>
      <c r="AK17" s="74"/>
      <c r="AL17" s="74"/>
      <c r="AM17" s="74"/>
      <c r="AN17" s="74"/>
      <c r="AO17" s="74"/>
      <c r="AP17" s="74"/>
      <c r="AQ17" s="74"/>
      <c r="AR17" s="74"/>
      <c r="AS17" s="74"/>
      <c r="AT17" s="69" t="b">
        <f t="shared" si="1"/>
        <v>0</v>
      </c>
    </row>
    <row r="18" spans="2:46" ht="16.2" customHeight="1" x14ac:dyDescent="0.3">
      <c r="B18" s="396"/>
      <c r="C18" s="397"/>
      <c r="D18" s="311" t="s">
        <v>1076</v>
      </c>
      <c r="E18" s="82"/>
      <c r="F18" s="99">
        <f>VLOOKUP($D$15,TOPL.data,4,FALSE)</f>
        <v>1548.5</v>
      </c>
      <c r="H18" s="309" t="s">
        <v>5</v>
      </c>
      <c r="I18" s="319"/>
      <c r="J18" s="95" t="s">
        <v>6</v>
      </c>
      <c r="K18" s="340">
        <v>123718.91061160481</v>
      </c>
      <c r="L18" s="100" t="s">
        <v>7</v>
      </c>
      <c r="M18" s="340">
        <v>39709.852064819657</v>
      </c>
      <c r="O18" s="309" t="s">
        <v>1056</v>
      </c>
      <c r="P18" s="80"/>
      <c r="Q18" s="101">
        <f>F17</f>
        <v>-15668.999999999996</v>
      </c>
      <c r="R18" s="309" t="s">
        <v>1056</v>
      </c>
      <c r="S18" s="80"/>
      <c r="T18" s="331">
        <v>1</v>
      </c>
      <c r="Y18" s="73"/>
      <c r="Z18" s="73"/>
      <c r="AA18" s="73"/>
      <c r="AB18" s="73"/>
      <c r="AC18" s="73"/>
      <c r="AD18" s="73"/>
      <c r="AE18" s="73"/>
      <c r="AF18" s="73"/>
      <c r="AG18" s="73"/>
      <c r="AH18" s="73"/>
      <c r="AI18" s="69" t="b">
        <f t="shared" si="0"/>
        <v>0</v>
      </c>
      <c r="AJ18" s="74"/>
      <c r="AK18" s="74"/>
      <c r="AL18" s="74"/>
      <c r="AM18" s="74"/>
      <c r="AN18" s="74"/>
      <c r="AO18" s="74"/>
      <c r="AP18" s="74"/>
      <c r="AQ18" s="74"/>
      <c r="AR18" s="74"/>
      <c r="AS18" s="74"/>
      <c r="AT18" s="69" t="b">
        <f t="shared" si="1"/>
        <v>0</v>
      </c>
    </row>
    <row r="19" spans="2:46" ht="16.2" customHeight="1" x14ac:dyDescent="0.3">
      <c r="B19" s="396"/>
      <c r="C19" s="397"/>
      <c r="D19" s="313" t="s">
        <v>1046</v>
      </c>
      <c r="E19" s="90"/>
      <c r="F19" s="102">
        <f>VLOOKUP($D$15,TOPL.data,5,FALSE)</f>
        <v>0</v>
      </c>
      <c r="H19" s="311" t="s">
        <v>8</v>
      </c>
      <c r="I19" s="320"/>
      <c r="J19" s="78" t="s">
        <v>9</v>
      </c>
      <c r="K19" s="341">
        <v>1414.3784631468895</v>
      </c>
      <c r="L19" s="104" t="s">
        <v>10</v>
      </c>
      <c r="M19" s="341">
        <v>375.11521787767907</v>
      </c>
      <c r="O19" s="311" t="s">
        <v>1054</v>
      </c>
      <c r="P19" s="105"/>
      <c r="Q19" s="106">
        <f>F16</f>
        <v>1458</v>
      </c>
      <c r="R19" s="311" t="s">
        <v>1054</v>
      </c>
      <c r="S19" s="105"/>
      <c r="T19" s="332">
        <f>MAX(F20:F22)</f>
        <v>409.447</v>
      </c>
      <c r="Y19" s="73"/>
      <c r="Z19" s="73"/>
      <c r="AA19" s="73"/>
      <c r="AB19" s="73"/>
      <c r="AC19" s="73"/>
      <c r="AD19" s="73"/>
      <c r="AE19" s="73"/>
      <c r="AF19" s="73"/>
      <c r="AG19" s="73"/>
      <c r="AH19" s="73"/>
      <c r="AI19" s="69" t="b">
        <f t="shared" si="0"/>
        <v>0</v>
      </c>
      <c r="AJ19" s="74"/>
      <c r="AK19" s="74"/>
      <c r="AL19" s="74"/>
      <c r="AM19" s="74"/>
      <c r="AN19" s="74"/>
      <c r="AO19" s="74"/>
      <c r="AP19" s="74"/>
      <c r="AQ19" s="74"/>
      <c r="AR19" s="74"/>
      <c r="AS19" s="74"/>
      <c r="AT19" s="69" t="b">
        <f t="shared" si="1"/>
        <v>0</v>
      </c>
    </row>
    <row r="20" spans="2:46" ht="16.2" customHeight="1" x14ac:dyDescent="0.3">
      <c r="B20" s="396"/>
      <c r="C20" s="397" t="s">
        <v>658</v>
      </c>
      <c r="D20" s="309" t="s">
        <v>1045</v>
      </c>
      <c r="E20" s="95"/>
      <c r="F20" s="96">
        <f>VLOOKUP($D$15,TOPL.data,7,FALSE)</f>
        <v>321.73</v>
      </c>
      <c r="H20" s="311" t="s">
        <v>12</v>
      </c>
      <c r="I20" s="320"/>
      <c r="J20" s="78" t="s">
        <v>6</v>
      </c>
      <c r="K20" s="341">
        <v>131587</v>
      </c>
      <c r="L20" s="107" t="s">
        <v>7</v>
      </c>
      <c r="M20" s="342">
        <v>40752</v>
      </c>
      <c r="O20" s="322" t="s">
        <v>1053</v>
      </c>
      <c r="P20" s="105"/>
      <c r="Q20" s="108">
        <f>(TOPL.M_external+TOPL.Shear*(TT.Offset*12))</f>
        <v>-2109.5999999999949</v>
      </c>
      <c r="R20" s="322" t="s">
        <v>1053</v>
      </c>
      <c r="S20" s="105"/>
      <c r="T20" s="108">
        <f>TOPL.M_external_weak+TOPL.Shear.Weak*TT.Offset*12</f>
        <v>3808.8571000000002</v>
      </c>
      <c r="Y20" s="73"/>
      <c r="Z20" s="73"/>
      <c r="AA20" s="73"/>
      <c r="AB20" s="73"/>
      <c r="AC20" s="73"/>
      <c r="AD20" s="73"/>
      <c r="AE20" s="73"/>
      <c r="AF20" s="73"/>
      <c r="AG20" s="73"/>
      <c r="AH20" s="73"/>
      <c r="AI20" s="69" t="b">
        <f t="shared" si="0"/>
        <v>0</v>
      </c>
      <c r="AJ20" s="74"/>
      <c r="AK20" s="74"/>
      <c r="AL20" s="74"/>
      <c r="AM20" s="74"/>
      <c r="AN20" s="74"/>
      <c r="AO20" s="74"/>
      <c r="AP20" s="74"/>
      <c r="AQ20" s="74"/>
      <c r="AR20" s="74"/>
      <c r="AS20" s="74"/>
      <c r="AT20" s="69" t="b">
        <f t="shared" si="1"/>
        <v>0</v>
      </c>
    </row>
    <row r="21" spans="2:46" ht="16.2" customHeight="1" x14ac:dyDescent="0.3">
      <c r="B21" s="396"/>
      <c r="C21" s="397"/>
      <c r="D21" s="311" t="s">
        <v>1044</v>
      </c>
      <c r="E21" s="78"/>
      <c r="F21" s="99">
        <f>VLOOKUP($D$15,TOPL.data,8,FALSE)</f>
        <v>87.716999999999999</v>
      </c>
      <c r="H21" s="311" t="s">
        <v>13</v>
      </c>
      <c r="I21" s="320"/>
      <c r="J21" s="78" t="s">
        <v>14</v>
      </c>
      <c r="K21" s="341">
        <f>TOPL.Axial</f>
        <v>1548.5</v>
      </c>
      <c r="L21" s="72"/>
      <c r="M21" s="72"/>
      <c r="O21" s="313" t="s">
        <v>1055</v>
      </c>
      <c r="P21" s="109"/>
      <c r="Q21" s="110">
        <f>F18</f>
        <v>1548.5</v>
      </c>
      <c r="R21" s="313" t="s">
        <v>1055</v>
      </c>
      <c r="S21" s="109"/>
      <c r="T21" s="110">
        <f>TOPL.Axial</f>
        <v>1548.5</v>
      </c>
      <c r="Y21" s="73"/>
      <c r="Z21" s="73"/>
      <c r="AA21" s="73"/>
      <c r="AB21" s="73"/>
      <c r="AC21" s="73"/>
      <c r="AD21" s="73"/>
      <c r="AE21" s="73"/>
      <c r="AF21" s="73"/>
      <c r="AG21" s="73"/>
      <c r="AH21" s="73"/>
      <c r="AI21" s="69" t="b">
        <f t="shared" si="0"/>
        <v>0</v>
      </c>
      <c r="AJ21" s="74"/>
      <c r="AK21" s="74"/>
      <c r="AL21" s="74"/>
      <c r="AM21" s="74"/>
      <c r="AN21" s="74"/>
      <c r="AO21" s="74"/>
      <c r="AP21" s="74"/>
      <c r="AQ21" s="74"/>
      <c r="AR21" s="74"/>
      <c r="AS21" s="74"/>
      <c r="AT21" s="69" t="b">
        <f t="shared" si="1"/>
        <v>0</v>
      </c>
    </row>
    <row r="22" spans="2:46" ht="16.2" customHeight="1" x14ac:dyDescent="0.3">
      <c r="B22" s="396"/>
      <c r="C22" s="397"/>
      <c r="D22" s="313" t="s">
        <v>1043</v>
      </c>
      <c r="E22" s="90"/>
      <c r="F22" s="102">
        <f>VLOOKUP($D$15,TOPL.data,9,FALSE)</f>
        <v>409.447</v>
      </c>
      <c r="H22" s="313" t="s">
        <v>15</v>
      </c>
      <c r="I22" s="321"/>
      <c r="J22" s="90" t="s">
        <v>16</v>
      </c>
      <c r="K22" s="342">
        <f>F19</f>
        <v>0</v>
      </c>
      <c r="L22" s="72"/>
      <c r="M22" s="72"/>
      <c r="Y22" s="73"/>
      <c r="Z22" s="73"/>
      <c r="AA22" s="73"/>
      <c r="AB22" s="73"/>
      <c r="AC22" s="73"/>
      <c r="AD22" s="73"/>
      <c r="AE22" s="73"/>
      <c r="AF22" s="73"/>
      <c r="AG22" s="73"/>
      <c r="AH22" s="73"/>
      <c r="AI22" s="69" t="b">
        <f t="shared" si="0"/>
        <v>0</v>
      </c>
      <c r="AJ22" s="74"/>
      <c r="AK22" s="74"/>
      <c r="AL22" s="74"/>
      <c r="AM22" s="74"/>
      <c r="AN22" s="74"/>
      <c r="AO22" s="74"/>
      <c r="AP22" s="74"/>
      <c r="AQ22" s="74"/>
      <c r="AR22" s="74"/>
      <c r="AS22" s="74"/>
      <c r="AT22" s="69" t="b">
        <f t="shared" si="1"/>
        <v>0</v>
      </c>
    </row>
    <row r="23" spans="2:46" ht="16.2" customHeight="1" x14ac:dyDescent="0.3">
      <c r="P23" s="72"/>
      <c r="Y23" s="73"/>
      <c r="Z23" s="73"/>
      <c r="AA23" s="73"/>
      <c r="AB23" s="73"/>
      <c r="AC23" s="73"/>
      <c r="AD23" s="73"/>
      <c r="AE23" s="73"/>
      <c r="AF23" s="73"/>
      <c r="AG23" s="73"/>
      <c r="AH23" s="73"/>
      <c r="AI23" s="69" t="b">
        <f t="shared" si="0"/>
        <v>0</v>
      </c>
      <c r="AJ23" s="74"/>
      <c r="AK23" s="74"/>
      <c r="AL23" s="74"/>
      <c r="AM23" s="74"/>
      <c r="AN23" s="74"/>
      <c r="AO23" s="74"/>
      <c r="AP23" s="74"/>
      <c r="AQ23" s="74"/>
      <c r="AR23" s="74"/>
      <c r="AS23" s="74"/>
      <c r="AT23" s="69" t="b">
        <f t="shared" si="1"/>
        <v>0</v>
      </c>
    </row>
    <row r="24" spans="2:46" ht="16.2" customHeight="1" x14ac:dyDescent="0.3">
      <c r="B24" s="318" t="s">
        <v>1085</v>
      </c>
      <c r="C24" s="112"/>
      <c r="D24" s="113"/>
      <c r="E24" s="85" t="s">
        <v>344</v>
      </c>
      <c r="F24" s="85" t="s">
        <v>339</v>
      </c>
      <c r="H24" s="396" t="s">
        <v>647</v>
      </c>
      <c r="I24" s="396"/>
      <c r="J24" s="396"/>
      <c r="N24" s="114"/>
      <c r="O24" s="114"/>
      <c r="P24" s="114"/>
      <c r="Q24" s="114"/>
      <c r="R24" s="114"/>
      <c r="Y24" s="73"/>
      <c r="Z24" s="73"/>
      <c r="AA24" s="73"/>
      <c r="AB24" s="73"/>
      <c r="AC24" s="73"/>
      <c r="AD24" s="73"/>
      <c r="AE24" s="73"/>
      <c r="AF24" s="73"/>
      <c r="AG24" s="73"/>
      <c r="AH24" s="73"/>
      <c r="AI24" s="69" t="b">
        <f t="shared" si="0"/>
        <v>0</v>
      </c>
      <c r="AJ24" s="74"/>
      <c r="AK24" s="74"/>
      <c r="AL24" s="74"/>
      <c r="AM24" s="74"/>
      <c r="AN24" s="74"/>
      <c r="AO24" s="74"/>
      <c r="AP24" s="74"/>
      <c r="AQ24" s="74"/>
      <c r="AR24" s="74"/>
      <c r="AS24" s="74"/>
      <c r="AT24" s="69" t="b">
        <f t="shared" si="1"/>
        <v>0</v>
      </c>
    </row>
    <row r="25" spans="2:46" ht="16.2" customHeight="1" x14ac:dyDescent="0.3">
      <c r="B25" s="309" t="s">
        <v>18</v>
      </c>
      <c r="C25" s="75"/>
      <c r="D25" s="115" t="s">
        <v>1090</v>
      </c>
      <c r="E25" s="116">
        <f>IF(Corr.Soil=0,VLOOKUP(F4,Shapes.Table,4,FALSE),4*($E$30^2*(1-PI()/4))+2*$E$28*$E$29+$E$27*($E$26-2*$E$29))</f>
        <v>3.9122237998991132</v>
      </c>
      <c r="F25" s="116">
        <f>IF(Corr.ATM=0,VLOOKUP(F4,Shapes.Table,4,FALSE),4*($F$30^2*(1-PI()/4))+2*$F$28*$F$29+$F$27*($F$26-2*$F$29))</f>
        <v>5.9086755382025427</v>
      </c>
      <c r="H25" s="117" t="s">
        <v>648</v>
      </c>
      <c r="I25" s="339">
        <f>MAX(AG!D30:D43)</f>
        <v>0.65322936875618631</v>
      </c>
      <c r="J25" s="118" t="str">
        <f>IF(I25&gt;1,"NG","OK")</f>
        <v>OK</v>
      </c>
      <c r="Y25" s="73"/>
      <c r="Z25" s="73"/>
      <c r="AA25" s="73"/>
      <c r="AB25" s="73"/>
      <c r="AC25" s="73"/>
      <c r="AD25" s="73"/>
      <c r="AE25" s="73"/>
      <c r="AF25" s="73"/>
      <c r="AG25" s="73"/>
      <c r="AH25" s="73"/>
      <c r="AI25" s="69" t="b">
        <f t="shared" si="0"/>
        <v>0</v>
      </c>
      <c r="AJ25" s="74"/>
      <c r="AK25" s="74"/>
      <c r="AL25" s="74"/>
      <c r="AM25" s="74"/>
      <c r="AN25" s="74"/>
      <c r="AO25" s="74"/>
      <c r="AP25" s="74"/>
      <c r="AQ25" s="74"/>
      <c r="AR25" s="74"/>
      <c r="AS25" s="74"/>
      <c r="AT25" s="69" t="b">
        <f t="shared" si="1"/>
        <v>0</v>
      </c>
    </row>
    <row r="26" spans="2:46" ht="16.2" customHeight="1" x14ac:dyDescent="0.3">
      <c r="B26" s="311" t="s">
        <v>19</v>
      </c>
      <c r="C26" s="103"/>
      <c r="D26" s="82" t="s">
        <v>20</v>
      </c>
      <c r="E26" s="119">
        <f>(VLOOKUP(F4,Shapes.Table,5,FALSE))-((Corr.Soil/1000)*2)</f>
        <v>6.0848000000000004</v>
      </c>
      <c r="F26" s="119">
        <f>(VLOOKUP(F4,Shapes.Table,5,FALSE))-((Corr.ATM/1000)*2)</f>
        <v>6.1987199999999998</v>
      </c>
      <c r="H26" s="117" t="s">
        <v>649</v>
      </c>
      <c r="I26" s="339">
        <f>MAX(AM!D30:D43)</f>
        <v>0.57698490628463373</v>
      </c>
      <c r="J26" s="118" t="str">
        <f>IF(I26&gt;1,"NG","OK")</f>
        <v>OK</v>
      </c>
      <c r="Y26" s="73"/>
      <c r="Z26" s="73"/>
      <c r="AA26" s="73"/>
      <c r="AB26" s="73"/>
      <c r="AC26" s="73"/>
      <c r="AD26" s="73"/>
      <c r="AE26" s="73"/>
      <c r="AF26" s="73"/>
      <c r="AG26" s="73"/>
      <c r="AH26" s="73"/>
      <c r="AI26" s="69" t="b">
        <f t="shared" si="0"/>
        <v>0</v>
      </c>
      <c r="AJ26" s="74"/>
      <c r="AK26" s="74"/>
      <c r="AL26" s="74"/>
      <c r="AM26" s="74"/>
      <c r="AN26" s="74"/>
      <c r="AO26" s="74"/>
      <c r="AP26" s="74"/>
      <c r="AQ26" s="74"/>
      <c r="AR26" s="74"/>
      <c r="AS26" s="74"/>
      <c r="AT26" s="69" t="b">
        <f t="shared" si="1"/>
        <v>0</v>
      </c>
    </row>
    <row r="27" spans="2:46" ht="16.2" customHeight="1" x14ac:dyDescent="0.3">
      <c r="B27" s="311" t="s">
        <v>21</v>
      </c>
      <c r="C27" s="103"/>
      <c r="D27" s="82" t="s">
        <v>1091</v>
      </c>
      <c r="E27" s="119">
        <f>(VLOOKUP(F4,Shapes.Table,9,FALSE))-((Corr.Soil/1000)*2)</f>
        <v>0.14480000000000004</v>
      </c>
      <c r="F27" s="119">
        <f>(VLOOKUP(F4,Shapes.Table,9,FALSE))-((Corr.ATM/1000)*2)</f>
        <v>0.25872000000000001</v>
      </c>
      <c r="H27" s="117" t="s">
        <v>1167</v>
      </c>
      <c r="I27" s="339">
        <f>MAX('Soil Axial'!B67,'Soil Axial'!B83)</f>
        <v>0.11545981787425907</v>
      </c>
      <c r="J27" s="118" t="str">
        <f>IF(I27&gt;1,"NG","OK")</f>
        <v>OK</v>
      </c>
      <c r="N27" s="114"/>
      <c r="O27" s="114"/>
      <c r="P27" s="114"/>
      <c r="Q27" s="114"/>
      <c r="R27" s="114"/>
      <c r="Y27" s="73"/>
      <c r="Z27" s="73"/>
      <c r="AA27" s="73"/>
      <c r="AB27" s="73"/>
      <c r="AC27" s="73"/>
      <c r="AD27" s="73"/>
      <c r="AE27" s="73"/>
      <c r="AF27" s="73"/>
      <c r="AG27" s="73"/>
      <c r="AH27" s="73"/>
      <c r="AI27" s="69" t="b">
        <f t="shared" si="0"/>
        <v>0</v>
      </c>
      <c r="AJ27" s="74"/>
      <c r="AK27" s="74"/>
      <c r="AL27" s="74"/>
      <c r="AM27" s="74"/>
      <c r="AN27" s="74"/>
      <c r="AO27" s="74"/>
      <c r="AP27" s="74"/>
      <c r="AQ27" s="74"/>
      <c r="AR27" s="74"/>
      <c r="AS27" s="74"/>
      <c r="AT27" s="69" t="b">
        <f t="shared" si="1"/>
        <v>0</v>
      </c>
    </row>
    <row r="28" spans="2:46" ht="16.2" customHeight="1" x14ac:dyDescent="0.3">
      <c r="B28" s="311" t="s">
        <v>22</v>
      </c>
      <c r="C28" s="103"/>
      <c r="D28" s="82" t="s">
        <v>1092</v>
      </c>
      <c r="E28" s="119">
        <f>(VLOOKUP(F4,Shapes.Table,7,FALSE))-((Corr.Soil/1000)*2)</f>
        <v>5.9047999999999998</v>
      </c>
      <c r="F28" s="119">
        <f>(VLOOKUP(F4,Shapes.Table,7,FALSE))-((Corr.ATM/1000)*2)</f>
        <v>6.0187199999999992</v>
      </c>
      <c r="Y28" s="73"/>
      <c r="Z28" s="73"/>
      <c r="AA28" s="73"/>
      <c r="AB28" s="73"/>
      <c r="AC28" s="73"/>
      <c r="AD28" s="73"/>
      <c r="AE28" s="73"/>
      <c r="AF28" s="73"/>
      <c r="AG28" s="73"/>
      <c r="AH28" s="73"/>
      <c r="AI28" s="69" t="b">
        <f t="shared" si="0"/>
        <v>0</v>
      </c>
      <c r="AJ28" s="74"/>
      <c r="AK28" s="74"/>
      <c r="AL28" s="74"/>
      <c r="AM28" s="74"/>
      <c r="AN28" s="74"/>
      <c r="AO28" s="74"/>
      <c r="AP28" s="74"/>
      <c r="AQ28" s="74"/>
      <c r="AR28" s="74"/>
      <c r="AS28" s="74"/>
      <c r="AT28" s="69" t="b">
        <f t="shared" si="1"/>
        <v>0</v>
      </c>
    </row>
    <row r="29" spans="2:46" ht="16.2" customHeight="1" x14ac:dyDescent="0.3">
      <c r="B29" s="311" t="s">
        <v>23</v>
      </c>
      <c r="C29" s="103"/>
      <c r="D29" s="82" t="s">
        <v>1093</v>
      </c>
      <c r="E29" s="119">
        <f>(VLOOKUP(F4,Shapes.Table,12,FALSE))-((Corr.Soil/1000)*2)</f>
        <v>0.24980000000000002</v>
      </c>
      <c r="F29" s="119">
        <f>(VLOOKUP(F4,Shapes.Table,12,FALSE))-((Corr.ATM/1000)*2)</f>
        <v>0.36371999999999999</v>
      </c>
      <c r="H29" s="397" t="s">
        <v>1083</v>
      </c>
      <c r="I29" s="397"/>
      <c r="J29" s="397"/>
      <c r="Y29" s="73"/>
      <c r="Z29" s="73"/>
      <c r="AA29" s="73"/>
      <c r="AB29" s="73"/>
      <c r="AC29" s="73"/>
      <c r="AD29" s="73"/>
      <c r="AE29" s="73"/>
      <c r="AF29" s="73"/>
      <c r="AG29" s="73"/>
      <c r="AH29" s="73"/>
      <c r="AI29" s="69" t="b">
        <f t="shared" si="0"/>
        <v>0</v>
      </c>
      <c r="AJ29" s="74"/>
      <c r="AK29" s="74"/>
      <c r="AL29" s="74"/>
      <c r="AM29" s="74"/>
      <c r="AN29" s="74"/>
      <c r="AO29" s="74"/>
      <c r="AP29" s="74"/>
      <c r="AQ29" s="74"/>
      <c r="AR29" s="74"/>
      <c r="AS29" s="74"/>
      <c r="AT29" s="69" t="b">
        <f t="shared" si="1"/>
        <v>0</v>
      </c>
    </row>
    <row r="30" spans="2:46" ht="16.2" customHeight="1" x14ac:dyDescent="0.3">
      <c r="B30" s="313" t="s">
        <v>618</v>
      </c>
      <c r="C30" s="111"/>
      <c r="D30" s="120" t="s">
        <v>1094</v>
      </c>
      <c r="E30" s="121">
        <f>VLOOKUP(F4,Shapes.Table,14,FALSE)-CorrMem.Flange_t.BG+(Corr.Soil/1000)</f>
        <v>0.42279999999999995</v>
      </c>
      <c r="F30" s="121">
        <f>VLOOKUP(F4,Shapes.Table,14,FALSE)-CorrMem.Flange_t.BG+(Corr.ATM/1000)</f>
        <v>0.36583999999999994</v>
      </c>
      <c r="H30" s="309" t="s">
        <v>1165</v>
      </c>
      <c r="I30" s="95"/>
      <c r="J30" s="116">
        <f>MAX(Lpile.Deflection)</f>
        <v>0</v>
      </c>
      <c r="Y30" s="73"/>
      <c r="Z30" s="73"/>
      <c r="AA30" s="73"/>
      <c r="AB30" s="73"/>
      <c r="AC30" s="73"/>
      <c r="AD30" s="73"/>
      <c r="AE30" s="73"/>
      <c r="AF30" s="73"/>
      <c r="AG30" s="73"/>
      <c r="AH30" s="73"/>
      <c r="AI30" s="69" t="b">
        <f t="shared" si="0"/>
        <v>0</v>
      </c>
      <c r="AJ30" s="74"/>
      <c r="AK30" s="74"/>
      <c r="AL30" s="74"/>
      <c r="AM30" s="74"/>
      <c r="AN30" s="74"/>
      <c r="AO30" s="74"/>
      <c r="AP30" s="74"/>
      <c r="AQ30" s="74"/>
      <c r="AR30" s="74"/>
      <c r="AS30" s="74"/>
      <c r="AT30" s="69" t="b">
        <f t="shared" si="1"/>
        <v>0</v>
      </c>
    </row>
    <row r="31" spans="2:46" ht="16.2" customHeight="1" x14ac:dyDescent="0.3">
      <c r="B31" s="309" t="s">
        <v>1079</v>
      </c>
      <c r="C31" s="75"/>
      <c r="D31" s="115" t="s">
        <v>1095</v>
      </c>
      <c r="E31" s="116">
        <f>IF(Corr.Soil=0,(VLOOKUP(F4,Shapes.Table,19,FALSE)),(2*(1/12*$E$28*$E$29^3+$E$28*$E$29*(($E$26/2-$E$29/2)^2))+
1/12*$E$27*($E$26-2*$E$29)^3+
4*(1/12*$E$30^4+
$E$30^2*(($E$30/(6-3*PI()/2))-$E$30/2)^2-
(PI()*$E$30^4/16+PI()*$E$30^2/4*(($E$30/(6-3*PI()/2))-4*$E$30/(3*PI()))^2)+
($E$30^2-PI()*$E$30^2/4)*(($E$26/2-$E$29-($E$30-$E$30/(6-3*PI()/2)))^2))))</f>
        <v>28.327834323618902</v>
      </c>
      <c r="F31" s="116">
        <f>IF(Corr.ATM=0,(VLOOKUP(F4,Shapes.Table,19,FALSE)),(2*(1/12*$F$28*$F$29^3+$F$28*$F$29*(($F$26/2-$F$29/2)^2))+
1/12*$F$27*($F$26-2*$F$29)^3+
4*(1/12*$F$30^4+
$F$30^2*(($F$30/(6-3*PI()/2))-$F$30/2)^2-
(PI()*$F$30^4/16+PI()*$F$30^2/4*(($F$30/(6-3*PI()/2))-4*$F$30/(3*PI()))^2)+
($F$30^2-PI()*$F$30^2/4)*(($F$26/2-$F$29-($F$30-$F$30/(6-3*PI()/2)))^2))))</f>
        <v>41.645891404702759</v>
      </c>
      <c r="H31" s="311" t="s">
        <v>1059</v>
      </c>
      <c r="I31" s="78"/>
      <c r="J31" s="119" t="e" cm="1">
        <f t="array" ref="J31">INDEX(Lpile.Deflection,MATCH(Pile.Reveal,Lpile.Depth,1)+1)</f>
        <v>#N/A</v>
      </c>
      <c r="M31" s="122"/>
      <c r="Y31" s="73"/>
      <c r="Z31" s="73"/>
      <c r="AA31" s="73"/>
      <c r="AB31" s="73"/>
      <c r="AC31" s="73"/>
      <c r="AD31" s="73"/>
      <c r="AE31" s="73"/>
      <c r="AF31" s="73"/>
      <c r="AG31" s="73"/>
      <c r="AH31" s="73"/>
      <c r="AI31" s="69" t="b">
        <f t="shared" si="0"/>
        <v>0</v>
      </c>
      <c r="AJ31" s="74"/>
      <c r="AK31" s="74"/>
      <c r="AL31" s="74"/>
      <c r="AM31" s="74"/>
      <c r="AN31" s="74"/>
      <c r="AO31" s="74"/>
      <c r="AP31" s="74"/>
      <c r="AQ31" s="74"/>
      <c r="AR31" s="74"/>
      <c r="AS31" s="74"/>
      <c r="AT31" s="69" t="b">
        <f t="shared" si="1"/>
        <v>0</v>
      </c>
    </row>
    <row r="32" spans="2:46" ht="16.2" customHeight="1" x14ac:dyDescent="0.3">
      <c r="B32" s="311" t="s">
        <v>1080</v>
      </c>
      <c r="C32" s="103"/>
      <c r="D32" s="82" t="s">
        <v>1096</v>
      </c>
      <c r="E32" s="119">
        <f>IF(Corr.Soil=0,(VLOOKUP(F4,Shapes.Table,21,FALSE)),$E$31*2/$E$26)</f>
        <v>9.3110157519126009</v>
      </c>
      <c r="F32" s="119">
        <f>IF(Corr.ATM=0,(VLOOKUP(F4,Shapes.Table,21,FALSE)),$F$31/($F$26/2))</f>
        <v>13.436932594052566</v>
      </c>
      <c r="H32" s="311" t="s">
        <v>1060</v>
      </c>
      <c r="I32" s="78"/>
      <c r="J32" s="343" t="e">
        <f>_xlfn.XLOOKUP(TRUE,AI:AI,Lpile.Depth,"NG",,1)-Pile.Reveal</f>
        <v>#VALUE!</v>
      </c>
      <c r="Y32" s="73"/>
      <c r="Z32" s="73"/>
      <c r="AA32" s="73"/>
      <c r="AB32" s="73"/>
      <c r="AC32" s="73"/>
      <c r="AD32" s="73"/>
      <c r="AE32" s="73"/>
      <c r="AF32" s="73"/>
      <c r="AG32" s="73"/>
      <c r="AH32" s="73"/>
      <c r="AI32" s="69" t="b">
        <f t="shared" si="0"/>
        <v>0</v>
      </c>
      <c r="AJ32" s="74"/>
      <c r="AK32" s="74"/>
      <c r="AL32" s="74"/>
      <c r="AM32" s="74"/>
      <c r="AN32" s="74"/>
      <c r="AO32" s="74"/>
      <c r="AP32" s="74"/>
      <c r="AQ32" s="74"/>
      <c r="AR32" s="74"/>
      <c r="AS32" s="74"/>
      <c r="AT32" s="69" t="b">
        <f t="shared" si="1"/>
        <v>0</v>
      </c>
    </row>
    <row r="33" spans="1:46" ht="16.2" customHeight="1" x14ac:dyDescent="0.3">
      <c r="B33" s="311" t="s">
        <v>1081</v>
      </c>
      <c r="C33" s="103"/>
      <c r="D33" s="82" t="s">
        <v>1097</v>
      </c>
      <c r="E33" s="119">
        <f>IF(Corr.Soil=0,(VLOOKUP(F4,Shapes.Table,22,FALSE)),SQRT($E$31/$E$25))</f>
        <v>2.6908831642960962</v>
      </c>
      <c r="F33" s="119">
        <f>IF(Corr.ATM=0,(VLOOKUP(F4,Shapes.Table,22,FALSE)),SQRT($F$31/$F$25))</f>
        <v>2.6548562456276321</v>
      </c>
      <c r="H33" s="311" t="s">
        <v>1061</v>
      </c>
      <c r="I33" s="78"/>
      <c r="J33" s="344" cm="1">
        <f t="array" ref="J33">Pile.Reveal+Soil.Scour/12</f>
        <v>8.125</v>
      </c>
      <c r="Y33" s="73"/>
      <c r="Z33" s="73"/>
      <c r="AA33" s="73"/>
      <c r="AB33" s="73"/>
      <c r="AC33" s="73"/>
      <c r="AD33" s="73"/>
      <c r="AE33" s="73"/>
      <c r="AF33" s="73"/>
      <c r="AG33" s="73"/>
      <c r="AH33" s="73"/>
      <c r="AI33" s="69" t="b">
        <f t="shared" si="0"/>
        <v>0</v>
      </c>
      <c r="AJ33" s="74"/>
      <c r="AK33" s="74"/>
      <c r="AL33" s="74"/>
      <c r="AM33" s="74"/>
      <c r="AN33" s="74"/>
      <c r="AO33" s="74"/>
      <c r="AP33" s="74"/>
      <c r="AQ33" s="74"/>
      <c r="AR33" s="74"/>
      <c r="AS33" s="74"/>
      <c r="AT33" s="69" t="b">
        <f t="shared" si="1"/>
        <v>0</v>
      </c>
    </row>
    <row r="34" spans="1:46" ht="16.2" customHeight="1" x14ac:dyDescent="0.3">
      <c r="B34" s="313" t="s">
        <v>1082</v>
      </c>
      <c r="C34" s="111"/>
      <c r="D34" s="120" t="s">
        <v>1098</v>
      </c>
      <c r="E34" s="121">
        <f>IF(Corr.Soil=0,(VLOOKUP(F4,Shapes.Table,20,FALSE)),$E$25*(($E$26/2)-(($E$28*$E$29*($E$29/2))+($E$27*($E$26/2-$E$29)*($E$29+($E$26/2-$E$29)/2))+(2*($E$30^2-PI()*$E$30^2/4)*($E$29+($E$30-$E$30/(6-3*PI()/2)))))/($E$25/2)))</f>
        <v>10.150004827091585</v>
      </c>
      <c r="F34" s="121">
        <f>IF(Corr.ATM=0,(VLOOKUP(F4,Shapes.Table,20,FALSE)),$F$25*(($F$26/2)-(($F$28*$F$29*($F$29/2))+($F$27*($F$26/2-$F$29)*($F$29+($F$26/2-$F$29)/2))+(2*($F$30^2-PI()*$F$30^2/4)*($F$29+($F$30-$F$30/(6-3*PI()/2)))))/($F$25/2)))</f>
        <v>15.014661126700247</v>
      </c>
      <c r="H34" s="313" t="s">
        <v>1062</v>
      </c>
      <c r="I34" s="90"/>
      <c r="J34" s="123" t="e">
        <f>INDEX(Lpile.Depth,MATCH(MAX(Lpile.Moment),Lpile.Moment,0))</f>
        <v>#N/A</v>
      </c>
      <c r="L34" s="124"/>
      <c r="Y34" s="73"/>
      <c r="Z34" s="73"/>
      <c r="AA34" s="73"/>
      <c r="AB34" s="73"/>
      <c r="AC34" s="73"/>
      <c r="AD34" s="73"/>
      <c r="AE34" s="73"/>
      <c r="AF34" s="73"/>
      <c r="AG34" s="73"/>
      <c r="AH34" s="73"/>
      <c r="AI34" s="69" t="b">
        <f t="shared" si="0"/>
        <v>0</v>
      </c>
      <c r="AJ34" s="74"/>
      <c r="AK34" s="74"/>
      <c r="AL34" s="74"/>
      <c r="AM34" s="74"/>
      <c r="AN34" s="74"/>
      <c r="AO34" s="74"/>
      <c r="AP34" s="74"/>
      <c r="AQ34" s="74"/>
      <c r="AR34" s="74"/>
      <c r="AS34" s="74"/>
      <c r="AT34" s="69" t="b">
        <f t="shared" si="1"/>
        <v>0</v>
      </c>
    </row>
    <row r="35" spans="1:46" ht="16.2" customHeight="1" x14ac:dyDescent="0.3">
      <c r="B35" s="309" t="s">
        <v>1079</v>
      </c>
      <c r="C35" s="75"/>
      <c r="D35" s="115" t="s">
        <v>1099</v>
      </c>
      <c r="E35" s="116">
        <f>IF(Corr.Soil=0,(VLOOKUP(F4,Shapes.Table,23,FALSE)),(2*((1/12)*$E$29*$E$28^3)+(1/12)*($E$26-2*$E$29)*$E$27^3+4*(($E$30^2-PI()*$E$30^2/4)*($E$27/2+($E$30-($E$30/(6-3*PI()/2))))^2)))</f>
        <v>8.5771830435046326</v>
      </c>
      <c r="F35" s="116">
        <f>IF(Corr.ATM=0,(VLOOKUP(F4,Shapes.Table,23,FALSE)),(2*((1/12)*$F$29*$F$28^3)+(1/12)*($F$26-2*$F$29)*$F$27^3+4*(($F$30^2-PI()*$F$30^2/4)*($F$27/2+($F$30-($F$30/(6-3*PI()/2))))^2)))</f>
        <v>13.229876373974653</v>
      </c>
      <c r="L35" s="124"/>
      <c r="Y35" s="73"/>
      <c r="Z35" s="73"/>
      <c r="AA35" s="73"/>
      <c r="AB35" s="73"/>
      <c r="AC35" s="73"/>
      <c r="AD35" s="73"/>
      <c r="AE35" s="73"/>
      <c r="AF35" s="73"/>
      <c r="AG35" s="73"/>
      <c r="AH35" s="73"/>
      <c r="AI35" s="69" t="b">
        <f t="shared" ref="AI35:AI66" si="2">AND(Z35&gt;0,AC35&gt;0)</f>
        <v>0</v>
      </c>
      <c r="AJ35" s="74"/>
      <c r="AK35" s="74"/>
      <c r="AL35" s="74"/>
      <c r="AM35" s="74"/>
      <c r="AN35" s="74"/>
      <c r="AO35" s="74"/>
      <c r="AP35" s="74"/>
      <c r="AQ35" s="74"/>
      <c r="AR35" s="74"/>
      <c r="AS35" s="74"/>
      <c r="AT35" s="69" t="b">
        <f t="shared" si="1"/>
        <v>0</v>
      </c>
    </row>
    <row r="36" spans="1:46" ht="16.2" customHeight="1" x14ac:dyDescent="0.3">
      <c r="B36" s="311" t="s">
        <v>1080</v>
      </c>
      <c r="C36" s="103"/>
      <c r="D36" s="82" t="s">
        <v>1100</v>
      </c>
      <c r="E36" s="119">
        <f>IF(Corr.Soil=0,(VLOOKUP(F4,Shapes.Table,25,FALSE)),$E$35/($E$28/2))</f>
        <v>2.9051561588892536</v>
      </c>
      <c r="F36" s="119">
        <f>IF(Corr.ATM=0,(VLOOKUP(F4,Shapes.Table,25,FALSE)),$F$35/($F$28/2))</f>
        <v>4.396242514679086</v>
      </c>
      <c r="H36" s="421" t="s">
        <v>1084</v>
      </c>
      <c r="I36" s="422"/>
      <c r="J36" s="423"/>
      <c r="L36" s="124"/>
      <c r="Y36" s="73"/>
      <c r="Z36" s="73"/>
      <c r="AA36" s="73"/>
      <c r="AB36" s="73"/>
      <c r="AC36" s="73"/>
      <c r="AD36" s="73"/>
      <c r="AE36" s="73"/>
      <c r="AF36" s="73"/>
      <c r="AG36" s="73"/>
      <c r="AH36" s="73"/>
      <c r="AI36" s="69" t="b">
        <f t="shared" si="2"/>
        <v>0</v>
      </c>
      <c r="AJ36" s="74"/>
      <c r="AK36" s="74"/>
      <c r="AL36" s="74"/>
      <c r="AM36" s="74"/>
      <c r="AN36" s="74"/>
      <c r="AO36" s="74"/>
      <c r="AP36" s="74"/>
      <c r="AQ36" s="74"/>
      <c r="AR36" s="74"/>
      <c r="AS36" s="74"/>
      <c r="AT36" s="69" t="b">
        <f t="shared" si="1"/>
        <v>0</v>
      </c>
    </row>
    <row r="37" spans="1:46" ht="16.2" customHeight="1" x14ac:dyDescent="0.3">
      <c r="B37" s="311" t="s">
        <v>1081</v>
      </c>
      <c r="C37" s="103"/>
      <c r="D37" s="82" t="s">
        <v>1101</v>
      </c>
      <c r="E37" s="119">
        <f>IF(Corr.Soil=0,(VLOOKUP(F4,Shapes.Table,26,FALSE)),SQRT($E$35/$E$25))</f>
        <v>1.4806775572148851</v>
      </c>
      <c r="F37" s="119">
        <f>IF(Corr.ATM=0,(VLOOKUP(F4,Shapes.Table,26,FALSE)),SQRT($F$35/$F$25))</f>
        <v>1.4963487384317342</v>
      </c>
      <c r="H37" s="309" t="s">
        <v>1165</v>
      </c>
      <c r="I37" s="95"/>
      <c r="J37" s="116">
        <f>MAX(Lpile.Deflection.Weak)</f>
        <v>0</v>
      </c>
      <c r="L37" s="124"/>
      <c r="Y37" s="73"/>
      <c r="Z37" s="73"/>
      <c r="AA37" s="73"/>
      <c r="AB37" s="73"/>
      <c r="AC37" s="73"/>
      <c r="AD37" s="73"/>
      <c r="AE37" s="73"/>
      <c r="AF37" s="73"/>
      <c r="AG37" s="73"/>
      <c r="AH37" s="73"/>
      <c r="AI37" s="69" t="b">
        <f t="shared" si="2"/>
        <v>0</v>
      </c>
      <c r="AJ37" s="74"/>
      <c r="AK37" s="74"/>
      <c r="AL37" s="74"/>
      <c r="AM37" s="74"/>
      <c r="AN37" s="74"/>
      <c r="AO37" s="74"/>
      <c r="AP37" s="74"/>
      <c r="AQ37" s="74"/>
      <c r="AR37" s="74"/>
      <c r="AS37" s="74"/>
      <c r="AT37" s="69" t="b">
        <f t="shared" si="1"/>
        <v>0</v>
      </c>
    </row>
    <row r="38" spans="1:46" ht="16.2" customHeight="1" x14ac:dyDescent="0.3">
      <c r="B38" s="313" t="s">
        <v>1082</v>
      </c>
      <c r="C38" s="111"/>
      <c r="D38" s="120" t="s">
        <v>1102</v>
      </c>
      <c r="E38" s="121">
        <f>IF(Corr.Soil=0,(VLOOKUP(F4,Shapes.Table,24,FALSE)),($E$28^2*$E$29)/2+0.25*$E$27^2*($E$26-2*$E$29))</f>
        <v>4.3841224916480011</v>
      </c>
      <c r="F38" s="121">
        <f>IF(Corr.ATM=0,(VLOOKUP(F4,Shapes.Table,24,FALSE)),($F$28^2*$F$29)/2+0.25*$F$27^2*($F$26-2*$F$29))</f>
        <v>6.67943321317171</v>
      </c>
      <c r="H38" s="311" t="s">
        <v>1059</v>
      </c>
      <c r="I38" s="78"/>
      <c r="J38" s="119" t="e" cm="1">
        <f t="array" ref="J38">INDEX(Lpile.Deflection.Weak,MATCH(Pile.Reveal,LPile.Depth.Weak,1)+1)</f>
        <v>#N/A</v>
      </c>
      <c r="Y38" s="73"/>
      <c r="Z38" s="73"/>
      <c r="AA38" s="73"/>
      <c r="AB38" s="73"/>
      <c r="AC38" s="73"/>
      <c r="AD38" s="73"/>
      <c r="AE38" s="73"/>
      <c r="AF38" s="73"/>
      <c r="AG38" s="73"/>
      <c r="AH38" s="73"/>
      <c r="AI38" s="69" t="b">
        <f t="shared" si="2"/>
        <v>0</v>
      </c>
      <c r="AJ38" s="74"/>
      <c r="AK38" s="74"/>
      <c r="AL38" s="74"/>
      <c r="AM38" s="74"/>
      <c r="AN38" s="74"/>
      <c r="AO38" s="74"/>
      <c r="AP38" s="74"/>
      <c r="AQ38" s="74"/>
      <c r="AR38" s="74"/>
      <c r="AS38" s="74"/>
      <c r="AT38" s="69" t="b">
        <f t="shared" si="1"/>
        <v>0</v>
      </c>
    </row>
    <row r="39" spans="1:46" ht="16.2" customHeight="1" x14ac:dyDescent="0.3">
      <c r="B39" s="309" t="s">
        <v>32</v>
      </c>
      <c r="C39" s="75"/>
      <c r="D39" s="115" t="s">
        <v>1103</v>
      </c>
      <c r="E39" s="116">
        <f>IF(Corr.Soil=0,(VLOOKUP(F4,Shapes.Table,27,FALSE)),(2*$E$28*$E$29^3/3)+(($E$26-$E$29*2)*$E$27^3)/3)</f>
        <v>6.7013104794440545E-2</v>
      </c>
      <c r="F39" s="116">
        <f>IF(Corr.ATM=0,(VLOOKUP(F4,Shapes.Table,27,FALSE)),(2*$F$28*$F$29^3/3)+(($F$26-$F$29*2)*$F$27^3)/3)</f>
        <v>0.22465314981581608</v>
      </c>
      <c r="H39" s="311" t="s">
        <v>1060</v>
      </c>
      <c r="I39" s="78"/>
      <c r="J39" s="343" t="e">
        <f>_xlfn.XLOOKUP(TRUE,AT:AT,Lpile.Depth,"NG",,1)-Pile.Reveal</f>
        <v>#VALUE!</v>
      </c>
      <c r="L39" s="124"/>
      <c r="Y39" s="73"/>
      <c r="Z39" s="73"/>
      <c r="AA39" s="73"/>
      <c r="AB39" s="73"/>
      <c r="AC39" s="73"/>
      <c r="AD39" s="73"/>
      <c r="AE39" s="73"/>
      <c r="AF39" s="73"/>
      <c r="AG39" s="73"/>
      <c r="AH39" s="73"/>
      <c r="AI39" s="69" t="b">
        <f t="shared" si="2"/>
        <v>0</v>
      </c>
      <c r="AJ39" s="74"/>
      <c r="AK39" s="74"/>
      <c r="AL39" s="74"/>
      <c r="AM39" s="74"/>
      <c r="AN39" s="74"/>
      <c r="AO39" s="74"/>
      <c r="AP39" s="74"/>
      <c r="AQ39" s="74"/>
      <c r="AR39" s="74"/>
      <c r="AS39" s="74"/>
      <c r="AT39" s="69" t="b">
        <f t="shared" si="1"/>
        <v>0</v>
      </c>
    </row>
    <row r="40" spans="1:46" ht="16.2" customHeight="1" x14ac:dyDescent="0.3">
      <c r="A40" s="125"/>
      <c r="B40" s="313" t="s">
        <v>33</v>
      </c>
      <c r="C40" s="111"/>
      <c r="D40" s="120" t="s">
        <v>1104</v>
      </c>
      <c r="E40" s="121">
        <f>IF(Corr.Soil=0,(VLOOKUP(F4,Shapes.Table,28,FALSE)),($E$35*(($E$26-$E$29)^2)/4))</f>
        <v>73.007320237096778</v>
      </c>
      <c r="F40" s="121">
        <f>IF(Corr.ATM=0,(VLOOKUP(F4,Shapes.Table,28,FALSE)),($F$35*(($F$26-$F$29)^2)/4))</f>
        <v>112.61014440672479</v>
      </c>
      <c r="H40" s="311" t="s">
        <v>1061</v>
      </c>
      <c r="I40" s="78"/>
      <c r="J40" s="344">
        <f>Pile.Reveal+Soil.Scour/12</f>
        <v>8.125</v>
      </c>
      <c r="L40" s="124"/>
      <c r="Y40" s="73"/>
      <c r="Z40" s="73"/>
      <c r="AA40" s="73"/>
      <c r="AB40" s="73"/>
      <c r="AC40" s="73"/>
      <c r="AD40" s="73"/>
      <c r="AE40" s="73"/>
      <c r="AF40" s="73"/>
      <c r="AG40" s="73"/>
      <c r="AH40" s="73"/>
      <c r="AI40" s="69" t="b">
        <f t="shared" si="2"/>
        <v>0</v>
      </c>
      <c r="AJ40" s="74"/>
      <c r="AK40" s="74"/>
      <c r="AL40" s="74"/>
      <c r="AM40" s="74"/>
      <c r="AN40" s="74"/>
      <c r="AO40" s="74"/>
      <c r="AP40" s="74"/>
      <c r="AQ40" s="74"/>
      <c r="AR40" s="74"/>
      <c r="AS40" s="74"/>
      <c r="AT40" s="69" t="b">
        <f t="shared" si="1"/>
        <v>0</v>
      </c>
    </row>
    <row r="41" spans="1:46" ht="16.2" customHeight="1" x14ac:dyDescent="0.3">
      <c r="H41" s="313" t="s">
        <v>1062</v>
      </c>
      <c r="I41" s="90"/>
      <c r="J41" s="123" t="e">
        <f>INDEX(LPile.Depth.Weak,MATCH(MAX(LPile.Moment.Weak),LPile.Moment.Weak,0))</f>
        <v>#N/A</v>
      </c>
      <c r="L41" s="124"/>
      <c r="Y41" s="73"/>
      <c r="Z41" s="73"/>
      <c r="AA41" s="73"/>
      <c r="AB41" s="73"/>
      <c r="AC41" s="73"/>
      <c r="AD41" s="73"/>
      <c r="AE41" s="73"/>
      <c r="AF41" s="73"/>
      <c r="AG41" s="73"/>
      <c r="AH41" s="73"/>
      <c r="AI41" s="69" t="b">
        <f t="shared" si="2"/>
        <v>0</v>
      </c>
      <c r="AJ41" s="74"/>
      <c r="AK41" s="74"/>
      <c r="AL41" s="74"/>
      <c r="AM41" s="74"/>
      <c r="AN41" s="74"/>
      <c r="AO41" s="74"/>
      <c r="AP41" s="74"/>
      <c r="AQ41" s="74"/>
      <c r="AR41" s="74"/>
      <c r="AS41" s="74"/>
      <c r="AT41" s="69" t="b">
        <f t="shared" si="1"/>
        <v>0</v>
      </c>
    </row>
    <row r="42" spans="1:46" ht="16.2" customHeight="1" x14ac:dyDescent="0.3">
      <c r="B42" s="414" t="s">
        <v>646</v>
      </c>
      <c r="C42" s="410"/>
      <c r="D42" s="415"/>
      <c r="Y42" s="73"/>
      <c r="Z42" s="73"/>
      <c r="AA42" s="73"/>
      <c r="AB42" s="73"/>
      <c r="AC42" s="73"/>
      <c r="AD42" s="73"/>
      <c r="AE42" s="73"/>
      <c r="AF42" s="73"/>
      <c r="AG42" s="73"/>
      <c r="AH42" s="73"/>
      <c r="AI42" s="69" t="b">
        <f t="shared" si="2"/>
        <v>0</v>
      </c>
      <c r="AJ42" s="74"/>
      <c r="AK42" s="74"/>
      <c r="AL42" s="74"/>
      <c r="AM42" s="74"/>
      <c r="AN42" s="74"/>
      <c r="AO42" s="74"/>
      <c r="AP42" s="74"/>
      <c r="AQ42" s="74"/>
      <c r="AR42" s="74"/>
      <c r="AS42" s="74"/>
      <c r="AT42" s="69" t="b">
        <f t="shared" si="1"/>
        <v>0</v>
      </c>
    </row>
    <row r="43" spans="1:46" ht="16.2" customHeight="1" x14ac:dyDescent="0.3">
      <c r="B43" s="309" t="s">
        <v>969</v>
      </c>
      <c r="C43" s="115"/>
      <c r="D43" s="331" t="s">
        <v>970</v>
      </c>
      <c r="E43" s="72"/>
      <c r="Y43" s="73"/>
      <c r="Z43" s="73"/>
      <c r="AA43" s="73"/>
      <c r="AB43" s="73"/>
      <c r="AC43" s="73"/>
      <c r="AD43" s="73"/>
      <c r="AE43" s="73"/>
      <c r="AF43" s="73"/>
      <c r="AG43" s="73"/>
      <c r="AH43" s="73"/>
      <c r="AI43" s="69" t="b">
        <f t="shared" si="2"/>
        <v>0</v>
      </c>
      <c r="AJ43" s="74"/>
      <c r="AK43" s="74"/>
      <c r="AL43" s="74"/>
      <c r="AM43" s="74"/>
      <c r="AN43" s="74"/>
      <c r="AO43" s="74"/>
      <c r="AP43" s="74"/>
      <c r="AQ43" s="74"/>
      <c r="AR43" s="74"/>
      <c r="AS43" s="74"/>
      <c r="AT43" s="69" t="b">
        <f t="shared" si="1"/>
        <v>0</v>
      </c>
    </row>
    <row r="44" spans="1:46" ht="16.2" customHeight="1" x14ac:dyDescent="0.3">
      <c r="B44" s="311" t="s">
        <v>1179</v>
      </c>
      <c r="C44" s="82"/>
      <c r="D44" s="106">
        <f>HLOOKUP(D43,'Soil Zones'!B2:F3,2)*12</f>
        <v>12</v>
      </c>
      <c r="E44" s="72"/>
      <c r="Y44" s="73"/>
      <c r="Z44" s="73"/>
      <c r="AA44" s="73"/>
      <c r="AB44" s="73"/>
      <c r="AC44" s="73"/>
      <c r="AD44" s="73"/>
      <c r="AE44" s="73"/>
      <c r="AF44" s="73"/>
      <c r="AG44" s="73"/>
      <c r="AH44" s="73"/>
      <c r="AI44" s="69" t="b">
        <f t="shared" si="2"/>
        <v>0</v>
      </c>
      <c r="AJ44" s="74"/>
      <c r="AK44" s="74"/>
      <c r="AL44" s="74"/>
      <c r="AM44" s="74"/>
      <c r="AN44" s="74"/>
      <c r="AO44" s="74"/>
      <c r="AP44" s="74"/>
      <c r="AQ44" s="74"/>
      <c r="AR44" s="74"/>
      <c r="AS44" s="74"/>
      <c r="AT44" s="69" t="b">
        <f t="shared" si="1"/>
        <v>0</v>
      </c>
    </row>
    <row r="45" spans="1:46" ht="16.2" customHeight="1" x14ac:dyDescent="0.3">
      <c r="B45" s="311" t="s">
        <v>1075</v>
      </c>
      <c r="C45" s="126"/>
      <c r="D45" s="332" t="s">
        <v>1211</v>
      </c>
      <c r="Y45" s="73"/>
      <c r="Z45" s="73"/>
      <c r="AA45" s="73"/>
      <c r="AB45" s="73"/>
      <c r="AC45" s="73"/>
      <c r="AD45" s="73"/>
      <c r="AE45" s="73"/>
      <c r="AF45" s="73"/>
      <c r="AG45" s="73"/>
      <c r="AH45" s="73"/>
      <c r="AI45" s="69" t="b">
        <f t="shared" si="2"/>
        <v>0</v>
      </c>
      <c r="AJ45" s="74"/>
      <c r="AK45" s="74"/>
      <c r="AL45" s="74"/>
      <c r="AM45" s="74"/>
      <c r="AN45" s="74"/>
      <c r="AO45" s="74"/>
      <c r="AP45" s="74"/>
      <c r="AQ45" s="74"/>
      <c r="AR45" s="74"/>
      <c r="AS45" s="74"/>
      <c r="AT45" s="69" t="b">
        <f t="shared" si="1"/>
        <v>0</v>
      </c>
    </row>
    <row r="46" spans="1:46" ht="16.2" customHeight="1" x14ac:dyDescent="0.3">
      <c r="B46" s="311" t="str">
        <f>IF(D45="Adfreeze Stress","Frost Depth","Expansive Soil Depth") &amp; ", d (in)"</f>
        <v>Expansive Soil Depth, d (in)</v>
      </c>
      <c r="C46" s="82"/>
      <c r="D46" s="332">
        <v>0</v>
      </c>
      <c r="E46" s="72"/>
      <c r="Y46" s="73"/>
      <c r="Z46" s="73"/>
      <c r="AA46" s="73"/>
      <c r="AB46" s="73"/>
      <c r="AC46" s="73"/>
      <c r="AD46" s="73"/>
      <c r="AE46" s="73"/>
      <c r="AF46" s="73"/>
      <c r="AG46" s="73"/>
      <c r="AH46" s="73"/>
      <c r="AI46" s="69" t="b">
        <f t="shared" si="2"/>
        <v>0</v>
      </c>
      <c r="AJ46" s="74"/>
      <c r="AK46" s="74"/>
      <c r="AL46" s="74"/>
      <c r="AM46" s="74"/>
      <c r="AN46" s="74"/>
      <c r="AO46" s="74"/>
      <c r="AP46" s="74"/>
      <c r="AQ46" s="74"/>
      <c r="AR46" s="74"/>
      <c r="AS46" s="74"/>
      <c r="AT46" s="69" t="b">
        <f t="shared" si="1"/>
        <v>0</v>
      </c>
    </row>
    <row r="47" spans="1:46" ht="16.2" customHeight="1" x14ac:dyDescent="0.3">
      <c r="B47" s="311" t="s">
        <v>1178</v>
      </c>
      <c r="C47" s="82"/>
      <c r="D47" s="335">
        <v>0</v>
      </c>
      <c r="Y47" s="73"/>
      <c r="Z47" s="73"/>
      <c r="AA47" s="73"/>
      <c r="AB47" s="73"/>
      <c r="AC47" s="73"/>
      <c r="AD47" s="73"/>
      <c r="AE47" s="73"/>
      <c r="AF47" s="73"/>
      <c r="AG47" s="73"/>
      <c r="AH47" s="73"/>
      <c r="AI47" s="69" t="b">
        <f t="shared" si="2"/>
        <v>0</v>
      </c>
      <c r="AJ47" s="74"/>
      <c r="AK47" s="74"/>
      <c r="AL47" s="74"/>
      <c r="AM47" s="74"/>
      <c r="AN47" s="74"/>
      <c r="AO47" s="74"/>
      <c r="AP47" s="74"/>
      <c r="AQ47" s="74"/>
      <c r="AR47" s="74"/>
      <c r="AS47" s="74"/>
      <c r="AT47" s="69" t="b">
        <f t="shared" si="1"/>
        <v>0</v>
      </c>
    </row>
    <row r="48" spans="1:46" ht="16.2" customHeight="1" x14ac:dyDescent="0.3">
      <c r="B48" s="311" t="s">
        <v>1177</v>
      </c>
      <c r="C48" s="82"/>
      <c r="D48" s="332">
        <v>12</v>
      </c>
      <c r="E48" s="72"/>
      <c r="Y48" s="73"/>
      <c r="Z48" s="73"/>
      <c r="AA48" s="73"/>
      <c r="AB48" s="73"/>
      <c r="AC48" s="73"/>
      <c r="AD48" s="73"/>
      <c r="AE48" s="73"/>
      <c r="AF48" s="73"/>
      <c r="AG48" s="73"/>
      <c r="AH48" s="73"/>
      <c r="AI48" s="69" t="b">
        <f t="shared" si="2"/>
        <v>0</v>
      </c>
      <c r="AJ48" s="74"/>
      <c r="AK48" s="74"/>
      <c r="AL48" s="74"/>
      <c r="AM48" s="74"/>
      <c r="AN48" s="74"/>
      <c r="AO48" s="74"/>
      <c r="AP48" s="74"/>
      <c r="AQ48" s="74"/>
      <c r="AR48" s="74"/>
      <c r="AS48" s="74"/>
      <c r="AT48" s="69" t="b">
        <f t="shared" si="1"/>
        <v>0</v>
      </c>
    </row>
    <row r="49" spans="2:46" ht="16.2" customHeight="1" x14ac:dyDescent="0.3">
      <c r="B49" s="311" t="s">
        <v>1180</v>
      </c>
      <c r="C49" s="82"/>
      <c r="D49" s="332">
        <v>1.5</v>
      </c>
      <c r="Y49" s="73"/>
      <c r="Z49" s="73"/>
      <c r="AA49" s="73"/>
      <c r="AB49" s="73"/>
      <c r="AC49" s="73"/>
      <c r="AD49" s="73"/>
      <c r="AE49" s="73"/>
      <c r="AF49" s="73"/>
      <c r="AG49" s="73"/>
      <c r="AH49" s="73"/>
      <c r="AI49" s="69" t="b">
        <f t="shared" si="2"/>
        <v>0</v>
      </c>
      <c r="AJ49" s="74"/>
      <c r="AK49" s="74"/>
      <c r="AL49" s="74"/>
      <c r="AM49" s="74"/>
      <c r="AN49" s="74"/>
      <c r="AO49" s="74"/>
      <c r="AP49" s="74"/>
      <c r="AQ49" s="74"/>
      <c r="AR49" s="74"/>
      <c r="AS49" s="74"/>
      <c r="AT49" s="69" t="b">
        <f t="shared" si="1"/>
        <v>0</v>
      </c>
    </row>
    <row r="50" spans="2:46" ht="16.2" customHeight="1" x14ac:dyDescent="0.3">
      <c r="B50" s="311" t="s">
        <v>622</v>
      </c>
      <c r="C50" s="82"/>
      <c r="D50" s="336">
        <v>15</v>
      </c>
      <c r="Y50" s="73"/>
      <c r="Z50" s="73"/>
      <c r="AA50" s="73"/>
      <c r="AB50" s="73"/>
      <c r="AC50" s="73"/>
      <c r="AD50" s="73"/>
      <c r="AE50" s="73"/>
      <c r="AF50" s="73"/>
      <c r="AG50" s="73"/>
      <c r="AH50" s="73"/>
      <c r="AI50" s="69" t="b">
        <f t="shared" si="2"/>
        <v>0</v>
      </c>
      <c r="AJ50" s="74"/>
      <c r="AK50" s="74"/>
      <c r="AL50" s="74"/>
      <c r="AM50" s="74"/>
      <c r="AN50" s="74"/>
      <c r="AO50" s="74"/>
      <c r="AP50" s="74"/>
      <c r="AQ50" s="74"/>
      <c r="AR50" s="74"/>
      <c r="AS50" s="74"/>
      <c r="AT50" s="69" t="b">
        <f t="shared" si="1"/>
        <v>0</v>
      </c>
    </row>
    <row r="51" spans="2:46" ht="16.2" customHeight="1" x14ac:dyDescent="0.3">
      <c r="B51" s="311" t="s">
        <v>1181</v>
      </c>
      <c r="C51" s="82"/>
      <c r="D51" s="301">
        <v>62.4</v>
      </c>
      <c r="Y51" s="73"/>
      <c r="Z51" s="73"/>
      <c r="AA51" s="73"/>
      <c r="AB51" s="73"/>
      <c r="AC51" s="73"/>
      <c r="AD51" s="73"/>
      <c r="AE51" s="73"/>
      <c r="AF51" s="73"/>
      <c r="AG51" s="73"/>
      <c r="AH51" s="73"/>
      <c r="AI51" s="69" t="b">
        <f t="shared" si="2"/>
        <v>0</v>
      </c>
      <c r="AJ51" s="74"/>
      <c r="AK51" s="74"/>
      <c r="AL51" s="74"/>
      <c r="AM51" s="74"/>
      <c r="AN51" s="74"/>
      <c r="AO51" s="74"/>
      <c r="AP51" s="74"/>
      <c r="AQ51" s="74"/>
      <c r="AR51" s="74"/>
      <c r="AS51" s="74"/>
      <c r="AT51" s="69" t="b">
        <f t="shared" si="1"/>
        <v>0</v>
      </c>
    </row>
    <row r="52" spans="2:46" ht="16.2" customHeight="1" x14ac:dyDescent="0.3">
      <c r="B52" s="313" t="s">
        <v>971</v>
      </c>
      <c r="C52" s="120"/>
      <c r="D52" s="333" t="s">
        <v>967</v>
      </c>
      <c r="Y52" s="73"/>
      <c r="Z52" s="73"/>
      <c r="AA52" s="73"/>
      <c r="AB52" s="73"/>
      <c r="AC52" s="73"/>
      <c r="AD52" s="73"/>
      <c r="AE52" s="73"/>
      <c r="AF52" s="73"/>
      <c r="AG52" s="73"/>
      <c r="AH52" s="73"/>
      <c r="AI52" s="69" t="b">
        <f t="shared" si="2"/>
        <v>0</v>
      </c>
      <c r="AJ52" s="74"/>
      <c r="AK52" s="74"/>
      <c r="AL52" s="74"/>
      <c r="AM52" s="74"/>
      <c r="AN52" s="74"/>
      <c r="AO52" s="74"/>
      <c r="AP52" s="74"/>
      <c r="AQ52" s="74"/>
      <c r="AR52" s="74"/>
      <c r="AS52" s="74"/>
      <c r="AT52" s="69" t="b">
        <f t="shared" si="1"/>
        <v>0</v>
      </c>
    </row>
    <row r="53" spans="2:46" ht="16.2" customHeight="1" x14ac:dyDescent="0.3">
      <c r="Y53" s="73"/>
      <c r="Z53" s="73"/>
      <c r="AA53" s="73"/>
      <c r="AB53" s="73"/>
      <c r="AC53" s="73"/>
      <c r="AD53" s="73"/>
      <c r="AE53" s="73"/>
      <c r="AF53" s="73"/>
      <c r="AG53" s="73"/>
      <c r="AH53" s="73"/>
      <c r="AI53" s="69" t="b">
        <f t="shared" si="2"/>
        <v>0</v>
      </c>
      <c r="AJ53" s="74"/>
      <c r="AK53" s="74"/>
      <c r="AL53" s="74"/>
      <c r="AM53" s="74"/>
      <c r="AN53" s="74"/>
      <c r="AO53" s="74"/>
      <c r="AP53" s="74"/>
      <c r="AQ53" s="74"/>
      <c r="AR53" s="74"/>
      <c r="AS53" s="74"/>
      <c r="AT53" s="69" t="b">
        <f t="shared" si="1"/>
        <v>0</v>
      </c>
    </row>
    <row r="54" spans="2:46" ht="58.2" customHeight="1" x14ac:dyDescent="0.3">
      <c r="B54" s="128" t="s">
        <v>36</v>
      </c>
      <c r="C54" s="128" t="s">
        <v>623</v>
      </c>
      <c r="D54" s="128" t="s">
        <v>624</v>
      </c>
      <c r="E54" s="128" t="s">
        <v>1161</v>
      </c>
      <c r="F54" s="128" t="s">
        <v>979</v>
      </c>
      <c r="G54" s="128" t="s">
        <v>594</v>
      </c>
      <c r="H54" s="128" t="s">
        <v>620</v>
      </c>
      <c r="I54" s="128" t="s">
        <v>1162</v>
      </c>
      <c r="J54" s="128" t="s">
        <v>1163</v>
      </c>
      <c r="K54" s="128" t="s">
        <v>621</v>
      </c>
      <c r="L54" s="128" t="s">
        <v>625</v>
      </c>
      <c r="M54" s="128" t="s">
        <v>626</v>
      </c>
      <c r="Y54" s="73"/>
      <c r="Z54" s="73"/>
      <c r="AA54" s="73"/>
      <c r="AB54" s="73"/>
      <c r="AC54" s="73"/>
      <c r="AD54" s="73"/>
      <c r="AE54" s="73"/>
      <c r="AF54" s="73"/>
      <c r="AG54" s="73"/>
      <c r="AH54" s="73"/>
      <c r="AI54" s="69" t="b">
        <f t="shared" si="2"/>
        <v>0</v>
      </c>
      <c r="AJ54" s="74"/>
      <c r="AK54" s="74"/>
      <c r="AL54" s="74"/>
      <c r="AM54" s="74"/>
      <c r="AN54" s="74"/>
      <c r="AO54" s="74"/>
      <c r="AP54" s="74"/>
      <c r="AQ54" s="74"/>
      <c r="AR54" s="74"/>
      <c r="AS54" s="74"/>
      <c r="AT54" s="69" t="b">
        <f t="shared" si="1"/>
        <v>0</v>
      </c>
    </row>
    <row r="55" spans="2:46" ht="16.2" customHeight="1" x14ac:dyDescent="0.3">
      <c r="B55" s="129">
        <v>1</v>
      </c>
      <c r="C55" s="101" cm="1">
        <f t="array" ref="C55">INDEX('Soil Zones'!B:B, (RIGHT($D$52,1)-1)*14 + B55+7)</f>
        <v>0</v>
      </c>
      <c r="D55" s="101" cm="1">
        <f t="array" ref="D55">INDEX('Soil Zones'!C:C, (RIGHT($D$52,1)-1)*14 + $B55+7)</f>
        <v>4</v>
      </c>
      <c r="E55" s="101" cm="1">
        <f t="array" ref="E55">INDEX('Soil Zones'!D:D, (RIGHT($D$52,1)-1)*14 + $B55+7)</f>
        <v>0</v>
      </c>
      <c r="F55" s="101" cm="1">
        <f t="array" ref="F55">INDEX('Soil Zones'!E:E, (RIGHT($D$52,1)-1)*14 + $B55+7)</f>
        <v>0</v>
      </c>
      <c r="G55" s="101" cm="1">
        <f t="array" ref="G55">INDEX('Soil Zones'!F:F, (RIGHT($D$52,1)-1)*14 + $B55+7)</f>
        <v>0</v>
      </c>
      <c r="H55" s="101" t="str" cm="1">
        <f t="array" ref="H55">INDEX('Soil Zones'!G:G, (RIGHT($D$52,1)-1)*14 + $B55+7)</f>
        <v>Stiff Clay w/o Free Water</v>
      </c>
      <c r="I55" s="101" cm="1">
        <f t="array" ref="I55">INDEX('Soil Zones'!H:H, (RIGHT($D$52,1)-1)*14 + $B55+7)</f>
        <v>120</v>
      </c>
      <c r="J55" s="101" cm="1">
        <f t="array" ref="J55">INDEX('Soil Zones'!I:I, (RIGHT($D$52,1)-1)*14 + $B55+7)</f>
        <v>2100</v>
      </c>
      <c r="K55" s="101" cm="1">
        <f t="array" ref="K55">INDEX('Soil Zones'!J:J, (RIGHT($D$52,1)-1)*14 + $B55+7)</f>
        <v>0</v>
      </c>
      <c r="L55" s="101" cm="1">
        <f t="array" ref="L55">INDEX('Soil Zones'!K:K, (RIGHT($D$52,1)-1)*14 + $B55+7)</f>
        <v>0</v>
      </c>
      <c r="M55" s="101" cm="1">
        <f t="array" ref="M55">INDEX('Soil Zones'!L:L, (RIGHT($D$52,1)-1)*14 + $B55+7)</f>
        <v>0</v>
      </c>
      <c r="Y55" s="73"/>
      <c r="Z55" s="73"/>
      <c r="AA55" s="73"/>
      <c r="AB55" s="73"/>
      <c r="AC55" s="73"/>
      <c r="AD55" s="73"/>
      <c r="AE55" s="73"/>
      <c r="AF55" s="73"/>
      <c r="AG55" s="73"/>
      <c r="AH55" s="73"/>
      <c r="AI55" s="69" t="b">
        <f t="shared" si="2"/>
        <v>0</v>
      </c>
      <c r="AJ55" s="74"/>
      <c r="AK55" s="74"/>
      <c r="AL55" s="74"/>
      <c r="AM55" s="74"/>
      <c r="AN55" s="74"/>
      <c r="AO55" s="74"/>
      <c r="AP55" s="74"/>
      <c r="AQ55" s="74"/>
      <c r="AR55" s="74"/>
      <c r="AS55" s="74"/>
      <c r="AT55" s="69" t="b">
        <f t="shared" si="1"/>
        <v>0</v>
      </c>
    </row>
    <row r="56" spans="2:46" ht="16.2" customHeight="1" x14ac:dyDescent="0.3">
      <c r="B56" s="127">
        <v>2</v>
      </c>
      <c r="C56" s="106" cm="1">
        <f t="array" ref="C56">INDEX('Soil Zones'!B:B, (RIGHT($D$52,1)-1)*14 + $B56+7)</f>
        <v>4</v>
      </c>
      <c r="D56" s="106" cm="1">
        <f t="array" ref="D56">INDEX('Soil Zones'!C:C, (RIGHT($D$52,1)-1)*14 + $B56+7)</f>
        <v>5</v>
      </c>
      <c r="E56" s="106" cm="1">
        <f t="array" ref="E56">INDEX('Soil Zones'!D:D, (RIGHT($D$52,1)-1)*14 + $B56+7)</f>
        <v>3500</v>
      </c>
      <c r="F56" s="106" cm="1">
        <f t="array" ref="F56">INDEX('Soil Zones'!E:E, (RIGHT($D$52,1)-1)*14 + $B56+7)</f>
        <v>650</v>
      </c>
      <c r="G56" s="106" cm="1">
        <f t="array" ref="G56">INDEX('Soil Zones'!F:F, (RIGHT($D$52,1)-1)*14 + $B56+7)</f>
        <v>650</v>
      </c>
      <c r="H56" s="106" t="str" cm="1">
        <f t="array" ref="H56">INDEX('Soil Zones'!G:G, (RIGHT($D$52,1)-1)*14 + $B56+7)</f>
        <v>Stiff Clay w/o Free Water</v>
      </c>
      <c r="I56" s="106" cm="1">
        <f t="array" ref="I56">INDEX('Soil Zones'!H:H, (RIGHT($D$52,1)-1)*14 + $B56+7)</f>
        <v>124</v>
      </c>
      <c r="J56" s="106" cm="1">
        <f t="array" ref="J56">INDEX('Soil Zones'!I:I, (RIGHT($D$52,1)-1)*14 + $B56+7)</f>
        <v>2900</v>
      </c>
      <c r="K56" s="106" cm="1">
        <f t="array" ref="K56">INDEX('Soil Zones'!J:J, (RIGHT($D$52,1)-1)*14 + $B56+7)</f>
        <v>0</v>
      </c>
      <c r="L56" s="106" cm="1">
        <f t="array" ref="L56">INDEX('Soil Zones'!K:K, (RIGHT($D$52,1)-1)*14 + $B56+7)</f>
        <v>0</v>
      </c>
      <c r="M56" s="106" cm="1">
        <f t="array" ref="M56">INDEX('Soil Zones'!L:L, (RIGHT($D$52,1)-1)*14 + $B56+7)</f>
        <v>0</v>
      </c>
      <c r="Y56" s="73"/>
      <c r="Z56" s="73"/>
      <c r="AA56" s="73"/>
      <c r="AB56" s="73"/>
      <c r="AC56" s="73"/>
      <c r="AD56" s="73"/>
      <c r="AE56" s="73"/>
      <c r="AF56" s="73"/>
      <c r="AG56" s="73"/>
      <c r="AH56" s="73"/>
      <c r="AI56" s="69" t="b">
        <f t="shared" si="2"/>
        <v>0</v>
      </c>
      <c r="AJ56" s="74"/>
      <c r="AK56" s="74"/>
      <c r="AL56" s="74"/>
      <c r="AM56" s="74"/>
      <c r="AN56" s="74"/>
      <c r="AO56" s="74"/>
      <c r="AP56" s="74"/>
      <c r="AQ56" s="74"/>
      <c r="AR56" s="74"/>
      <c r="AS56" s="74"/>
      <c r="AT56" s="69" t="b">
        <f t="shared" si="1"/>
        <v>0</v>
      </c>
    </row>
    <row r="57" spans="2:46" ht="16.2" customHeight="1" x14ac:dyDescent="0.3">
      <c r="B57" s="127">
        <v>3</v>
      </c>
      <c r="C57" s="106" cm="1">
        <f t="array" ref="C57">INDEX('Soil Zones'!B:B, (RIGHT($D$52,1)-1)*14 + $B57+7)</f>
        <v>5</v>
      </c>
      <c r="D57" s="106" cm="1">
        <f t="array" ref="D57">INDEX('Soil Zones'!C:C, (RIGHT($D$52,1)-1)*14 + $B57+7)</f>
        <v>25</v>
      </c>
      <c r="E57" s="106" cm="1">
        <f t="array" ref="E57">INDEX('Soil Zones'!D:D, (RIGHT($D$52,1)-1)*14 + $B57+7)</f>
        <v>6500</v>
      </c>
      <c r="F57" s="106" cm="1">
        <f t="array" ref="F57">INDEX('Soil Zones'!E:E, (RIGHT($D$52,1)-1)*14 + $B57+7)</f>
        <v>750</v>
      </c>
      <c r="G57" s="106" cm="1">
        <f t="array" ref="G57">INDEX('Soil Zones'!F:F, (RIGHT($D$52,1)-1)*14 + $B57+7)</f>
        <v>750</v>
      </c>
      <c r="H57" s="106" t="str" cm="1">
        <f t="array" ref="H57">INDEX('Soil Zones'!G:G, (RIGHT($D$52,1)-1)*14 + $B57+7)</f>
        <v>Stiff Clay w/o Free Water</v>
      </c>
      <c r="I57" s="106" cm="1">
        <f t="array" ref="I57">INDEX('Soil Zones'!H:H, (RIGHT($D$52,1)-1)*14 + $B57+7)</f>
        <v>128</v>
      </c>
      <c r="J57" s="106" cm="1">
        <f t="array" ref="J57">INDEX('Soil Zones'!I:I, (RIGHT($D$52,1)-1)*14 + $B57+7)</f>
        <v>3100</v>
      </c>
      <c r="K57" s="106" cm="1">
        <f t="array" ref="K57">INDEX('Soil Zones'!J:J, (RIGHT($D$52,1)-1)*14 + $B57+7)</f>
        <v>0</v>
      </c>
      <c r="L57" s="106" cm="1">
        <f t="array" ref="L57">INDEX('Soil Zones'!K:K, (RIGHT($D$52,1)-1)*14 + $B57+7)</f>
        <v>0</v>
      </c>
      <c r="M57" s="106" cm="1">
        <f t="array" ref="M57">INDEX('Soil Zones'!L:L, (RIGHT($D$52,1)-1)*14 + $B57+7)</f>
        <v>0</v>
      </c>
      <c r="Y57" s="73"/>
      <c r="Z57" s="73"/>
      <c r="AA57" s="73"/>
      <c r="AB57" s="73"/>
      <c r="AC57" s="73"/>
      <c r="AD57" s="73"/>
      <c r="AE57" s="73"/>
      <c r="AF57" s="73"/>
      <c r="AG57" s="73"/>
      <c r="AH57" s="73"/>
      <c r="AI57" s="69" t="b">
        <f t="shared" si="2"/>
        <v>0</v>
      </c>
      <c r="AJ57" s="74"/>
      <c r="AK57" s="74"/>
      <c r="AL57" s="74"/>
      <c r="AM57" s="74"/>
      <c r="AN57" s="74"/>
      <c r="AO57" s="74"/>
      <c r="AP57" s="74"/>
      <c r="AQ57" s="74"/>
      <c r="AR57" s="74"/>
      <c r="AS57" s="74"/>
      <c r="AT57" s="69" t="b">
        <f t="shared" si="1"/>
        <v>0</v>
      </c>
    </row>
    <row r="58" spans="2:46" ht="16.2" customHeight="1" x14ac:dyDescent="0.3">
      <c r="B58" s="127">
        <v>4</v>
      </c>
      <c r="C58" s="106" cm="1">
        <f t="array" ref="C58">INDEX('Soil Zones'!B:B, (RIGHT($D$52,1)-1)*14 + $B58+7)</f>
        <v>0</v>
      </c>
      <c r="D58" s="106" cm="1">
        <f t="array" ref="D58">INDEX('Soil Zones'!C:C, (RIGHT($D$52,1)-1)*14 + $B58+7)</f>
        <v>0</v>
      </c>
      <c r="E58" s="106" cm="1">
        <f t="array" ref="E58">INDEX('Soil Zones'!D:D, (RIGHT($D$52,1)-1)*14 + $B58+7)</f>
        <v>0</v>
      </c>
      <c r="F58" s="106" cm="1">
        <f t="array" ref="F58">INDEX('Soil Zones'!E:E, (RIGHT($D$52,1)-1)*14 + $B58+7)</f>
        <v>0</v>
      </c>
      <c r="G58" s="106" cm="1">
        <f t="array" ref="G58">INDEX('Soil Zones'!F:F, (RIGHT($D$52,1)-1)*14 + $B58+7)</f>
        <v>0</v>
      </c>
      <c r="H58" s="106" cm="1">
        <f t="array" ref="H58">INDEX('Soil Zones'!G:G, (RIGHT($D$52,1)-1)*14 + $B58+7)</f>
        <v>0</v>
      </c>
      <c r="I58" s="106" cm="1">
        <f t="array" ref="I58">INDEX('Soil Zones'!H:H, (RIGHT($D$52,1)-1)*14 + $B58+7)</f>
        <v>0</v>
      </c>
      <c r="J58" s="106" cm="1">
        <f t="array" ref="J58">INDEX('Soil Zones'!I:I, (RIGHT($D$52,1)-1)*14 + $B58+7)</f>
        <v>0</v>
      </c>
      <c r="K58" s="106" cm="1">
        <f t="array" ref="K58">INDEX('Soil Zones'!J:J, (RIGHT($D$52,1)-1)*14 + $B58+7)</f>
        <v>0</v>
      </c>
      <c r="L58" s="106" cm="1">
        <f t="array" ref="L58">INDEX('Soil Zones'!K:K, (RIGHT($D$52,1)-1)*14 + $B58+7)</f>
        <v>0</v>
      </c>
      <c r="M58" s="106" cm="1">
        <f t="array" ref="M58">INDEX('Soil Zones'!L:L, (RIGHT($D$52,1)-1)*14 + $B58+7)</f>
        <v>0</v>
      </c>
      <c r="Y58" s="73"/>
      <c r="Z58" s="73"/>
      <c r="AA58" s="73"/>
      <c r="AB58" s="73"/>
      <c r="AC58" s="73"/>
      <c r="AD58" s="73"/>
      <c r="AE58" s="73"/>
      <c r="AF58" s="73"/>
      <c r="AG58" s="73"/>
      <c r="AH58" s="73"/>
      <c r="AI58" s="69" t="b">
        <f t="shared" si="2"/>
        <v>0</v>
      </c>
      <c r="AJ58" s="74"/>
      <c r="AK58" s="74"/>
      <c r="AL58" s="74"/>
      <c r="AM58" s="74"/>
      <c r="AN58" s="74"/>
      <c r="AO58" s="74"/>
      <c r="AP58" s="74"/>
      <c r="AQ58" s="74"/>
      <c r="AR58" s="74"/>
      <c r="AS58" s="74"/>
      <c r="AT58" s="69" t="b">
        <f t="shared" si="1"/>
        <v>0</v>
      </c>
    </row>
    <row r="59" spans="2:46" ht="16.2" customHeight="1" x14ac:dyDescent="0.3">
      <c r="B59" s="127">
        <v>5</v>
      </c>
      <c r="C59" s="106" cm="1">
        <f t="array" ref="C59">INDEX('Soil Zones'!B:B, (RIGHT($D$52,1)-1)*14 + $B59+7)</f>
        <v>0</v>
      </c>
      <c r="D59" s="106" cm="1">
        <f t="array" ref="D59">INDEX('Soil Zones'!C:C, (RIGHT($D$52,1)-1)*14 + $B59+7)</f>
        <v>0</v>
      </c>
      <c r="E59" s="106" cm="1">
        <f t="array" ref="E59">INDEX('Soil Zones'!D:D, (RIGHT($D$52,1)-1)*14 + $B59+7)</f>
        <v>0</v>
      </c>
      <c r="F59" s="106" cm="1">
        <f t="array" ref="F59">INDEX('Soil Zones'!E:E, (RIGHT($D$52,1)-1)*14 + $B59+7)</f>
        <v>0</v>
      </c>
      <c r="G59" s="106" cm="1">
        <f t="array" ref="G59">INDEX('Soil Zones'!F:F, (RIGHT($D$52,1)-1)*14 + $B59+7)</f>
        <v>0</v>
      </c>
      <c r="H59" s="106" cm="1">
        <f t="array" ref="H59">INDEX('Soil Zones'!G:G, (RIGHT($D$52,1)-1)*14 + $B59+7)</f>
        <v>0</v>
      </c>
      <c r="I59" s="106" cm="1">
        <f t="array" ref="I59">INDEX('Soil Zones'!H:H, (RIGHT($D$52,1)-1)*14 + $B59+7)</f>
        <v>0</v>
      </c>
      <c r="J59" s="106" cm="1">
        <f t="array" ref="J59">INDEX('Soil Zones'!I:I, (RIGHT($D$52,1)-1)*14 + $B59+7)</f>
        <v>0</v>
      </c>
      <c r="K59" s="106" cm="1">
        <f t="array" ref="K59">INDEX('Soil Zones'!J:J, (RIGHT($D$52,1)-1)*14 + $B59+7)</f>
        <v>0</v>
      </c>
      <c r="L59" s="106" cm="1">
        <f t="array" ref="L59">INDEX('Soil Zones'!K:K, (RIGHT($D$52,1)-1)*14 + $B59+7)</f>
        <v>0</v>
      </c>
      <c r="M59" s="106" cm="1">
        <f t="array" ref="M59">INDEX('Soil Zones'!L:L, (RIGHT($D$52,1)-1)*14 + $B59+7)</f>
        <v>0</v>
      </c>
      <c r="Y59" s="73"/>
      <c r="Z59" s="73"/>
      <c r="AA59" s="73"/>
      <c r="AB59" s="73"/>
      <c r="AC59" s="73"/>
      <c r="AD59" s="73"/>
      <c r="AE59" s="73"/>
      <c r="AF59" s="73"/>
      <c r="AG59" s="73"/>
      <c r="AH59" s="73"/>
      <c r="AI59" s="69" t="b">
        <f t="shared" si="2"/>
        <v>0</v>
      </c>
      <c r="AJ59" s="74"/>
      <c r="AK59" s="74"/>
      <c r="AL59" s="74"/>
      <c r="AM59" s="74"/>
      <c r="AN59" s="74"/>
      <c r="AO59" s="74"/>
      <c r="AP59" s="74"/>
      <c r="AQ59" s="74"/>
      <c r="AR59" s="74"/>
      <c r="AS59" s="74"/>
      <c r="AT59" s="69" t="b">
        <f t="shared" si="1"/>
        <v>0</v>
      </c>
    </row>
    <row r="60" spans="2:46" ht="16.2" customHeight="1" x14ac:dyDescent="0.3">
      <c r="B60" s="127">
        <v>6</v>
      </c>
      <c r="C60" s="106" cm="1">
        <f t="array" ref="C60">INDEX('Soil Zones'!B:B, (RIGHT($D$52,1)-1)*14 + $B60+7)</f>
        <v>0</v>
      </c>
      <c r="D60" s="106" cm="1">
        <f t="array" ref="D60">INDEX('Soil Zones'!C:C, (RIGHT($D$52,1)-1)*14 + $B60+7)</f>
        <v>0</v>
      </c>
      <c r="E60" s="106" cm="1">
        <f t="array" ref="E60">INDEX('Soil Zones'!D:D, (RIGHT($D$52,1)-1)*14 + $B60+7)</f>
        <v>0</v>
      </c>
      <c r="F60" s="106" cm="1">
        <f t="array" ref="F60">INDEX('Soil Zones'!E:E, (RIGHT($D$52,1)-1)*14 + $B60+7)</f>
        <v>0</v>
      </c>
      <c r="G60" s="106" cm="1">
        <f t="array" ref="G60">INDEX('Soil Zones'!F:F, (RIGHT($D$52,1)-1)*14 + $B60+7)</f>
        <v>0</v>
      </c>
      <c r="H60" s="106" cm="1">
        <f t="array" ref="H60">INDEX('Soil Zones'!G:G, (RIGHT($D$52,1)-1)*14 + $B60+7)</f>
        <v>0</v>
      </c>
      <c r="I60" s="106" cm="1">
        <f t="array" ref="I60">INDEX('Soil Zones'!H:H, (RIGHT($D$52,1)-1)*14 + $B60+7)</f>
        <v>0</v>
      </c>
      <c r="J60" s="106" cm="1">
        <f t="array" ref="J60">INDEX('Soil Zones'!I:I, (RIGHT($D$52,1)-1)*14 + $B60+7)</f>
        <v>0</v>
      </c>
      <c r="K60" s="106" cm="1">
        <f t="array" ref="K60">INDEX('Soil Zones'!J:J, (RIGHT($D$52,1)-1)*14 + $B60+7)</f>
        <v>0</v>
      </c>
      <c r="L60" s="106" cm="1">
        <f t="array" ref="L60">INDEX('Soil Zones'!K:K, (RIGHT($D$52,1)-1)*14 + $B60+7)</f>
        <v>0</v>
      </c>
      <c r="M60" s="106" cm="1">
        <f t="array" ref="M60">INDEX('Soil Zones'!L:L, (RIGHT($D$52,1)-1)*14 + $B60+7)</f>
        <v>0</v>
      </c>
      <c r="Y60" s="73"/>
      <c r="Z60" s="73"/>
      <c r="AA60" s="73"/>
      <c r="AB60" s="73"/>
      <c r="AC60" s="73"/>
      <c r="AD60" s="73"/>
      <c r="AE60" s="73"/>
      <c r="AF60" s="73"/>
      <c r="AG60" s="73"/>
      <c r="AH60" s="73"/>
      <c r="AI60" s="69" t="b">
        <f t="shared" si="2"/>
        <v>0</v>
      </c>
      <c r="AJ60" s="74"/>
      <c r="AK60" s="74"/>
      <c r="AL60" s="74"/>
      <c r="AM60" s="74"/>
      <c r="AN60" s="74"/>
      <c r="AO60" s="74"/>
      <c r="AP60" s="74"/>
      <c r="AQ60" s="74"/>
      <c r="AR60" s="74"/>
      <c r="AS60" s="74"/>
      <c r="AT60" s="69" t="b">
        <f t="shared" si="1"/>
        <v>0</v>
      </c>
    </row>
    <row r="61" spans="2:46" ht="16.2" customHeight="1" x14ac:dyDescent="0.3">
      <c r="B61" s="127">
        <v>7</v>
      </c>
      <c r="C61" s="106" cm="1">
        <f t="array" ref="C61">INDEX('Soil Zones'!B:B, (RIGHT($D$52,1)-1)*14 + $B61+7)</f>
        <v>0</v>
      </c>
      <c r="D61" s="106" cm="1">
        <f t="array" ref="D61">INDEX('Soil Zones'!C:C, (RIGHT($D$52,1)-1)*14 + $B61+7)</f>
        <v>0</v>
      </c>
      <c r="E61" s="106" cm="1">
        <f t="array" ref="E61">INDEX('Soil Zones'!D:D, (RIGHT($D$52,1)-1)*14 + $B61+7)</f>
        <v>0</v>
      </c>
      <c r="F61" s="106" cm="1">
        <f t="array" ref="F61">INDEX('Soil Zones'!E:E, (RIGHT($D$52,1)-1)*14 + $B61+7)</f>
        <v>0</v>
      </c>
      <c r="G61" s="106" cm="1">
        <f t="array" ref="G61">INDEX('Soil Zones'!F:F, (RIGHT($D$52,1)-1)*14 + $B61+7)</f>
        <v>0</v>
      </c>
      <c r="H61" s="106" cm="1">
        <f t="array" ref="H61">INDEX('Soil Zones'!G:G, (RIGHT($D$52,1)-1)*14 + $B61+7)</f>
        <v>0</v>
      </c>
      <c r="I61" s="106" cm="1">
        <f t="array" ref="I61">INDEX('Soil Zones'!H:H, (RIGHT($D$52,1)-1)*14 + $B61+7)</f>
        <v>0</v>
      </c>
      <c r="J61" s="106" cm="1">
        <f t="array" ref="J61">INDEX('Soil Zones'!I:I, (RIGHT($D$52,1)-1)*14 + $B61+7)</f>
        <v>0</v>
      </c>
      <c r="K61" s="106" cm="1">
        <f t="array" ref="K61">INDEX('Soil Zones'!J:J, (RIGHT($D$52,1)-1)*14 + $B61+7)</f>
        <v>0</v>
      </c>
      <c r="L61" s="106" cm="1">
        <f t="array" ref="L61">INDEX('Soil Zones'!K:K, (RIGHT($D$52,1)-1)*14 + $B61+7)</f>
        <v>0</v>
      </c>
      <c r="M61" s="106" cm="1">
        <f t="array" ref="M61">INDEX('Soil Zones'!L:L, (RIGHT($D$52,1)-1)*14 + $B61+7)</f>
        <v>0</v>
      </c>
      <c r="Y61" s="73"/>
      <c r="Z61" s="73"/>
      <c r="AA61" s="73"/>
      <c r="AB61" s="73"/>
      <c r="AC61" s="73"/>
      <c r="AD61" s="73"/>
      <c r="AE61" s="73"/>
      <c r="AF61" s="73"/>
      <c r="AG61" s="73"/>
      <c r="AH61" s="73"/>
      <c r="AI61" s="69" t="b">
        <f t="shared" si="2"/>
        <v>0</v>
      </c>
      <c r="AJ61" s="74"/>
      <c r="AK61" s="74"/>
      <c r="AL61" s="74"/>
      <c r="AM61" s="74"/>
      <c r="AN61" s="74"/>
      <c r="AO61" s="74"/>
      <c r="AP61" s="74"/>
      <c r="AQ61" s="74"/>
      <c r="AR61" s="74"/>
      <c r="AS61" s="74"/>
      <c r="AT61" s="69" t="b">
        <f t="shared" si="1"/>
        <v>0</v>
      </c>
    </row>
    <row r="62" spans="2:46" ht="16.2" customHeight="1" x14ac:dyDescent="0.3">
      <c r="B62" s="127">
        <v>8</v>
      </c>
      <c r="C62" s="106" cm="1">
        <f t="array" ref="C62">INDEX('Soil Zones'!B:B, (RIGHT($D$52,1)-1)*14 + $B62+7)</f>
        <v>0</v>
      </c>
      <c r="D62" s="106" cm="1">
        <f t="array" ref="D62">INDEX('Soil Zones'!C:C, (RIGHT($D$52,1)-1)*14 + $B62+7)</f>
        <v>0</v>
      </c>
      <c r="E62" s="106" cm="1">
        <f t="array" ref="E62">INDEX('Soil Zones'!D:D, (RIGHT($D$52,1)-1)*14 + $B62+7)</f>
        <v>0</v>
      </c>
      <c r="F62" s="106" cm="1">
        <f t="array" ref="F62">INDEX('Soil Zones'!E:E, (RIGHT($D$52,1)-1)*14 + $B62+7)</f>
        <v>0</v>
      </c>
      <c r="G62" s="106" cm="1">
        <f t="array" ref="G62">INDEX('Soil Zones'!F:F, (RIGHT($D$52,1)-1)*14 + $B62+7)</f>
        <v>0</v>
      </c>
      <c r="H62" s="106" cm="1">
        <f t="array" ref="H62">INDEX('Soil Zones'!G:G, (RIGHT($D$52,1)-1)*14 + $B62+7)</f>
        <v>0</v>
      </c>
      <c r="I62" s="106" cm="1">
        <f t="array" ref="I62">INDEX('Soil Zones'!H:H, (RIGHT($D$52,1)-1)*14 + $B62+7)</f>
        <v>0</v>
      </c>
      <c r="J62" s="106" cm="1">
        <f t="array" ref="J62">INDEX('Soil Zones'!I:I, (RIGHT($D$52,1)-1)*14 + $B62+7)</f>
        <v>0</v>
      </c>
      <c r="K62" s="106" cm="1">
        <f t="array" ref="K62">INDEX('Soil Zones'!J:J, (RIGHT($D$52,1)-1)*14 + $B62+7)</f>
        <v>0</v>
      </c>
      <c r="L62" s="106" cm="1">
        <f t="array" ref="L62">INDEX('Soil Zones'!K:K, (RIGHT($D$52,1)-1)*14 + $B62+7)</f>
        <v>0</v>
      </c>
      <c r="M62" s="106" cm="1">
        <f t="array" ref="M62">INDEX('Soil Zones'!L:L, (RIGHT($D$52,1)-1)*14 + $B62+7)</f>
        <v>0</v>
      </c>
      <c r="Y62" s="73"/>
      <c r="Z62" s="73"/>
      <c r="AA62" s="73"/>
      <c r="AB62" s="73"/>
      <c r="AC62" s="73"/>
      <c r="AD62" s="73"/>
      <c r="AE62" s="73"/>
      <c r="AF62" s="73"/>
      <c r="AG62" s="73"/>
      <c r="AH62" s="73"/>
      <c r="AI62" s="69" t="b">
        <f t="shared" si="2"/>
        <v>0</v>
      </c>
      <c r="AJ62" s="74"/>
      <c r="AK62" s="74"/>
      <c r="AL62" s="74"/>
      <c r="AM62" s="74"/>
      <c r="AN62" s="74"/>
      <c r="AO62" s="74"/>
      <c r="AP62" s="74"/>
      <c r="AQ62" s="74"/>
      <c r="AR62" s="74"/>
      <c r="AS62" s="74"/>
      <c r="AT62" s="69" t="b">
        <f t="shared" si="1"/>
        <v>0</v>
      </c>
    </row>
    <row r="63" spans="2:46" ht="16.2" customHeight="1" x14ac:dyDescent="0.3">
      <c r="B63" s="127">
        <v>9</v>
      </c>
      <c r="C63" s="106" cm="1">
        <f t="array" ref="C63">INDEX('Soil Zones'!B:B, (RIGHT($D$52,1)-1)*14 + $B63+7)</f>
        <v>0</v>
      </c>
      <c r="D63" s="106" cm="1">
        <f t="array" ref="D63">INDEX('Soil Zones'!C:C, (RIGHT($D$52,1)-1)*14 + $B63+7)</f>
        <v>0</v>
      </c>
      <c r="E63" s="106" cm="1">
        <f t="array" ref="E63">INDEX('Soil Zones'!D:D, (RIGHT($D$52,1)-1)*14 + $B63+7)</f>
        <v>0</v>
      </c>
      <c r="F63" s="106" cm="1">
        <f t="array" ref="F63">INDEX('Soil Zones'!E:E, (RIGHT($D$52,1)-1)*14 + $B63+7)</f>
        <v>0</v>
      </c>
      <c r="G63" s="106" cm="1">
        <f t="array" ref="G63">INDEX('Soil Zones'!F:F, (RIGHT($D$52,1)-1)*14 + $B63+7)</f>
        <v>0</v>
      </c>
      <c r="H63" s="106" cm="1">
        <f t="array" ref="H63">INDEX('Soil Zones'!G:G, (RIGHT($D$52,1)-1)*14 + $B63+7)</f>
        <v>0</v>
      </c>
      <c r="I63" s="106" cm="1">
        <f t="array" ref="I63">INDEX('Soil Zones'!H:H, (RIGHT($D$52,1)-1)*14 + $B63+7)</f>
        <v>0</v>
      </c>
      <c r="J63" s="106" cm="1">
        <f t="array" ref="J63">INDEX('Soil Zones'!I:I, (RIGHT($D$52,1)-1)*14 + $B63+7)</f>
        <v>0</v>
      </c>
      <c r="K63" s="106" cm="1">
        <f t="array" ref="K63">INDEX('Soil Zones'!J:J, (RIGHT($D$52,1)-1)*14 + $B63+7)</f>
        <v>0</v>
      </c>
      <c r="L63" s="106" cm="1">
        <f t="array" ref="L63">INDEX('Soil Zones'!K:K, (RIGHT($D$52,1)-1)*14 + $B63+7)</f>
        <v>0</v>
      </c>
      <c r="M63" s="106" cm="1">
        <f t="array" ref="M63">INDEX('Soil Zones'!L:L, (RIGHT($D$52,1)-1)*14 + $B63+7)</f>
        <v>0</v>
      </c>
      <c r="Y63" s="73"/>
      <c r="Z63" s="73"/>
      <c r="AA63" s="73"/>
      <c r="AB63" s="73"/>
      <c r="AC63" s="73"/>
      <c r="AD63" s="73"/>
      <c r="AE63" s="73"/>
      <c r="AF63" s="73"/>
      <c r="AG63" s="73"/>
      <c r="AH63" s="73"/>
      <c r="AI63" s="69" t="b">
        <f t="shared" si="2"/>
        <v>0</v>
      </c>
      <c r="AJ63" s="74"/>
      <c r="AK63" s="74"/>
      <c r="AL63" s="74"/>
      <c r="AM63" s="74"/>
      <c r="AN63" s="74"/>
      <c r="AO63" s="74"/>
      <c r="AP63" s="74"/>
      <c r="AQ63" s="74"/>
      <c r="AR63" s="74"/>
      <c r="AS63" s="74"/>
      <c r="AT63" s="69" t="b">
        <f t="shared" si="1"/>
        <v>0</v>
      </c>
    </row>
    <row r="64" spans="2:46" ht="16.2" customHeight="1" x14ac:dyDescent="0.3">
      <c r="B64" s="130">
        <v>10</v>
      </c>
      <c r="C64" s="110" cm="1">
        <f t="array" ref="C64">INDEX('Soil Zones'!B:B, (RIGHT($D$52,1)-1)*14 + $B64+7)</f>
        <v>0</v>
      </c>
      <c r="D64" s="110" cm="1">
        <f t="array" ref="D64">INDEX('Soil Zones'!C:C, (RIGHT($D$52,1)-1)*14 + $B64+7)</f>
        <v>0</v>
      </c>
      <c r="E64" s="110" cm="1">
        <f t="array" ref="E64">INDEX('Soil Zones'!D:D, (RIGHT($D$52,1)-1)*14 + $B64+7)</f>
        <v>0</v>
      </c>
      <c r="F64" s="110" cm="1">
        <f t="array" ref="F64">INDEX('Soil Zones'!E:E, (RIGHT($D$52,1)-1)*14 + $B64+7)</f>
        <v>0</v>
      </c>
      <c r="G64" s="110" cm="1">
        <f t="array" ref="G64">INDEX('Soil Zones'!F:F, (RIGHT($D$52,1)-1)*14 + $B64+7)</f>
        <v>0</v>
      </c>
      <c r="H64" s="110" cm="1">
        <f t="array" ref="H64">INDEX('Soil Zones'!G:G, (RIGHT($D$52,1)-1)*14 + $B64+7)</f>
        <v>0</v>
      </c>
      <c r="I64" s="110" cm="1">
        <f t="array" ref="I64">INDEX('Soil Zones'!H:H, (RIGHT($D$52,1)-1)*14 + $B64+7)</f>
        <v>0</v>
      </c>
      <c r="J64" s="110" cm="1">
        <f t="array" ref="J64">INDEX('Soil Zones'!I:I, (RIGHT($D$52,1)-1)*14 + $B64+7)</f>
        <v>0</v>
      </c>
      <c r="K64" s="110" cm="1">
        <f t="array" ref="K64">INDEX('Soil Zones'!J:J, (RIGHT($D$52,1)-1)*14 + $B64+7)</f>
        <v>0</v>
      </c>
      <c r="L64" s="110" cm="1">
        <f t="array" ref="L64">INDEX('Soil Zones'!K:K, (RIGHT($D$52,1)-1)*14 + $B64+7)</f>
        <v>0</v>
      </c>
      <c r="M64" s="110" cm="1">
        <f t="array" ref="M64">INDEX('Soil Zones'!L:L, (RIGHT($D$52,1)-1)*14 + $B64+7)</f>
        <v>0</v>
      </c>
      <c r="Y64" s="73"/>
      <c r="Z64" s="73"/>
      <c r="AA64" s="73"/>
      <c r="AB64" s="73"/>
      <c r="AC64" s="73"/>
      <c r="AD64" s="73"/>
      <c r="AE64" s="73"/>
      <c r="AF64" s="73"/>
      <c r="AG64" s="73"/>
      <c r="AH64" s="73"/>
      <c r="AI64" s="69" t="b">
        <f t="shared" si="2"/>
        <v>0</v>
      </c>
      <c r="AJ64" s="74"/>
      <c r="AK64" s="74"/>
      <c r="AL64" s="74"/>
      <c r="AM64" s="74"/>
      <c r="AN64" s="74"/>
      <c r="AO64" s="74"/>
      <c r="AP64" s="74"/>
      <c r="AQ64" s="74"/>
      <c r="AR64" s="74"/>
      <c r="AS64" s="74"/>
      <c r="AT64" s="69" t="b">
        <f t="shared" si="1"/>
        <v>0</v>
      </c>
    </row>
    <row r="65" spans="2:46" ht="16.2" customHeight="1" x14ac:dyDescent="0.3">
      <c r="Y65" s="73"/>
      <c r="Z65" s="73"/>
      <c r="AA65" s="73"/>
      <c r="AB65" s="73"/>
      <c r="AC65" s="73"/>
      <c r="AD65" s="73"/>
      <c r="AE65" s="73"/>
      <c r="AF65" s="73"/>
      <c r="AG65" s="73"/>
      <c r="AH65" s="73"/>
      <c r="AI65" s="69" t="b">
        <f t="shared" si="2"/>
        <v>0</v>
      </c>
      <c r="AJ65" s="74"/>
      <c r="AK65" s="74"/>
      <c r="AL65" s="74"/>
      <c r="AM65" s="74"/>
      <c r="AN65" s="74"/>
      <c r="AO65" s="74"/>
      <c r="AP65" s="74"/>
      <c r="AQ65" s="74"/>
      <c r="AR65" s="74"/>
      <c r="AS65" s="74"/>
      <c r="AT65" s="69" t="b">
        <f t="shared" si="1"/>
        <v>0</v>
      </c>
    </row>
    <row r="66" spans="2:46" ht="16.2" customHeight="1" x14ac:dyDescent="0.3">
      <c r="Y66" s="73"/>
      <c r="Z66" s="73"/>
      <c r="AA66" s="73"/>
      <c r="AB66" s="73"/>
      <c r="AC66" s="73"/>
      <c r="AD66" s="73"/>
      <c r="AE66" s="73"/>
      <c r="AF66" s="73"/>
      <c r="AG66" s="73"/>
      <c r="AH66" s="73"/>
      <c r="AI66" s="69" t="b">
        <f t="shared" si="2"/>
        <v>0</v>
      </c>
      <c r="AJ66" s="74"/>
      <c r="AK66" s="74"/>
      <c r="AL66" s="74"/>
      <c r="AM66" s="74"/>
      <c r="AN66" s="74"/>
      <c r="AO66" s="74"/>
      <c r="AP66" s="74"/>
      <c r="AQ66" s="74"/>
      <c r="AR66" s="74"/>
      <c r="AS66" s="74"/>
      <c r="AT66" s="69" t="b">
        <f t="shared" si="1"/>
        <v>0</v>
      </c>
    </row>
    <row r="67" spans="2:46" ht="16.2" customHeight="1" x14ac:dyDescent="0.3">
      <c r="Y67" s="73"/>
      <c r="Z67" s="73"/>
      <c r="AA67" s="73"/>
      <c r="AB67" s="73"/>
      <c r="AC67" s="73"/>
      <c r="AD67" s="73"/>
      <c r="AE67" s="73"/>
      <c r="AF67" s="73"/>
      <c r="AG67" s="73"/>
      <c r="AH67" s="73"/>
      <c r="AI67" s="69" t="b">
        <f t="shared" ref="AI67:AI98" si="3">AND(Z67&gt;0,AC67&gt;0)</f>
        <v>0</v>
      </c>
      <c r="AJ67" s="74"/>
      <c r="AK67" s="74"/>
      <c r="AL67" s="74"/>
      <c r="AM67" s="74"/>
      <c r="AN67" s="74"/>
      <c r="AO67" s="74"/>
      <c r="AP67" s="74"/>
      <c r="AQ67" s="74"/>
      <c r="AR67" s="74"/>
      <c r="AS67" s="74"/>
      <c r="AT67" s="69" t="b">
        <f t="shared" ref="AT67:AT130" si="4">AND(AK67&gt;0,AN67&gt;0)</f>
        <v>0</v>
      </c>
    </row>
    <row r="68" spans="2:46" ht="41.4" x14ac:dyDescent="0.3">
      <c r="B68" s="128" t="s">
        <v>1201</v>
      </c>
      <c r="C68" s="128" t="s">
        <v>36</v>
      </c>
      <c r="D68" s="128" t="s">
        <v>1202</v>
      </c>
      <c r="E68" s="128" t="s">
        <v>1203</v>
      </c>
      <c r="F68" s="128" t="s">
        <v>1204</v>
      </c>
      <c r="G68" s="128" t="s">
        <v>1205</v>
      </c>
      <c r="Y68" s="73"/>
      <c r="Z68" s="73"/>
      <c r="AA68" s="73"/>
      <c r="AB68" s="73"/>
      <c r="AC68" s="73"/>
      <c r="AD68" s="73"/>
      <c r="AE68" s="73"/>
      <c r="AF68" s="73"/>
      <c r="AG68" s="73"/>
      <c r="AH68" s="73"/>
      <c r="AI68" s="69" t="b">
        <f t="shared" si="3"/>
        <v>0</v>
      </c>
      <c r="AJ68" s="74"/>
      <c r="AK68" s="74"/>
      <c r="AL68" s="74"/>
      <c r="AM68" s="74"/>
      <c r="AN68" s="74"/>
      <c r="AO68" s="74"/>
      <c r="AP68" s="74"/>
      <c r="AQ68" s="74"/>
      <c r="AR68" s="74"/>
      <c r="AS68" s="74"/>
      <c r="AT68" s="69" t="b">
        <f t="shared" si="4"/>
        <v>0</v>
      </c>
    </row>
    <row r="69" spans="2:46" ht="16.2" customHeight="1" x14ac:dyDescent="0.3">
      <c r="B69" s="106" t="str">
        <f>'Soil Zones'!N2</f>
        <v>A</v>
      </c>
      <c r="C69" s="129">
        <v>1</v>
      </c>
      <c r="D69" s="106">
        <f>'Soil Zones'!O2</f>
        <v>0</v>
      </c>
      <c r="E69" s="106">
        <f>'Soil Zones'!R2</f>
        <v>8.125</v>
      </c>
      <c r="F69" s="106">
        <f>'Soil Zones'!S2</f>
        <v>1</v>
      </c>
      <c r="G69" s="106">
        <f>'Soil Zones'!T2</f>
        <v>1</v>
      </c>
      <c r="Y69" s="73"/>
      <c r="Z69" s="73"/>
      <c r="AA69" s="73"/>
      <c r="AB69" s="73"/>
      <c r="AC69" s="73"/>
      <c r="AD69" s="73"/>
      <c r="AE69" s="73"/>
      <c r="AF69" s="73"/>
      <c r="AG69" s="73"/>
      <c r="AH69" s="73"/>
      <c r="AI69" s="69" t="b">
        <f t="shared" si="3"/>
        <v>0</v>
      </c>
      <c r="AJ69" s="74"/>
      <c r="AK69" s="74"/>
      <c r="AL69" s="74"/>
      <c r="AM69" s="74"/>
      <c r="AN69" s="74"/>
      <c r="AO69" s="74"/>
      <c r="AP69" s="74"/>
      <c r="AQ69" s="74"/>
      <c r="AR69" s="74"/>
      <c r="AS69" s="74"/>
      <c r="AT69" s="69" t="b">
        <f t="shared" si="4"/>
        <v>0</v>
      </c>
    </row>
    <row r="70" spans="2:46" ht="16.2" customHeight="1" x14ac:dyDescent="0.3">
      <c r="B70" s="106" t="str">
        <f>'Soil Zones'!N3</f>
        <v>A</v>
      </c>
      <c r="C70" s="127">
        <v>2</v>
      </c>
      <c r="D70" s="106">
        <f>'Soil Zones'!O3</f>
        <v>4</v>
      </c>
      <c r="E70" s="106">
        <f>'Soil Zones'!R3</f>
        <v>12.125</v>
      </c>
      <c r="F70" s="106">
        <f>'Soil Zones'!S3</f>
        <v>1</v>
      </c>
      <c r="G70" s="106">
        <f>'Soil Zones'!T3</f>
        <v>1</v>
      </c>
      <c r="Y70" s="73"/>
      <c r="Z70" s="73"/>
      <c r="AA70" s="73"/>
      <c r="AB70" s="73"/>
      <c r="AC70" s="73"/>
      <c r="AD70" s="73"/>
      <c r="AE70" s="73"/>
      <c r="AF70" s="73"/>
      <c r="AG70" s="73"/>
      <c r="AH70" s="73"/>
      <c r="AI70" s="69" t="b">
        <f t="shared" si="3"/>
        <v>0</v>
      </c>
      <c r="AJ70" s="74"/>
      <c r="AK70" s="74"/>
      <c r="AL70" s="74"/>
      <c r="AM70" s="74"/>
      <c r="AN70" s="74"/>
      <c r="AO70" s="74"/>
      <c r="AP70" s="74"/>
      <c r="AQ70" s="74"/>
      <c r="AR70" s="74"/>
      <c r="AS70" s="74"/>
      <c r="AT70" s="69" t="b">
        <f t="shared" si="4"/>
        <v>0</v>
      </c>
    </row>
    <row r="71" spans="2:46" ht="16.2" customHeight="1" x14ac:dyDescent="0.3">
      <c r="B71" s="106" t="str">
        <f>'Soil Zones'!N4</f>
        <v>A</v>
      </c>
      <c r="C71" s="127">
        <v>3</v>
      </c>
      <c r="D71" s="106">
        <f>'Soil Zones'!O4</f>
        <v>5</v>
      </c>
      <c r="E71" s="106">
        <f>'Soil Zones'!R4</f>
        <v>13.125</v>
      </c>
      <c r="F71" s="106">
        <f>'Soil Zones'!S4</f>
        <v>1</v>
      </c>
      <c r="G71" s="106">
        <f>'Soil Zones'!T4</f>
        <v>1</v>
      </c>
      <c r="Y71" s="73"/>
      <c r="Z71" s="73"/>
      <c r="AA71" s="73"/>
      <c r="AB71" s="73"/>
      <c r="AC71" s="73"/>
      <c r="AD71" s="73"/>
      <c r="AE71" s="73"/>
      <c r="AF71" s="73"/>
      <c r="AG71" s="73"/>
      <c r="AH71" s="73"/>
      <c r="AI71" s="69" t="b">
        <f t="shared" si="3"/>
        <v>0</v>
      </c>
      <c r="AJ71" s="74"/>
      <c r="AK71" s="74"/>
      <c r="AL71" s="74"/>
      <c r="AM71" s="74"/>
      <c r="AN71" s="74"/>
      <c r="AO71" s="74"/>
      <c r="AP71" s="74"/>
      <c r="AQ71" s="74"/>
      <c r="AR71" s="74"/>
      <c r="AS71" s="74"/>
      <c r="AT71" s="69" t="b">
        <f t="shared" si="4"/>
        <v>0</v>
      </c>
    </row>
    <row r="72" spans="2:46" ht="16.2" customHeight="1" x14ac:dyDescent="0.3">
      <c r="B72" s="106" t="str">
        <f>'Soil Zones'!N5</f>
        <v>A</v>
      </c>
      <c r="C72" s="127">
        <v>4</v>
      </c>
      <c r="D72" s="106">
        <f>'Soil Zones'!O5</f>
        <v>25</v>
      </c>
      <c r="E72" s="106">
        <f>'Soil Zones'!R5</f>
        <v>33.125</v>
      </c>
      <c r="F72" s="106">
        <f>'Soil Zones'!S5</f>
        <v>1</v>
      </c>
      <c r="G72" s="106">
        <f>'Soil Zones'!T5</f>
        <v>1</v>
      </c>
      <c r="Y72" s="73"/>
      <c r="Z72" s="73"/>
      <c r="AA72" s="73"/>
      <c r="AB72" s="73"/>
      <c r="AC72" s="73"/>
      <c r="AD72" s="73"/>
      <c r="AE72" s="73"/>
      <c r="AF72" s="73"/>
      <c r="AG72" s="73"/>
      <c r="AH72" s="73"/>
      <c r="AI72" s="69" t="b">
        <f t="shared" si="3"/>
        <v>0</v>
      </c>
      <c r="AJ72" s="74"/>
      <c r="AK72" s="74"/>
      <c r="AL72" s="74"/>
      <c r="AM72" s="74"/>
      <c r="AN72" s="74"/>
      <c r="AO72" s="74"/>
      <c r="AP72" s="74"/>
      <c r="AQ72" s="74"/>
      <c r="AR72" s="74"/>
      <c r="AS72" s="74"/>
      <c r="AT72" s="69" t="b">
        <f t="shared" si="4"/>
        <v>0</v>
      </c>
    </row>
    <row r="73" spans="2:46" ht="16.2" customHeight="1" x14ac:dyDescent="0.3">
      <c r="B73" s="106">
        <f>'Soil Zones'!N6</f>
        <v>0</v>
      </c>
      <c r="C73" s="127">
        <v>5</v>
      </c>
      <c r="D73" s="106">
        <f>'Soil Zones'!O6</f>
        <v>0</v>
      </c>
      <c r="E73" s="106">
        <f>'Soil Zones'!R6</f>
        <v>8.125</v>
      </c>
      <c r="F73" s="106">
        <f>'Soil Zones'!S6</f>
        <v>0</v>
      </c>
      <c r="G73" s="106">
        <f>'Soil Zones'!T6</f>
        <v>1</v>
      </c>
      <c r="Y73" s="73"/>
      <c r="Z73" s="73"/>
      <c r="AA73" s="73"/>
      <c r="AB73" s="73"/>
      <c r="AC73" s="73"/>
      <c r="AD73" s="73"/>
      <c r="AE73" s="73"/>
      <c r="AF73" s="73"/>
      <c r="AG73" s="73"/>
      <c r="AH73" s="73"/>
      <c r="AI73" s="69" t="b">
        <f t="shared" si="3"/>
        <v>0</v>
      </c>
      <c r="AJ73" s="74"/>
      <c r="AK73" s="74"/>
      <c r="AL73" s="74"/>
      <c r="AM73" s="74"/>
      <c r="AN73" s="74"/>
      <c r="AO73" s="74"/>
      <c r="AP73" s="74"/>
      <c r="AQ73" s="74"/>
      <c r="AR73" s="74"/>
      <c r="AS73" s="74"/>
      <c r="AT73" s="69" t="b">
        <f t="shared" si="4"/>
        <v>0</v>
      </c>
    </row>
    <row r="74" spans="2:46" ht="16.2" customHeight="1" x14ac:dyDescent="0.3">
      <c r="B74" s="106">
        <f>'Soil Zones'!N7</f>
        <v>0</v>
      </c>
      <c r="C74" s="127">
        <v>6</v>
      </c>
      <c r="D74" s="106">
        <f>'Soil Zones'!O7</f>
        <v>0</v>
      </c>
      <c r="E74" s="106">
        <f>'Soil Zones'!R7</f>
        <v>8.125</v>
      </c>
      <c r="F74" s="106">
        <f>'Soil Zones'!S7</f>
        <v>0</v>
      </c>
      <c r="G74" s="106">
        <f>'Soil Zones'!T7</f>
        <v>1</v>
      </c>
      <c r="Y74" s="73"/>
      <c r="Z74" s="73"/>
      <c r="AA74" s="73"/>
      <c r="AB74" s="73"/>
      <c r="AC74" s="73"/>
      <c r="AD74" s="73"/>
      <c r="AE74" s="73"/>
      <c r="AF74" s="73"/>
      <c r="AG74" s="73"/>
      <c r="AH74" s="73"/>
      <c r="AI74" s="69" t="b">
        <f t="shared" si="3"/>
        <v>0</v>
      </c>
      <c r="AJ74" s="74"/>
      <c r="AK74" s="74"/>
      <c r="AL74" s="74"/>
      <c r="AM74" s="74"/>
      <c r="AN74" s="74"/>
      <c r="AO74" s="74"/>
      <c r="AP74" s="74"/>
      <c r="AQ74" s="74"/>
      <c r="AR74" s="74"/>
      <c r="AS74" s="74"/>
      <c r="AT74" s="69" t="b">
        <f t="shared" si="4"/>
        <v>0</v>
      </c>
    </row>
    <row r="75" spans="2:46" ht="16.2" customHeight="1" x14ac:dyDescent="0.3">
      <c r="B75" s="106">
        <f>'Soil Zones'!N8</f>
        <v>0</v>
      </c>
      <c r="C75" s="127">
        <v>7</v>
      </c>
      <c r="D75" s="106">
        <f>'Soil Zones'!O8</f>
        <v>0</v>
      </c>
      <c r="E75" s="106">
        <f>'Soil Zones'!R8</f>
        <v>8.125</v>
      </c>
      <c r="F75" s="106">
        <f>'Soil Zones'!S8</f>
        <v>0</v>
      </c>
      <c r="G75" s="106">
        <f>'Soil Zones'!T8</f>
        <v>1</v>
      </c>
      <c r="Y75" s="73"/>
      <c r="Z75" s="73"/>
      <c r="AA75" s="73"/>
      <c r="AB75" s="73"/>
      <c r="AC75" s="73"/>
      <c r="AD75" s="73"/>
      <c r="AE75" s="73"/>
      <c r="AF75" s="73"/>
      <c r="AG75" s="73"/>
      <c r="AH75" s="73"/>
      <c r="AI75" s="69" t="b">
        <f t="shared" si="3"/>
        <v>0</v>
      </c>
      <c r="AJ75" s="74"/>
      <c r="AK75" s="74"/>
      <c r="AL75" s="74"/>
      <c r="AM75" s="74"/>
      <c r="AN75" s="74"/>
      <c r="AO75" s="74"/>
      <c r="AP75" s="74"/>
      <c r="AQ75" s="74"/>
      <c r="AR75" s="74"/>
      <c r="AS75" s="74"/>
      <c r="AT75" s="69" t="b">
        <f t="shared" si="4"/>
        <v>0</v>
      </c>
    </row>
    <row r="76" spans="2:46" ht="16.2" customHeight="1" x14ac:dyDescent="0.3">
      <c r="B76" s="106">
        <f>'Soil Zones'!N9</f>
        <v>0</v>
      </c>
      <c r="C76" s="127">
        <v>8</v>
      </c>
      <c r="D76" s="106">
        <f>'Soil Zones'!O9</f>
        <v>0</v>
      </c>
      <c r="E76" s="106">
        <f>'Soil Zones'!R9</f>
        <v>8.125</v>
      </c>
      <c r="F76" s="106">
        <f>'Soil Zones'!S9</f>
        <v>0</v>
      </c>
      <c r="G76" s="106">
        <f>'Soil Zones'!T9</f>
        <v>1</v>
      </c>
      <c r="Y76" s="73"/>
      <c r="Z76" s="73"/>
      <c r="AA76" s="73"/>
      <c r="AB76" s="73"/>
      <c r="AC76" s="73"/>
      <c r="AD76" s="73"/>
      <c r="AE76" s="73"/>
      <c r="AF76" s="73"/>
      <c r="AG76" s="73"/>
      <c r="AH76" s="73"/>
      <c r="AI76" s="69" t="b">
        <f t="shared" si="3"/>
        <v>0</v>
      </c>
      <c r="AJ76" s="74"/>
      <c r="AK76" s="74"/>
      <c r="AL76" s="74"/>
      <c r="AM76" s="74"/>
      <c r="AN76" s="74"/>
      <c r="AO76" s="74"/>
      <c r="AP76" s="74"/>
      <c r="AQ76" s="74"/>
      <c r="AR76" s="74"/>
      <c r="AS76" s="74"/>
      <c r="AT76" s="69" t="b">
        <f t="shared" si="4"/>
        <v>0</v>
      </c>
    </row>
    <row r="77" spans="2:46" ht="16.2" customHeight="1" x14ac:dyDescent="0.3">
      <c r="B77" s="106">
        <f>'Soil Zones'!N10</f>
        <v>0</v>
      </c>
      <c r="C77" s="127">
        <v>9</v>
      </c>
      <c r="D77" s="106">
        <f>'Soil Zones'!O10</f>
        <v>0</v>
      </c>
      <c r="E77" s="106">
        <f>'Soil Zones'!R10</f>
        <v>8.125</v>
      </c>
      <c r="F77" s="106">
        <f>'Soil Zones'!S10</f>
        <v>0</v>
      </c>
      <c r="G77" s="106">
        <f>'Soil Zones'!T10</f>
        <v>1</v>
      </c>
      <c r="Y77" s="73"/>
      <c r="Z77" s="73"/>
      <c r="AA77" s="73"/>
      <c r="AB77" s="73"/>
      <c r="AC77" s="73"/>
      <c r="AD77" s="73"/>
      <c r="AE77" s="73"/>
      <c r="AF77" s="73"/>
      <c r="AG77" s="73"/>
      <c r="AH77" s="73"/>
      <c r="AI77" s="69" t="b">
        <f t="shared" si="3"/>
        <v>0</v>
      </c>
      <c r="AJ77" s="74"/>
      <c r="AK77" s="74"/>
      <c r="AL77" s="74"/>
      <c r="AM77" s="74"/>
      <c r="AN77" s="74"/>
      <c r="AO77" s="74"/>
      <c r="AP77" s="74"/>
      <c r="AQ77" s="74"/>
      <c r="AR77" s="74"/>
      <c r="AS77" s="74"/>
      <c r="AT77" s="69" t="b">
        <f t="shared" si="4"/>
        <v>0</v>
      </c>
    </row>
    <row r="78" spans="2:46" ht="16.2" customHeight="1" x14ac:dyDescent="0.3">
      <c r="B78" s="110">
        <f>'Soil Zones'!N11</f>
        <v>0</v>
      </c>
      <c r="C78" s="130">
        <v>10</v>
      </c>
      <c r="D78" s="110">
        <f>'Soil Zones'!O11</f>
        <v>0</v>
      </c>
      <c r="E78" s="110">
        <f>'Soil Zones'!R11</f>
        <v>8.125</v>
      </c>
      <c r="F78" s="110">
        <f>'Soil Zones'!S11</f>
        <v>0</v>
      </c>
      <c r="G78" s="110">
        <f>'Soil Zones'!T11</f>
        <v>1</v>
      </c>
      <c r="Y78" s="73"/>
      <c r="Z78" s="73"/>
      <c r="AA78" s="73"/>
      <c r="AB78" s="73"/>
      <c r="AC78" s="73"/>
      <c r="AD78" s="73"/>
      <c r="AE78" s="73"/>
      <c r="AF78" s="73"/>
      <c r="AG78" s="73"/>
      <c r="AH78" s="73"/>
      <c r="AI78" s="69" t="b">
        <f t="shared" si="3"/>
        <v>0</v>
      </c>
      <c r="AJ78" s="74"/>
      <c r="AK78" s="74"/>
      <c r="AL78" s="74"/>
      <c r="AM78" s="74"/>
      <c r="AN78" s="74"/>
      <c r="AO78" s="74"/>
      <c r="AP78" s="74"/>
      <c r="AQ78" s="74"/>
      <c r="AR78" s="74"/>
      <c r="AS78" s="74"/>
      <c r="AT78" s="69" t="b">
        <f t="shared" si="4"/>
        <v>0</v>
      </c>
    </row>
    <row r="79" spans="2:46" ht="16.2" customHeight="1" x14ac:dyDescent="0.3">
      <c r="B79" s="412" t="s">
        <v>1206</v>
      </c>
      <c r="C79" s="413"/>
      <c r="D79" s="94">
        <f>COUNT('Soil Zones'!O2:O11)</f>
        <v>4</v>
      </c>
      <c r="Y79" s="73"/>
      <c r="Z79" s="73"/>
      <c r="AA79" s="73"/>
      <c r="AB79" s="73"/>
      <c r="AC79" s="73"/>
      <c r="AD79" s="73"/>
      <c r="AE79" s="73"/>
      <c r="AF79" s="73"/>
      <c r="AG79" s="73"/>
      <c r="AH79" s="73"/>
      <c r="AI79" s="69" t="b">
        <f t="shared" si="3"/>
        <v>0</v>
      </c>
      <c r="AJ79" s="74"/>
      <c r="AK79" s="74"/>
      <c r="AL79" s="74"/>
      <c r="AM79" s="74"/>
      <c r="AN79" s="74"/>
      <c r="AO79" s="74"/>
      <c r="AP79" s="74"/>
      <c r="AQ79" s="74"/>
      <c r="AR79" s="74"/>
      <c r="AS79" s="74"/>
      <c r="AT79" s="69" t="b">
        <f t="shared" si="4"/>
        <v>0</v>
      </c>
    </row>
    <row r="80" spans="2:46" ht="16.2" customHeight="1" x14ac:dyDescent="0.3">
      <c r="Y80" s="73"/>
      <c r="Z80" s="73"/>
      <c r="AA80" s="73"/>
      <c r="AB80" s="73"/>
      <c r="AC80" s="73"/>
      <c r="AD80" s="73"/>
      <c r="AE80" s="73"/>
      <c r="AF80" s="73"/>
      <c r="AG80" s="73"/>
      <c r="AH80" s="73"/>
      <c r="AI80" s="69" t="b">
        <f t="shared" si="3"/>
        <v>0</v>
      </c>
      <c r="AJ80" s="74"/>
      <c r="AK80" s="74"/>
      <c r="AL80" s="74"/>
      <c r="AM80" s="74"/>
      <c r="AN80" s="74"/>
      <c r="AO80" s="74"/>
      <c r="AP80" s="74"/>
      <c r="AQ80" s="74"/>
      <c r="AR80" s="74"/>
      <c r="AS80" s="74"/>
      <c r="AT80" s="69" t="b">
        <f t="shared" si="4"/>
        <v>0</v>
      </c>
    </row>
    <row r="81" spans="25:46" ht="16.2" customHeight="1" x14ac:dyDescent="0.3">
      <c r="Y81" s="73"/>
      <c r="Z81" s="73"/>
      <c r="AA81" s="73"/>
      <c r="AB81" s="73"/>
      <c r="AC81" s="73"/>
      <c r="AD81" s="73"/>
      <c r="AE81" s="73"/>
      <c r="AF81" s="73"/>
      <c r="AG81" s="73"/>
      <c r="AH81" s="73"/>
      <c r="AI81" s="69" t="b">
        <f t="shared" si="3"/>
        <v>0</v>
      </c>
      <c r="AJ81" s="74"/>
      <c r="AK81" s="74"/>
      <c r="AL81" s="74"/>
      <c r="AM81" s="74"/>
      <c r="AN81" s="74"/>
      <c r="AO81" s="74"/>
      <c r="AP81" s="74"/>
      <c r="AQ81" s="74"/>
      <c r="AR81" s="74"/>
      <c r="AS81" s="74"/>
      <c r="AT81" s="69" t="b">
        <f t="shared" si="4"/>
        <v>0</v>
      </c>
    </row>
    <row r="82" spans="25:46" ht="16.2" customHeight="1" x14ac:dyDescent="0.3">
      <c r="Y82" s="73"/>
      <c r="Z82" s="73"/>
      <c r="AA82" s="73"/>
      <c r="AB82" s="73"/>
      <c r="AC82" s="73"/>
      <c r="AD82" s="73"/>
      <c r="AE82" s="73"/>
      <c r="AF82" s="73"/>
      <c r="AG82" s="73"/>
      <c r="AH82" s="73"/>
      <c r="AI82" s="69" t="b">
        <f t="shared" si="3"/>
        <v>0</v>
      </c>
      <c r="AJ82" s="74"/>
      <c r="AK82" s="74"/>
      <c r="AL82" s="74"/>
      <c r="AM82" s="74"/>
      <c r="AN82" s="74"/>
      <c r="AO82" s="74"/>
      <c r="AP82" s="74"/>
      <c r="AQ82" s="74"/>
      <c r="AR82" s="74"/>
      <c r="AS82" s="74"/>
      <c r="AT82" s="69" t="b">
        <f t="shared" si="4"/>
        <v>0</v>
      </c>
    </row>
    <row r="83" spans="25:46" ht="16.2" customHeight="1" x14ac:dyDescent="0.3">
      <c r="Y83" s="73"/>
      <c r="Z83" s="73"/>
      <c r="AA83" s="73"/>
      <c r="AB83" s="73"/>
      <c r="AC83" s="73"/>
      <c r="AD83" s="73"/>
      <c r="AE83" s="73"/>
      <c r="AF83" s="73"/>
      <c r="AG83" s="73"/>
      <c r="AH83" s="73"/>
      <c r="AI83" s="69" t="b">
        <f t="shared" si="3"/>
        <v>0</v>
      </c>
      <c r="AJ83" s="74"/>
      <c r="AK83" s="74"/>
      <c r="AL83" s="74"/>
      <c r="AM83" s="74"/>
      <c r="AN83" s="74"/>
      <c r="AO83" s="74"/>
      <c r="AP83" s="74"/>
      <c r="AQ83" s="74"/>
      <c r="AR83" s="74"/>
      <c r="AS83" s="74"/>
      <c r="AT83" s="69" t="b">
        <f t="shared" si="4"/>
        <v>0</v>
      </c>
    </row>
    <row r="84" spans="25:46" ht="16.2" customHeight="1" x14ac:dyDescent="0.3">
      <c r="Y84" s="73"/>
      <c r="Z84" s="73"/>
      <c r="AA84" s="73"/>
      <c r="AB84" s="73"/>
      <c r="AC84" s="73"/>
      <c r="AD84" s="73"/>
      <c r="AE84" s="73"/>
      <c r="AF84" s="73"/>
      <c r="AG84" s="73"/>
      <c r="AH84" s="73"/>
      <c r="AI84" s="69" t="b">
        <f t="shared" si="3"/>
        <v>0</v>
      </c>
      <c r="AJ84" s="74"/>
      <c r="AK84" s="74"/>
      <c r="AL84" s="74"/>
      <c r="AM84" s="74"/>
      <c r="AN84" s="74"/>
      <c r="AO84" s="74"/>
      <c r="AP84" s="74"/>
      <c r="AQ84" s="74"/>
      <c r="AR84" s="74"/>
      <c r="AS84" s="74"/>
      <c r="AT84" s="69" t="b">
        <f t="shared" si="4"/>
        <v>0</v>
      </c>
    </row>
    <row r="85" spans="25:46" ht="16.2" customHeight="1" x14ac:dyDescent="0.3">
      <c r="Y85" s="73"/>
      <c r="Z85" s="73"/>
      <c r="AA85" s="73"/>
      <c r="AB85" s="73"/>
      <c r="AC85" s="73"/>
      <c r="AD85" s="73"/>
      <c r="AE85" s="73"/>
      <c r="AF85" s="73"/>
      <c r="AG85" s="73"/>
      <c r="AH85" s="73"/>
      <c r="AI85" s="69" t="b">
        <f t="shared" si="3"/>
        <v>0</v>
      </c>
      <c r="AJ85" s="74"/>
      <c r="AK85" s="74"/>
      <c r="AL85" s="74"/>
      <c r="AM85" s="74"/>
      <c r="AN85" s="74"/>
      <c r="AO85" s="74"/>
      <c r="AP85" s="74"/>
      <c r="AQ85" s="74"/>
      <c r="AR85" s="74"/>
      <c r="AS85" s="74"/>
      <c r="AT85" s="69" t="b">
        <f t="shared" si="4"/>
        <v>0</v>
      </c>
    </row>
    <row r="86" spans="25:46" ht="16.2" customHeight="1" x14ac:dyDescent="0.3">
      <c r="Y86" s="73"/>
      <c r="Z86" s="73"/>
      <c r="AA86" s="73"/>
      <c r="AB86" s="73"/>
      <c r="AC86" s="73"/>
      <c r="AD86" s="73"/>
      <c r="AE86" s="73"/>
      <c r="AF86" s="73"/>
      <c r="AG86" s="73"/>
      <c r="AH86" s="73"/>
      <c r="AI86" s="69" t="b">
        <f t="shared" si="3"/>
        <v>0</v>
      </c>
      <c r="AJ86" s="74"/>
      <c r="AK86" s="74"/>
      <c r="AL86" s="74"/>
      <c r="AM86" s="74"/>
      <c r="AN86" s="74"/>
      <c r="AO86" s="74"/>
      <c r="AP86" s="74"/>
      <c r="AQ86" s="74"/>
      <c r="AR86" s="74"/>
      <c r="AS86" s="74"/>
      <c r="AT86" s="69" t="b">
        <f t="shared" si="4"/>
        <v>0</v>
      </c>
    </row>
    <row r="87" spans="25:46" ht="16.2" customHeight="1" x14ac:dyDescent="0.3">
      <c r="Y87" s="73"/>
      <c r="Z87" s="73"/>
      <c r="AA87" s="73"/>
      <c r="AB87" s="73"/>
      <c r="AC87" s="73"/>
      <c r="AD87" s="73"/>
      <c r="AE87" s="73"/>
      <c r="AF87" s="73"/>
      <c r="AG87" s="73"/>
      <c r="AH87" s="73"/>
      <c r="AI87" s="69" t="b">
        <f t="shared" si="3"/>
        <v>0</v>
      </c>
      <c r="AJ87" s="74"/>
      <c r="AK87" s="74"/>
      <c r="AL87" s="74"/>
      <c r="AM87" s="74"/>
      <c r="AN87" s="74"/>
      <c r="AO87" s="74"/>
      <c r="AP87" s="74"/>
      <c r="AQ87" s="74"/>
      <c r="AR87" s="74"/>
      <c r="AS87" s="74"/>
      <c r="AT87" s="69" t="b">
        <f t="shared" si="4"/>
        <v>0</v>
      </c>
    </row>
    <row r="88" spans="25:46" ht="16.2" customHeight="1" x14ac:dyDescent="0.3">
      <c r="Y88" s="73"/>
      <c r="Z88" s="73"/>
      <c r="AA88" s="73"/>
      <c r="AB88" s="73"/>
      <c r="AC88" s="73"/>
      <c r="AD88" s="73"/>
      <c r="AE88" s="73"/>
      <c r="AF88" s="73"/>
      <c r="AG88" s="73"/>
      <c r="AH88" s="73"/>
      <c r="AI88" s="69" t="b">
        <f t="shared" si="3"/>
        <v>0</v>
      </c>
      <c r="AJ88" s="74"/>
      <c r="AK88" s="74"/>
      <c r="AL88" s="74"/>
      <c r="AM88" s="74"/>
      <c r="AN88" s="74"/>
      <c r="AO88" s="74"/>
      <c r="AP88" s="74"/>
      <c r="AQ88" s="74"/>
      <c r="AR88" s="74"/>
      <c r="AS88" s="74"/>
      <c r="AT88" s="69" t="b">
        <f t="shared" si="4"/>
        <v>0</v>
      </c>
    </row>
    <row r="89" spans="25:46" ht="16.2" customHeight="1" x14ac:dyDescent="0.3">
      <c r="Y89" s="73"/>
      <c r="Z89" s="73"/>
      <c r="AA89" s="73"/>
      <c r="AB89" s="73"/>
      <c r="AC89" s="73"/>
      <c r="AD89" s="73"/>
      <c r="AE89" s="73"/>
      <c r="AF89" s="73"/>
      <c r="AG89" s="73"/>
      <c r="AH89" s="73"/>
      <c r="AI89" s="69" t="b">
        <f t="shared" si="3"/>
        <v>0</v>
      </c>
      <c r="AJ89" s="74"/>
      <c r="AK89" s="74"/>
      <c r="AL89" s="74"/>
      <c r="AM89" s="74"/>
      <c r="AN89" s="74"/>
      <c r="AO89" s="74"/>
      <c r="AP89" s="74"/>
      <c r="AQ89" s="74"/>
      <c r="AR89" s="74"/>
      <c r="AS89" s="74"/>
      <c r="AT89" s="69" t="b">
        <f t="shared" si="4"/>
        <v>0</v>
      </c>
    </row>
    <row r="90" spans="25:46" ht="16.2" customHeight="1" x14ac:dyDescent="0.3">
      <c r="Y90" s="73"/>
      <c r="Z90" s="73"/>
      <c r="AA90" s="73"/>
      <c r="AB90" s="73"/>
      <c r="AC90" s="73"/>
      <c r="AD90" s="73"/>
      <c r="AE90" s="73"/>
      <c r="AF90" s="73"/>
      <c r="AG90" s="73"/>
      <c r="AH90" s="73"/>
      <c r="AI90" s="69" t="b">
        <f t="shared" si="3"/>
        <v>0</v>
      </c>
      <c r="AJ90" s="74"/>
      <c r="AK90" s="74"/>
      <c r="AL90" s="74"/>
      <c r="AM90" s="74"/>
      <c r="AN90" s="74"/>
      <c r="AO90" s="74"/>
      <c r="AP90" s="74"/>
      <c r="AQ90" s="74"/>
      <c r="AR90" s="74"/>
      <c r="AS90" s="74"/>
      <c r="AT90" s="69" t="b">
        <f t="shared" si="4"/>
        <v>0</v>
      </c>
    </row>
    <row r="91" spans="25:46" ht="16.2" customHeight="1" x14ac:dyDescent="0.3">
      <c r="Y91" s="73"/>
      <c r="Z91" s="73"/>
      <c r="AA91" s="73"/>
      <c r="AB91" s="73"/>
      <c r="AC91" s="73"/>
      <c r="AD91" s="73"/>
      <c r="AE91" s="73"/>
      <c r="AF91" s="73"/>
      <c r="AG91" s="73"/>
      <c r="AH91" s="73"/>
      <c r="AI91" s="69" t="b">
        <f t="shared" si="3"/>
        <v>0</v>
      </c>
      <c r="AJ91" s="74"/>
      <c r="AK91" s="74"/>
      <c r="AL91" s="74"/>
      <c r="AM91" s="74"/>
      <c r="AN91" s="74"/>
      <c r="AO91" s="74"/>
      <c r="AP91" s="74"/>
      <c r="AQ91" s="74"/>
      <c r="AR91" s="74"/>
      <c r="AS91" s="74"/>
      <c r="AT91" s="69" t="b">
        <f t="shared" si="4"/>
        <v>0</v>
      </c>
    </row>
    <row r="92" spans="25:46" ht="16.2" customHeight="1" x14ac:dyDescent="0.3">
      <c r="Y92" s="73"/>
      <c r="Z92" s="73"/>
      <c r="AA92" s="73"/>
      <c r="AB92" s="73"/>
      <c r="AC92" s="73"/>
      <c r="AD92" s="73"/>
      <c r="AE92" s="73"/>
      <c r="AF92" s="73"/>
      <c r="AG92" s="73"/>
      <c r="AH92" s="73"/>
      <c r="AI92" s="69" t="b">
        <f t="shared" si="3"/>
        <v>0</v>
      </c>
      <c r="AJ92" s="74"/>
      <c r="AK92" s="74"/>
      <c r="AL92" s="74"/>
      <c r="AM92" s="74"/>
      <c r="AN92" s="74"/>
      <c r="AO92" s="74"/>
      <c r="AP92" s="74"/>
      <c r="AQ92" s="74"/>
      <c r="AR92" s="74"/>
      <c r="AS92" s="74"/>
      <c r="AT92" s="69" t="b">
        <f t="shared" si="4"/>
        <v>0</v>
      </c>
    </row>
    <row r="93" spans="25:46" ht="16.2" customHeight="1" x14ac:dyDescent="0.3">
      <c r="Y93" s="73"/>
      <c r="Z93" s="73"/>
      <c r="AA93" s="73"/>
      <c r="AB93" s="73"/>
      <c r="AC93" s="73"/>
      <c r="AD93" s="73"/>
      <c r="AE93" s="73"/>
      <c r="AF93" s="73"/>
      <c r="AG93" s="73"/>
      <c r="AH93" s="73"/>
      <c r="AI93" s="69" t="b">
        <f t="shared" si="3"/>
        <v>0</v>
      </c>
      <c r="AJ93" s="74"/>
      <c r="AK93" s="74"/>
      <c r="AL93" s="74"/>
      <c r="AM93" s="74"/>
      <c r="AN93" s="74"/>
      <c r="AO93" s="74"/>
      <c r="AP93" s="74"/>
      <c r="AQ93" s="74"/>
      <c r="AR93" s="74"/>
      <c r="AS93" s="74"/>
      <c r="AT93" s="69" t="b">
        <f t="shared" si="4"/>
        <v>0</v>
      </c>
    </row>
    <row r="94" spans="25:46" ht="16.2" customHeight="1" x14ac:dyDescent="0.3">
      <c r="Y94" s="73"/>
      <c r="Z94" s="73"/>
      <c r="AA94" s="73"/>
      <c r="AB94" s="73"/>
      <c r="AC94" s="73"/>
      <c r="AD94" s="73"/>
      <c r="AE94" s="73"/>
      <c r="AF94" s="73"/>
      <c r="AG94" s="73"/>
      <c r="AH94" s="73"/>
      <c r="AI94" s="69" t="b">
        <f t="shared" si="3"/>
        <v>0</v>
      </c>
      <c r="AJ94" s="74"/>
      <c r="AK94" s="74"/>
      <c r="AL94" s="74"/>
      <c r="AM94" s="74"/>
      <c r="AN94" s="74"/>
      <c r="AO94" s="74"/>
      <c r="AP94" s="74"/>
      <c r="AQ94" s="74"/>
      <c r="AR94" s="74"/>
      <c r="AS94" s="74"/>
      <c r="AT94" s="69" t="b">
        <f t="shared" si="4"/>
        <v>0</v>
      </c>
    </row>
    <row r="95" spans="25:46" ht="16.2" customHeight="1" x14ac:dyDescent="0.3">
      <c r="Y95" s="73"/>
      <c r="Z95" s="73"/>
      <c r="AA95" s="73"/>
      <c r="AB95" s="73"/>
      <c r="AC95" s="73"/>
      <c r="AD95" s="73"/>
      <c r="AE95" s="73"/>
      <c r="AF95" s="73"/>
      <c r="AG95" s="73"/>
      <c r="AH95" s="73"/>
      <c r="AI95" s="69" t="b">
        <f t="shared" si="3"/>
        <v>0</v>
      </c>
      <c r="AJ95" s="74"/>
      <c r="AK95" s="74"/>
      <c r="AL95" s="74"/>
      <c r="AM95" s="74"/>
      <c r="AN95" s="74"/>
      <c r="AO95" s="74"/>
      <c r="AP95" s="74"/>
      <c r="AQ95" s="74"/>
      <c r="AR95" s="74"/>
      <c r="AS95" s="74"/>
      <c r="AT95" s="69" t="b">
        <f t="shared" si="4"/>
        <v>0</v>
      </c>
    </row>
    <row r="96" spans="25:46" ht="16.2" customHeight="1" x14ac:dyDescent="0.3">
      <c r="Y96" s="73"/>
      <c r="Z96" s="73"/>
      <c r="AA96" s="73"/>
      <c r="AB96" s="73"/>
      <c r="AC96" s="73"/>
      <c r="AD96" s="73"/>
      <c r="AE96" s="73"/>
      <c r="AF96" s="73"/>
      <c r="AG96" s="73"/>
      <c r="AH96" s="73"/>
      <c r="AI96" s="69" t="b">
        <f t="shared" si="3"/>
        <v>0</v>
      </c>
      <c r="AJ96" s="74"/>
      <c r="AK96" s="74"/>
      <c r="AL96" s="74"/>
      <c r="AM96" s="74"/>
      <c r="AN96" s="74"/>
      <c r="AO96" s="74"/>
      <c r="AP96" s="74"/>
      <c r="AQ96" s="74"/>
      <c r="AR96" s="74"/>
      <c r="AS96" s="74"/>
      <c r="AT96" s="69" t="b">
        <f t="shared" si="4"/>
        <v>0</v>
      </c>
    </row>
    <row r="97" spans="25:46" ht="16.2" customHeight="1" x14ac:dyDescent="0.3">
      <c r="Y97" s="73"/>
      <c r="Z97" s="73"/>
      <c r="AA97" s="73"/>
      <c r="AB97" s="73"/>
      <c r="AC97" s="73"/>
      <c r="AD97" s="73"/>
      <c r="AE97" s="73"/>
      <c r="AF97" s="73"/>
      <c r="AG97" s="73"/>
      <c r="AH97" s="73"/>
      <c r="AI97" s="69" t="b">
        <f t="shared" si="3"/>
        <v>0</v>
      </c>
      <c r="AJ97" s="74"/>
      <c r="AK97" s="74"/>
      <c r="AL97" s="74"/>
      <c r="AM97" s="74"/>
      <c r="AN97" s="74"/>
      <c r="AO97" s="74"/>
      <c r="AP97" s="74"/>
      <c r="AQ97" s="74"/>
      <c r="AR97" s="74"/>
      <c r="AS97" s="74"/>
      <c r="AT97" s="69" t="b">
        <f t="shared" si="4"/>
        <v>0</v>
      </c>
    </row>
    <row r="98" spans="25:46" ht="16.2" customHeight="1" x14ac:dyDescent="0.3">
      <c r="Y98" s="73"/>
      <c r="Z98" s="73"/>
      <c r="AA98" s="73"/>
      <c r="AB98" s="73"/>
      <c r="AC98" s="73"/>
      <c r="AD98" s="73"/>
      <c r="AE98" s="73"/>
      <c r="AF98" s="73"/>
      <c r="AG98" s="73"/>
      <c r="AH98" s="73"/>
      <c r="AI98" s="69" t="b">
        <f t="shared" si="3"/>
        <v>0</v>
      </c>
      <c r="AJ98" s="74"/>
      <c r="AK98" s="74"/>
      <c r="AL98" s="74"/>
      <c r="AM98" s="74"/>
      <c r="AN98" s="74"/>
      <c r="AO98" s="74"/>
      <c r="AP98" s="74"/>
      <c r="AQ98" s="74"/>
      <c r="AR98" s="74"/>
      <c r="AS98" s="74"/>
      <c r="AT98" s="69" t="b">
        <f t="shared" si="4"/>
        <v>0</v>
      </c>
    </row>
    <row r="99" spans="25:46" ht="16.2" customHeight="1" x14ac:dyDescent="0.3">
      <c r="Y99" s="73"/>
      <c r="Z99" s="73"/>
      <c r="AA99" s="73"/>
      <c r="AB99" s="73"/>
      <c r="AC99" s="73"/>
      <c r="AD99" s="73"/>
      <c r="AE99" s="73"/>
      <c r="AF99" s="73"/>
      <c r="AG99" s="73"/>
      <c r="AH99" s="73"/>
      <c r="AI99" s="69" t="b">
        <f t="shared" ref="AI99:AI130" si="5">AND(Z99&gt;0,AC99&gt;0)</f>
        <v>0</v>
      </c>
      <c r="AJ99" s="74"/>
      <c r="AK99" s="74"/>
      <c r="AL99" s="74"/>
      <c r="AM99" s="74"/>
      <c r="AN99" s="74"/>
      <c r="AO99" s="74"/>
      <c r="AP99" s="74"/>
      <c r="AQ99" s="74"/>
      <c r="AR99" s="74"/>
      <c r="AS99" s="74"/>
      <c r="AT99" s="69" t="b">
        <f t="shared" si="4"/>
        <v>0</v>
      </c>
    </row>
    <row r="100" spans="25:46" ht="16.2" customHeight="1" x14ac:dyDescent="0.3">
      <c r="Y100" s="73"/>
      <c r="Z100" s="73"/>
      <c r="AA100" s="73"/>
      <c r="AB100" s="73"/>
      <c r="AC100" s="73"/>
      <c r="AD100" s="73"/>
      <c r="AE100" s="73"/>
      <c r="AF100" s="73"/>
      <c r="AG100" s="73"/>
      <c r="AH100" s="73"/>
      <c r="AI100" s="69" t="b">
        <f t="shared" si="5"/>
        <v>0</v>
      </c>
      <c r="AJ100" s="74"/>
      <c r="AK100" s="74"/>
      <c r="AL100" s="74"/>
      <c r="AM100" s="74"/>
      <c r="AN100" s="74"/>
      <c r="AO100" s="74"/>
      <c r="AP100" s="74"/>
      <c r="AQ100" s="74"/>
      <c r="AR100" s="74"/>
      <c r="AS100" s="74"/>
      <c r="AT100" s="69" t="b">
        <f t="shared" si="4"/>
        <v>0</v>
      </c>
    </row>
    <row r="101" spans="25:46" ht="16.2" customHeight="1" x14ac:dyDescent="0.3">
      <c r="Y101" s="73"/>
      <c r="Z101" s="73"/>
      <c r="AA101" s="73"/>
      <c r="AB101" s="73"/>
      <c r="AC101" s="73"/>
      <c r="AD101" s="73"/>
      <c r="AE101" s="73"/>
      <c r="AF101" s="73"/>
      <c r="AG101" s="73"/>
      <c r="AH101" s="73"/>
      <c r="AI101" s="69" t="b">
        <f t="shared" si="5"/>
        <v>0</v>
      </c>
      <c r="AJ101" s="74"/>
      <c r="AK101" s="74"/>
      <c r="AL101" s="74"/>
      <c r="AM101" s="74"/>
      <c r="AN101" s="74"/>
      <c r="AO101" s="74"/>
      <c r="AP101" s="74"/>
      <c r="AQ101" s="74"/>
      <c r="AR101" s="74"/>
      <c r="AS101" s="74"/>
      <c r="AT101" s="69" t="b">
        <f t="shared" si="4"/>
        <v>0</v>
      </c>
    </row>
    <row r="102" spans="25:46" ht="16.2" customHeight="1" x14ac:dyDescent="0.3">
      <c r="Y102" s="73"/>
      <c r="Z102" s="73"/>
      <c r="AA102" s="73"/>
      <c r="AB102" s="73"/>
      <c r="AC102" s="73"/>
      <c r="AD102" s="73"/>
      <c r="AE102" s="73"/>
      <c r="AF102" s="73"/>
      <c r="AG102" s="73"/>
      <c r="AH102" s="73"/>
      <c r="AI102" s="69" t="b">
        <f t="shared" si="5"/>
        <v>0</v>
      </c>
      <c r="AJ102" s="74"/>
      <c r="AK102" s="74"/>
      <c r="AL102" s="74"/>
      <c r="AM102" s="74"/>
      <c r="AN102" s="74"/>
      <c r="AO102" s="74"/>
      <c r="AP102" s="74"/>
      <c r="AQ102" s="74"/>
      <c r="AR102" s="74"/>
      <c r="AS102" s="74"/>
      <c r="AT102" s="69" t="b">
        <f t="shared" si="4"/>
        <v>0</v>
      </c>
    </row>
    <row r="103" spans="25:46" ht="16.2" customHeight="1" x14ac:dyDescent="0.3">
      <c r="Y103" s="73"/>
      <c r="Z103" s="73"/>
      <c r="AA103" s="73"/>
      <c r="AB103" s="73"/>
      <c r="AC103" s="73"/>
      <c r="AD103" s="73"/>
      <c r="AE103" s="73"/>
      <c r="AF103" s="73"/>
      <c r="AG103" s="73"/>
      <c r="AH103" s="73"/>
      <c r="AI103" s="69" t="b">
        <f t="shared" si="5"/>
        <v>0</v>
      </c>
      <c r="AJ103" s="74"/>
      <c r="AK103" s="74"/>
      <c r="AL103" s="74"/>
      <c r="AM103" s="74"/>
      <c r="AN103" s="74"/>
      <c r="AO103" s="74"/>
      <c r="AP103" s="74"/>
      <c r="AQ103" s="74"/>
      <c r="AR103" s="74"/>
      <c r="AS103" s="74"/>
      <c r="AT103" s="69" t="b">
        <f t="shared" si="4"/>
        <v>0</v>
      </c>
    </row>
    <row r="104" spans="25:46" ht="16.2" customHeight="1" x14ac:dyDescent="0.3">
      <c r="Y104" s="73"/>
      <c r="Z104" s="73"/>
      <c r="AA104" s="73"/>
      <c r="AB104" s="73"/>
      <c r="AC104" s="73"/>
      <c r="AD104" s="73"/>
      <c r="AE104" s="73"/>
      <c r="AF104" s="73"/>
      <c r="AG104" s="73"/>
      <c r="AH104" s="73"/>
      <c r="AI104" s="69" t="b">
        <f t="shared" si="5"/>
        <v>0</v>
      </c>
      <c r="AJ104" s="74"/>
      <c r="AK104" s="74"/>
      <c r="AL104" s="74"/>
      <c r="AM104" s="74"/>
      <c r="AN104" s="74"/>
      <c r="AO104" s="74"/>
      <c r="AP104" s="74"/>
      <c r="AQ104" s="74"/>
      <c r="AR104" s="74"/>
      <c r="AS104" s="74"/>
      <c r="AT104" s="69" t="b">
        <f t="shared" si="4"/>
        <v>0</v>
      </c>
    </row>
    <row r="105" spans="25:46" ht="16.2" customHeight="1" x14ac:dyDescent="0.3">
      <c r="Y105" s="73"/>
      <c r="Z105" s="73"/>
      <c r="AA105" s="73"/>
      <c r="AB105" s="73"/>
      <c r="AC105" s="73"/>
      <c r="AD105" s="73"/>
      <c r="AE105" s="73"/>
      <c r="AF105" s="73"/>
      <c r="AG105" s="73"/>
      <c r="AH105" s="73"/>
      <c r="AI105" s="69" t="b">
        <f t="shared" si="5"/>
        <v>0</v>
      </c>
      <c r="AJ105" s="74"/>
      <c r="AK105" s="74"/>
      <c r="AL105" s="74"/>
      <c r="AM105" s="74"/>
      <c r="AN105" s="74"/>
      <c r="AO105" s="74"/>
      <c r="AP105" s="74"/>
      <c r="AQ105" s="74"/>
      <c r="AR105" s="74"/>
      <c r="AS105" s="74"/>
      <c r="AT105" s="69" t="b">
        <f t="shared" si="4"/>
        <v>0</v>
      </c>
    </row>
    <row r="106" spans="25:46" ht="16.2" customHeight="1" x14ac:dyDescent="0.3">
      <c r="Y106" s="73"/>
      <c r="Z106" s="73"/>
      <c r="AA106" s="73"/>
      <c r="AB106" s="73"/>
      <c r="AC106" s="73"/>
      <c r="AD106" s="73"/>
      <c r="AE106" s="73"/>
      <c r="AF106" s="73"/>
      <c r="AG106" s="73"/>
      <c r="AH106" s="73"/>
      <c r="AI106" s="69" t="b">
        <f t="shared" si="5"/>
        <v>0</v>
      </c>
      <c r="AJ106" s="74"/>
      <c r="AK106" s="74"/>
      <c r="AL106" s="74"/>
      <c r="AM106" s="74"/>
      <c r="AN106" s="74"/>
      <c r="AO106" s="74"/>
      <c r="AP106" s="74"/>
      <c r="AQ106" s="74"/>
      <c r="AR106" s="74"/>
      <c r="AS106" s="74"/>
      <c r="AT106" s="69" t="b">
        <f t="shared" si="4"/>
        <v>0</v>
      </c>
    </row>
    <row r="107" spans="25:46" ht="16.2" customHeight="1" x14ac:dyDescent="0.3">
      <c r="Y107" s="73"/>
      <c r="Z107" s="73"/>
      <c r="AA107" s="73"/>
      <c r="AB107" s="73"/>
      <c r="AC107" s="73"/>
      <c r="AD107" s="73"/>
      <c r="AE107" s="73"/>
      <c r="AF107" s="73"/>
      <c r="AG107" s="73"/>
      <c r="AH107" s="73"/>
      <c r="AI107" s="69" t="b">
        <f t="shared" si="5"/>
        <v>0</v>
      </c>
      <c r="AJ107" s="74"/>
      <c r="AK107" s="74"/>
      <c r="AL107" s="74"/>
      <c r="AM107" s="74"/>
      <c r="AN107" s="74"/>
      <c r="AO107" s="74"/>
      <c r="AP107" s="74"/>
      <c r="AQ107" s="74"/>
      <c r="AR107" s="74"/>
      <c r="AS107" s="74"/>
      <c r="AT107" s="69" t="b">
        <f t="shared" si="4"/>
        <v>0</v>
      </c>
    </row>
    <row r="108" spans="25:46" ht="16.2" customHeight="1" x14ac:dyDescent="0.3">
      <c r="Y108" s="73"/>
      <c r="Z108" s="73"/>
      <c r="AA108" s="73"/>
      <c r="AB108" s="73"/>
      <c r="AC108" s="73"/>
      <c r="AD108" s="73"/>
      <c r="AE108" s="73"/>
      <c r="AF108" s="73"/>
      <c r="AG108" s="73"/>
      <c r="AH108" s="73"/>
      <c r="AI108" s="69" t="b">
        <f t="shared" si="5"/>
        <v>0</v>
      </c>
      <c r="AJ108" s="74"/>
      <c r="AK108" s="74"/>
      <c r="AL108" s="74"/>
      <c r="AM108" s="74"/>
      <c r="AN108" s="74"/>
      <c r="AO108" s="74"/>
      <c r="AP108" s="74"/>
      <c r="AQ108" s="74"/>
      <c r="AR108" s="74"/>
      <c r="AS108" s="74"/>
      <c r="AT108" s="69" t="b">
        <f t="shared" si="4"/>
        <v>0</v>
      </c>
    </row>
    <row r="109" spans="25:46" ht="16.2" customHeight="1" x14ac:dyDescent="0.3">
      <c r="Y109" s="73"/>
      <c r="Z109" s="73"/>
      <c r="AA109" s="73"/>
      <c r="AB109" s="73"/>
      <c r="AC109" s="73"/>
      <c r="AD109" s="73"/>
      <c r="AE109" s="73"/>
      <c r="AF109" s="73"/>
      <c r="AG109" s="73"/>
      <c r="AH109" s="73"/>
      <c r="AI109" s="69" t="b">
        <f t="shared" si="5"/>
        <v>0</v>
      </c>
      <c r="AJ109" s="74"/>
      <c r="AK109" s="74"/>
      <c r="AL109" s="74"/>
      <c r="AM109" s="74"/>
      <c r="AN109" s="74"/>
      <c r="AO109" s="74"/>
      <c r="AP109" s="74"/>
      <c r="AQ109" s="74"/>
      <c r="AR109" s="74"/>
      <c r="AS109" s="74"/>
      <c r="AT109" s="69" t="b">
        <f t="shared" si="4"/>
        <v>0</v>
      </c>
    </row>
    <row r="110" spans="25:46" ht="16.2" customHeight="1" x14ac:dyDescent="0.3">
      <c r="Y110" s="73"/>
      <c r="Z110" s="73"/>
      <c r="AA110" s="73"/>
      <c r="AB110" s="73"/>
      <c r="AC110" s="73"/>
      <c r="AD110" s="73"/>
      <c r="AE110" s="73"/>
      <c r="AF110" s="73"/>
      <c r="AG110" s="73"/>
      <c r="AH110" s="73"/>
      <c r="AI110" s="69" t="b">
        <f t="shared" si="5"/>
        <v>0</v>
      </c>
      <c r="AJ110" s="74"/>
      <c r="AK110" s="74"/>
      <c r="AL110" s="74"/>
      <c r="AM110" s="74"/>
      <c r="AN110" s="74"/>
      <c r="AO110" s="74"/>
      <c r="AP110" s="74"/>
      <c r="AQ110" s="74"/>
      <c r="AR110" s="74"/>
      <c r="AS110" s="74"/>
      <c r="AT110" s="69" t="b">
        <f t="shared" si="4"/>
        <v>0</v>
      </c>
    </row>
    <row r="111" spans="25:46" ht="16.2" customHeight="1" x14ac:dyDescent="0.3">
      <c r="Y111" s="73"/>
      <c r="Z111" s="73"/>
      <c r="AA111" s="73"/>
      <c r="AB111" s="73"/>
      <c r="AC111" s="73"/>
      <c r="AD111" s="73"/>
      <c r="AE111" s="73"/>
      <c r="AF111" s="73"/>
      <c r="AG111" s="73"/>
      <c r="AH111" s="73"/>
      <c r="AI111" s="69" t="b">
        <f t="shared" si="5"/>
        <v>0</v>
      </c>
      <c r="AJ111" s="74"/>
      <c r="AK111" s="74"/>
      <c r="AL111" s="74"/>
      <c r="AM111" s="74"/>
      <c r="AN111" s="74"/>
      <c r="AO111" s="74"/>
      <c r="AP111" s="74"/>
      <c r="AQ111" s="74"/>
      <c r="AR111" s="74"/>
      <c r="AS111" s="74"/>
      <c r="AT111" s="69" t="b">
        <f t="shared" si="4"/>
        <v>0</v>
      </c>
    </row>
    <row r="112" spans="25:46" ht="16.2" customHeight="1" x14ac:dyDescent="0.3">
      <c r="Y112" s="73"/>
      <c r="Z112" s="73"/>
      <c r="AA112" s="73"/>
      <c r="AB112" s="73"/>
      <c r="AC112" s="73"/>
      <c r="AD112" s="73"/>
      <c r="AE112" s="73"/>
      <c r="AF112" s="73"/>
      <c r="AG112" s="73"/>
      <c r="AH112" s="73"/>
      <c r="AI112" s="69" t="b">
        <f t="shared" si="5"/>
        <v>0</v>
      </c>
      <c r="AJ112" s="74"/>
      <c r="AK112" s="74"/>
      <c r="AL112" s="74"/>
      <c r="AM112" s="74"/>
      <c r="AN112" s="74"/>
      <c r="AO112" s="74"/>
      <c r="AP112" s="74"/>
      <c r="AQ112" s="74"/>
      <c r="AR112" s="74"/>
      <c r="AS112" s="74"/>
      <c r="AT112" s="69" t="b">
        <f t="shared" si="4"/>
        <v>0</v>
      </c>
    </row>
    <row r="113" spans="25:46" ht="16.2" customHeight="1" x14ac:dyDescent="0.3">
      <c r="Y113" s="73"/>
      <c r="Z113" s="73"/>
      <c r="AA113" s="73"/>
      <c r="AB113" s="73"/>
      <c r="AC113" s="73"/>
      <c r="AD113" s="73"/>
      <c r="AE113" s="73"/>
      <c r="AF113" s="73"/>
      <c r="AG113" s="73"/>
      <c r="AH113" s="73"/>
      <c r="AI113" s="69" t="b">
        <f t="shared" si="5"/>
        <v>0</v>
      </c>
      <c r="AJ113" s="74"/>
      <c r="AK113" s="74"/>
      <c r="AL113" s="74"/>
      <c r="AM113" s="74"/>
      <c r="AN113" s="74"/>
      <c r="AO113" s="74"/>
      <c r="AP113" s="74"/>
      <c r="AQ113" s="74"/>
      <c r="AR113" s="74"/>
      <c r="AS113" s="74"/>
      <c r="AT113" s="69" t="b">
        <f t="shared" si="4"/>
        <v>0</v>
      </c>
    </row>
    <row r="114" spans="25:46" ht="16.2" customHeight="1" x14ac:dyDescent="0.3">
      <c r="Y114" s="73"/>
      <c r="Z114" s="73"/>
      <c r="AA114" s="73"/>
      <c r="AB114" s="73"/>
      <c r="AC114" s="73"/>
      <c r="AD114" s="73"/>
      <c r="AE114" s="73"/>
      <c r="AF114" s="73"/>
      <c r="AG114" s="73"/>
      <c r="AH114" s="73"/>
      <c r="AI114" s="69" t="b">
        <f t="shared" si="5"/>
        <v>0</v>
      </c>
      <c r="AJ114" s="74"/>
      <c r="AK114" s="74"/>
      <c r="AL114" s="74"/>
      <c r="AM114" s="74"/>
      <c r="AN114" s="74"/>
      <c r="AO114" s="74"/>
      <c r="AP114" s="74"/>
      <c r="AQ114" s="74"/>
      <c r="AR114" s="74"/>
      <c r="AS114" s="74"/>
      <c r="AT114" s="69" t="b">
        <f t="shared" si="4"/>
        <v>0</v>
      </c>
    </row>
    <row r="115" spans="25:46" ht="16.2" customHeight="1" x14ac:dyDescent="0.3">
      <c r="Y115" s="73"/>
      <c r="Z115" s="73"/>
      <c r="AA115" s="73"/>
      <c r="AB115" s="73"/>
      <c r="AC115" s="73"/>
      <c r="AD115" s="73"/>
      <c r="AE115" s="73"/>
      <c r="AF115" s="73"/>
      <c r="AG115" s="73"/>
      <c r="AH115" s="73"/>
      <c r="AI115" s="69" t="b">
        <f t="shared" si="5"/>
        <v>0</v>
      </c>
      <c r="AJ115" s="74"/>
      <c r="AK115" s="74"/>
      <c r="AL115" s="74"/>
      <c r="AM115" s="74"/>
      <c r="AN115" s="74"/>
      <c r="AO115" s="74"/>
      <c r="AP115" s="74"/>
      <c r="AQ115" s="74"/>
      <c r="AR115" s="74"/>
      <c r="AS115" s="74"/>
      <c r="AT115" s="69" t="b">
        <f t="shared" si="4"/>
        <v>0</v>
      </c>
    </row>
    <row r="116" spans="25:46" ht="16.2" customHeight="1" x14ac:dyDescent="0.3">
      <c r="Y116" s="73"/>
      <c r="Z116" s="73"/>
      <c r="AA116" s="73"/>
      <c r="AB116" s="73"/>
      <c r="AC116" s="73"/>
      <c r="AD116" s="73"/>
      <c r="AE116" s="73"/>
      <c r="AF116" s="73"/>
      <c r="AG116" s="73"/>
      <c r="AH116" s="73"/>
      <c r="AI116" s="69" t="b">
        <f t="shared" si="5"/>
        <v>0</v>
      </c>
      <c r="AJ116" s="74"/>
      <c r="AK116" s="74"/>
      <c r="AL116" s="74"/>
      <c r="AM116" s="74"/>
      <c r="AN116" s="74"/>
      <c r="AO116" s="74"/>
      <c r="AP116" s="74"/>
      <c r="AQ116" s="74"/>
      <c r="AR116" s="74"/>
      <c r="AS116" s="74"/>
      <c r="AT116" s="69" t="b">
        <f t="shared" si="4"/>
        <v>0</v>
      </c>
    </row>
    <row r="117" spans="25:46" ht="16.2" customHeight="1" x14ac:dyDescent="0.3">
      <c r="Y117" s="73"/>
      <c r="Z117" s="73"/>
      <c r="AA117" s="73"/>
      <c r="AB117" s="73"/>
      <c r="AC117" s="73"/>
      <c r="AD117" s="73"/>
      <c r="AE117" s="73"/>
      <c r="AF117" s="73"/>
      <c r="AG117" s="73"/>
      <c r="AH117" s="73"/>
      <c r="AI117" s="69" t="b">
        <f t="shared" si="5"/>
        <v>0</v>
      </c>
      <c r="AJ117" s="74"/>
      <c r="AK117" s="74"/>
      <c r="AL117" s="74"/>
      <c r="AM117" s="74"/>
      <c r="AN117" s="74"/>
      <c r="AO117" s="74"/>
      <c r="AP117" s="74"/>
      <c r="AQ117" s="74"/>
      <c r="AR117" s="74"/>
      <c r="AS117" s="74"/>
      <c r="AT117" s="69" t="b">
        <f t="shared" si="4"/>
        <v>0</v>
      </c>
    </row>
    <row r="118" spans="25:46" ht="16.2" customHeight="1" x14ac:dyDescent="0.3">
      <c r="Y118" s="73"/>
      <c r="Z118" s="73"/>
      <c r="AA118" s="73"/>
      <c r="AB118" s="73"/>
      <c r="AC118" s="73"/>
      <c r="AD118" s="73"/>
      <c r="AE118" s="73"/>
      <c r="AF118" s="73"/>
      <c r="AG118" s="73"/>
      <c r="AH118" s="73"/>
      <c r="AI118" s="69" t="b">
        <f t="shared" si="5"/>
        <v>0</v>
      </c>
      <c r="AJ118" s="74"/>
      <c r="AK118" s="74"/>
      <c r="AL118" s="74"/>
      <c r="AM118" s="74"/>
      <c r="AN118" s="74"/>
      <c r="AO118" s="74"/>
      <c r="AP118" s="74"/>
      <c r="AQ118" s="74"/>
      <c r="AR118" s="74"/>
      <c r="AS118" s="74"/>
      <c r="AT118" s="69" t="b">
        <f t="shared" si="4"/>
        <v>0</v>
      </c>
    </row>
    <row r="119" spans="25:46" ht="16.2" customHeight="1" x14ac:dyDescent="0.3">
      <c r="Y119" s="73"/>
      <c r="Z119" s="73"/>
      <c r="AA119" s="73"/>
      <c r="AB119" s="73"/>
      <c r="AC119" s="73"/>
      <c r="AD119" s="73"/>
      <c r="AE119" s="73"/>
      <c r="AF119" s="73"/>
      <c r="AG119" s="73"/>
      <c r="AH119" s="73"/>
      <c r="AI119" s="69" t="b">
        <f t="shared" si="5"/>
        <v>0</v>
      </c>
      <c r="AJ119" s="74"/>
      <c r="AK119" s="74"/>
      <c r="AL119" s="74"/>
      <c r="AM119" s="74"/>
      <c r="AN119" s="74"/>
      <c r="AO119" s="74"/>
      <c r="AP119" s="74"/>
      <c r="AQ119" s="74"/>
      <c r="AR119" s="74"/>
      <c r="AS119" s="74"/>
      <c r="AT119" s="69" t="b">
        <f t="shared" si="4"/>
        <v>0</v>
      </c>
    </row>
    <row r="120" spans="25:46" ht="16.2" customHeight="1" x14ac:dyDescent="0.3">
      <c r="Y120" s="73"/>
      <c r="Z120" s="73"/>
      <c r="AA120" s="73"/>
      <c r="AB120" s="73"/>
      <c r="AC120" s="73"/>
      <c r="AD120" s="73"/>
      <c r="AE120" s="73"/>
      <c r="AF120" s="73"/>
      <c r="AG120" s="73"/>
      <c r="AH120" s="73"/>
      <c r="AI120" s="69" t="b">
        <f t="shared" si="5"/>
        <v>0</v>
      </c>
      <c r="AJ120" s="74"/>
      <c r="AK120" s="74"/>
      <c r="AL120" s="74"/>
      <c r="AM120" s="74"/>
      <c r="AN120" s="74"/>
      <c r="AO120" s="74"/>
      <c r="AP120" s="74"/>
      <c r="AQ120" s="74"/>
      <c r="AR120" s="74"/>
      <c r="AS120" s="74"/>
      <c r="AT120" s="69" t="b">
        <f t="shared" si="4"/>
        <v>0</v>
      </c>
    </row>
    <row r="121" spans="25:46" ht="16.2" customHeight="1" x14ac:dyDescent="0.3">
      <c r="Y121" s="73"/>
      <c r="Z121" s="73"/>
      <c r="AA121" s="73"/>
      <c r="AB121" s="73"/>
      <c r="AC121" s="73"/>
      <c r="AD121" s="73"/>
      <c r="AE121" s="73"/>
      <c r="AF121" s="73"/>
      <c r="AG121" s="73"/>
      <c r="AH121" s="73"/>
      <c r="AI121" s="69" t="b">
        <f t="shared" si="5"/>
        <v>0</v>
      </c>
      <c r="AJ121" s="74"/>
      <c r="AK121" s="74"/>
      <c r="AL121" s="74"/>
      <c r="AM121" s="74"/>
      <c r="AN121" s="74"/>
      <c r="AO121" s="74"/>
      <c r="AP121" s="74"/>
      <c r="AQ121" s="74"/>
      <c r="AR121" s="74"/>
      <c r="AS121" s="74"/>
      <c r="AT121" s="69" t="b">
        <f t="shared" si="4"/>
        <v>0</v>
      </c>
    </row>
    <row r="122" spans="25:46" ht="16.2" customHeight="1" x14ac:dyDescent="0.3">
      <c r="Y122" s="73"/>
      <c r="Z122" s="73"/>
      <c r="AA122" s="73"/>
      <c r="AB122" s="73"/>
      <c r="AC122" s="73"/>
      <c r="AD122" s="73"/>
      <c r="AE122" s="73"/>
      <c r="AF122" s="73"/>
      <c r="AG122" s="73"/>
      <c r="AH122" s="73"/>
      <c r="AI122" s="69" t="b">
        <f t="shared" si="5"/>
        <v>0</v>
      </c>
      <c r="AJ122" s="74"/>
      <c r="AK122" s="74"/>
      <c r="AL122" s="74"/>
      <c r="AM122" s="74"/>
      <c r="AN122" s="74"/>
      <c r="AO122" s="74"/>
      <c r="AP122" s="74"/>
      <c r="AQ122" s="74"/>
      <c r="AR122" s="74"/>
      <c r="AS122" s="74"/>
      <c r="AT122" s="69" t="b">
        <f t="shared" si="4"/>
        <v>0</v>
      </c>
    </row>
    <row r="123" spans="25:46" ht="16.2" customHeight="1" x14ac:dyDescent="0.3">
      <c r="Y123" s="73"/>
      <c r="Z123" s="73"/>
      <c r="AA123" s="73"/>
      <c r="AB123" s="73"/>
      <c r="AC123" s="73"/>
      <c r="AD123" s="73"/>
      <c r="AE123" s="73"/>
      <c r="AF123" s="73"/>
      <c r="AG123" s="73"/>
      <c r="AH123" s="73"/>
      <c r="AI123" s="69" t="b">
        <f t="shared" si="5"/>
        <v>0</v>
      </c>
      <c r="AJ123" s="74"/>
      <c r="AK123" s="74"/>
      <c r="AL123" s="74"/>
      <c r="AM123" s="74"/>
      <c r="AN123" s="74"/>
      <c r="AO123" s="74"/>
      <c r="AP123" s="74"/>
      <c r="AQ123" s="74"/>
      <c r="AR123" s="74"/>
      <c r="AS123" s="74"/>
      <c r="AT123" s="69" t="b">
        <f t="shared" si="4"/>
        <v>0</v>
      </c>
    </row>
    <row r="124" spans="25:46" ht="16.2" customHeight="1" x14ac:dyDescent="0.3">
      <c r="Y124" s="73"/>
      <c r="Z124" s="73"/>
      <c r="AA124" s="73"/>
      <c r="AB124" s="73"/>
      <c r="AC124" s="73"/>
      <c r="AD124" s="73"/>
      <c r="AE124" s="73"/>
      <c r="AF124" s="73"/>
      <c r="AG124" s="73"/>
      <c r="AH124" s="73"/>
      <c r="AI124" s="69" t="b">
        <f t="shared" si="5"/>
        <v>0</v>
      </c>
      <c r="AJ124" s="74"/>
      <c r="AK124" s="74"/>
      <c r="AL124" s="74"/>
      <c r="AM124" s="74"/>
      <c r="AN124" s="74"/>
      <c r="AO124" s="74"/>
      <c r="AP124" s="74"/>
      <c r="AQ124" s="74"/>
      <c r="AR124" s="74"/>
      <c r="AS124" s="74"/>
      <c r="AT124" s="69" t="b">
        <f t="shared" si="4"/>
        <v>0</v>
      </c>
    </row>
    <row r="125" spans="25:46" ht="16.2" customHeight="1" x14ac:dyDescent="0.3">
      <c r="Y125" s="73"/>
      <c r="Z125" s="73"/>
      <c r="AA125" s="73"/>
      <c r="AB125" s="73"/>
      <c r="AC125" s="73"/>
      <c r="AD125" s="73"/>
      <c r="AE125" s="73"/>
      <c r="AF125" s="73"/>
      <c r="AG125" s="73"/>
      <c r="AH125" s="73"/>
      <c r="AI125" s="69" t="b">
        <f t="shared" si="5"/>
        <v>0</v>
      </c>
      <c r="AJ125" s="74"/>
      <c r="AK125" s="74"/>
      <c r="AL125" s="74"/>
      <c r="AM125" s="74"/>
      <c r="AN125" s="74"/>
      <c r="AO125" s="74"/>
      <c r="AP125" s="74"/>
      <c r="AQ125" s="74"/>
      <c r="AR125" s="74"/>
      <c r="AS125" s="74"/>
      <c r="AT125" s="69" t="b">
        <f t="shared" si="4"/>
        <v>0</v>
      </c>
    </row>
    <row r="126" spans="25:46" ht="16.2" customHeight="1" x14ac:dyDescent="0.3">
      <c r="Y126" s="73"/>
      <c r="Z126" s="73"/>
      <c r="AA126" s="73"/>
      <c r="AB126" s="73"/>
      <c r="AC126" s="73"/>
      <c r="AD126" s="73"/>
      <c r="AE126" s="73"/>
      <c r="AF126" s="73"/>
      <c r="AG126" s="73"/>
      <c r="AH126" s="73"/>
      <c r="AI126" s="69" t="b">
        <f t="shared" si="5"/>
        <v>0</v>
      </c>
      <c r="AJ126" s="74"/>
      <c r="AK126" s="74"/>
      <c r="AL126" s="74"/>
      <c r="AM126" s="74"/>
      <c r="AN126" s="74"/>
      <c r="AO126" s="74"/>
      <c r="AP126" s="74"/>
      <c r="AQ126" s="74"/>
      <c r="AR126" s="74"/>
      <c r="AS126" s="74"/>
      <c r="AT126" s="69" t="b">
        <f t="shared" si="4"/>
        <v>0</v>
      </c>
    </row>
    <row r="127" spans="25:46" ht="16.2" customHeight="1" x14ac:dyDescent="0.3">
      <c r="Y127" s="73"/>
      <c r="Z127" s="73"/>
      <c r="AA127" s="73"/>
      <c r="AB127" s="73"/>
      <c r="AC127" s="73"/>
      <c r="AD127" s="73"/>
      <c r="AE127" s="73"/>
      <c r="AF127" s="73"/>
      <c r="AG127" s="73"/>
      <c r="AH127" s="73"/>
      <c r="AI127" s="69" t="b">
        <f t="shared" si="5"/>
        <v>0</v>
      </c>
      <c r="AJ127" s="74"/>
      <c r="AK127" s="74"/>
      <c r="AL127" s="74"/>
      <c r="AM127" s="74"/>
      <c r="AN127" s="74"/>
      <c r="AO127" s="74"/>
      <c r="AP127" s="74"/>
      <c r="AQ127" s="74"/>
      <c r="AR127" s="74"/>
      <c r="AS127" s="74"/>
      <c r="AT127" s="69" t="b">
        <f t="shared" si="4"/>
        <v>0</v>
      </c>
    </row>
    <row r="128" spans="25:46" ht="16.2" customHeight="1" x14ac:dyDescent="0.3">
      <c r="Y128" s="73"/>
      <c r="Z128" s="73"/>
      <c r="AA128" s="73"/>
      <c r="AB128" s="73"/>
      <c r="AC128" s="73"/>
      <c r="AD128" s="73"/>
      <c r="AE128" s="73"/>
      <c r="AF128" s="73"/>
      <c r="AG128" s="73"/>
      <c r="AH128" s="73"/>
      <c r="AI128" s="69" t="b">
        <f t="shared" si="5"/>
        <v>0</v>
      </c>
      <c r="AJ128" s="74"/>
      <c r="AK128" s="74"/>
      <c r="AL128" s="74"/>
      <c r="AM128" s="74"/>
      <c r="AN128" s="74"/>
      <c r="AO128" s="74"/>
      <c r="AP128" s="74"/>
      <c r="AQ128" s="74"/>
      <c r="AR128" s="74"/>
      <c r="AS128" s="74"/>
      <c r="AT128" s="69" t="b">
        <f t="shared" si="4"/>
        <v>0</v>
      </c>
    </row>
    <row r="129" spans="25:46" ht="16.2" customHeight="1" x14ac:dyDescent="0.3">
      <c r="Y129" s="73"/>
      <c r="Z129" s="73"/>
      <c r="AA129" s="73"/>
      <c r="AB129" s="73"/>
      <c r="AC129" s="73"/>
      <c r="AD129" s="73"/>
      <c r="AE129" s="73"/>
      <c r="AF129" s="73"/>
      <c r="AG129" s="73"/>
      <c r="AH129" s="73"/>
      <c r="AI129" s="69" t="b">
        <f t="shared" si="5"/>
        <v>0</v>
      </c>
      <c r="AJ129" s="74"/>
      <c r="AK129" s="74"/>
      <c r="AL129" s="74"/>
      <c r="AM129" s="74"/>
      <c r="AN129" s="74"/>
      <c r="AO129" s="74"/>
      <c r="AP129" s="74"/>
      <c r="AQ129" s="74"/>
      <c r="AR129" s="74"/>
      <c r="AS129" s="74"/>
      <c r="AT129" s="69" t="b">
        <f t="shared" si="4"/>
        <v>0</v>
      </c>
    </row>
    <row r="130" spans="25:46" ht="16.2" customHeight="1" x14ac:dyDescent="0.3">
      <c r="Y130" s="73"/>
      <c r="Z130" s="73"/>
      <c r="AA130" s="73"/>
      <c r="AB130" s="73"/>
      <c r="AC130" s="73"/>
      <c r="AD130" s="73"/>
      <c r="AE130" s="73"/>
      <c r="AF130" s="73"/>
      <c r="AG130" s="73"/>
      <c r="AH130" s="73"/>
      <c r="AI130" s="69" t="b">
        <f t="shared" si="5"/>
        <v>0</v>
      </c>
      <c r="AJ130" s="74"/>
      <c r="AK130" s="74"/>
      <c r="AL130" s="74"/>
      <c r="AM130" s="74"/>
      <c r="AN130" s="74"/>
      <c r="AO130" s="74"/>
      <c r="AP130" s="74"/>
      <c r="AQ130" s="74"/>
      <c r="AR130" s="74"/>
      <c r="AS130" s="74"/>
      <c r="AT130" s="69" t="b">
        <f t="shared" si="4"/>
        <v>0</v>
      </c>
    </row>
    <row r="131" spans="25:46" ht="16.2" customHeight="1" x14ac:dyDescent="0.3">
      <c r="Y131" s="73"/>
      <c r="Z131" s="73"/>
      <c r="AA131" s="73"/>
      <c r="AB131" s="73"/>
      <c r="AC131" s="73"/>
      <c r="AD131" s="73"/>
      <c r="AE131" s="73"/>
      <c r="AF131" s="73"/>
      <c r="AG131" s="73"/>
      <c r="AH131" s="73"/>
      <c r="AI131" s="69" t="b">
        <f t="shared" ref="AI131:AI162" si="6">AND(Z131&gt;0,AC131&gt;0)</f>
        <v>0</v>
      </c>
      <c r="AJ131" s="74"/>
      <c r="AK131" s="74"/>
      <c r="AL131" s="74"/>
      <c r="AM131" s="74"/>
      <c r="AN131" s="74"/>
      <c r="AO131" s="74"/>
      <c r="AP131" s="74"/>
      <c r="AQ131" s="74"/>
      <c r="AR131" s="74"/>
      <c r="AS131" s="74"/>
      <c r="AT131" s="69" t="b">
        <f t="shared" ref="AT131:AT194" si="7">AND(AK131&gt;0,AN131&gt;0)</f>
        <v>0</v>
      </c>
    </row>
    <row r="132" spans="25:46" ht="16.2" customHeight="1" x14ac:dyDescent="0.3">
      <c r="Y132" s="73"/>
      <c r="Z132" s="73"/>
      <c r="AA132" s="73"/>
      <c r="AB132" s="73"/>
      <c r="AC132" s="73"/>
      <c r="AD132" s="73"/>
      <c r="AE132" s="73"/>
      <c r="AF132" s="73"/>
      <c r="AG132" s="73"/>
      <c r="AH132" s="73"/>
      <c r="AI132" s="69" t="b">
        <f t="shared" si="6"/>
        <v>0</v>
      </c>
      <c r="AJ132" s="74"/>
      <c r="AK132" s="74"/>
      <c r="AL132" s="74"/>
      <c r="AM132" s="74"/>
      <c r="AN132" s="74"/>
      <c r="AO132" s="74"/>
      <c r="AP132" s="74"/>
      <c r="AQ132" s="74"/>
      <c r="AR132" s="74"/>
      <c r="AS132" s="74"/>
      <c r="AT132" s="69" t="b">
        <f t="shared" si="7"/>
        <v>0</v>
      </c>
    </row>
    <row r="133" spans="25:46" ht="16.2" customHeight="1" x14ac:dyDescent="0.3">
      <c r="Y133" s="73"/>
      <c r="Z133" s="73"/>
      <c r="AA133" s="73"/>
      <c r="AB133" s="73"/>
      <c r="AC133" s="73"/>
      <c r="AD133" s="73"/>
      <c r="AE133" s="73"/>
      <c r="AF133" s="73"/>
      <c r="AG133" s="73"/>
      <c r="AH133" s="73"/>
      <c r="AI133" s="69" t="b">
        <f t="shared" si="6"/>
        <v>0</v>
      </c>
      <c r="AJ133" s="74"/>
      <c r="AK133" s="74"/>
      <c r="AL133" s="74"/>
      <c r="AM133" s="74"/>
      <c r="AN133" s="74"/>
      <c r="AO133" s="74"/>
      <c r="AP133" s="74"/>
      <c r="AQ133" s="74"/>
      <c r="AR133" s="74"/>
      <c r="AS133" s="74"/>
      <c r="AT133" s="69" t="b">
        <f t="shared" si="7"/>
        <v>0</v>
      </c>
    </row>
    <row r="134" spans="25:46" ht="16.2" customHeight="1" x14ac:dyDescent="0.3">
      <c r="Y134" s="73"/>
      <c r="Z134" s="73"/>
      <c r="AA134" s="73"/>
      <c r="AB134" s="73"/>
      <c r="AC134" s="73"/>
      <c r="AD134" s="73"/>
      <c r="AE134" s="73"/>
      <c r="AF134" s="73"/>
      <c r="AG134" s="73"/>
      <c r="AH134" s="73"/>
      <c r="AI134" s="69" t="b">
        <f t="shared" si="6"/>
        <v>0</v>
      </c>
      <c r="AJ134" s="74"/>
      <c r="AK134" s="74"/>
      <c r="AL134" s="74"/>
      <c r="AM134" s="74"/>
      <c r="AN134" s="74"/>
      <c r="AO134" s="74"/>
      <c r="AP134" s="74"/>
      <c r="AQ134" s="74"/>
      <c r="AR134" s="74"/>
      <c r="AS134" s="74"/>
      <c r="AT134" s="69" t="b">
        <f t="shared" si="7"/>
        <v>0</v>
      </c>
    </row>
    <row r="135" spans="25:46" ht="16.2" customHeight="1" x14ac:dyDescent="0.3">
      <c r="Y135" s="73"/>
      <c r="Z135" s="73"/>
      <c r="AA135" s="73"/>
      <c r="AB135" s="73"/>
      <c r="AC135" s="73"/>
      <c r="AD135" s="73"/>
      <c r="AE135" s="73"/>
      <c r="AF135" s="73"/>
      <c r="AG135" s="73"/>
      <c r="AH135" s="73"/>
      <c r="AI135" s="69" t="b">
        <f t="shared" si="6"/>
        <v>0</v>
      </c>
      <c r="AJ135" s="74"/>
      <c r="AK135" s="74"/>
      <c r="AL135" s="74"/>
      <c r="AM135" s="74"/>
      <c r="AN135" s="74"/>
      <c r="AO135" s="74"/>
      <c r="AP135" s="74"/>
      <c r="AQ135" s="74"/>
      <c r="AR135" s="74"/>
      <c r="AS135" s="74"/>
      <c r="AT135" s="69" t="b">
        <f t="shared" si="7"/>
        <v>0</v>
      </c>
    </row>
    <row r="136" spans="25:46" ht="16.2" customHeight="1" x14ac:dyDescent="0.3">
      <c r="Y136" s="73"/>
      <c r="Z136" s="73"/>
      <c r="AA136" s="73"/>
      <c r="AB136" s="73"/>
      <c r="AC136" s="73"/>
      <c r="AD136" s="73"/>
      <c r="AE136" s="73"/>
      <c r="AF136" s="73"/>
      <c r="AG136" s="73"/>
      <c r="AH136" s="73"/>
      <c r="AI136" s="69" t="b">
        <f t="shared" si="6"/>
        <v>0</v>
      </c>
      <c r="AJ136" s="74"/>
      <c r="AK136" s="74"/>
      <c r="AL136" s="74"/>
      <c r="AM136" s="74"/>
      <c r="AN136" s="74"/>
      <c r="AO136" s="74"/>
      <c r="AP136" s="74"/>
      <c r="AQ136" s="74"/>
      <c r="AR136" s="74"/>
      <c r="AS136" s="74"/>
      <c r="AT136" s="69" t="b">
        <f t="shared" si="7"/>
        <v>0</v>
      </c>
    </row>
    <row r="137" spans="25:46" ht="16.2" customHeight="1" x14ac:dyDescent="0.3">
      <c r="Y137" s="73"/>
      <c r="Z137" s="73"/>
      <c r="AA137" s="73"/>
      <c r="AB137" s="73"/>
      <c r="AC137" s="73"/>
      <c r="AD137" s="73"/>
      <c r="AE137" s="73"/>
      <c r="AF137" s="73"/>
      <c r="AG137" s="73"/>
      <c r="AH137" s="73"/>
      <c r="AI137" s="69" t="b">
        <f t="shared" si="6"/>
        <v>0</v>
      </c>
      <c r="AJ137" s="74"/>
      <c r="AK137" s="74"/>
      <c r="AL137" s="74"/>
      <c r="AM137" s="74"/>
      <c r="AN137" s="74"/>
      <c r="AO137" s="74"/>
      <c r="AP137" s="74"/>
      <c r="AQ137" s="74"/>
      <c r="AR137" s="74"/>
      <c r="AS137" s="74"/>
      <c r="AT137" s="69" t="b">
        <f t="shared" si="7"/>
        <v>0</v>
      </c>
    </row>
    <row r="138" spans="25:46" ht="16.2" customHeight="1" x14ac:dyDescent="0.3">
      <c r="Y138" s="73"/>
      <c r="Z138" s="73"/>
      <c r="AA138" s="73"/>
      <c r="AB138" s="73"/>
      <c r="AC138" s="73"/>
      <c r="AD138" s="73"/>
      <c r="AE138" s="73"/>
      <c r="AF138" s="73"/>
      <c r="AG138" s="73"/>
      <c r="AH138" s="73"/>
      <c r="AI138" s="69" t="b">
        <f t="shared" si="6"/>
        <v>0</v>
      </c>
      <c r="AJ138" s="74"/>
      <c r="AK138" s="74"/>
      <c r="AL138" s="74"/>
      <c r="AM138" s="74"/>
      <c r="AN138" s="74"/>
      <c r="AO138" s="74"/>
      <c r="AP138" s="74"/>
      <c r="AQ138" s="74"/>
      <c r="AR138" s="74"/>
      <c r="AS138" s="74"/>
      <c r="AT138" s="69" t="b">
        <f t="shared" si="7"/>
        <v>0</v>
      </c>
    </row>
    <row r="139" spans="25:46" ht="16.2" customHeight="1" x14ac:dyDescent="0.3">
      <c r="Y139" s="73"/>
      <c r="Z139" s="73"/>
      <c r="AA139" s="73"/>
      <c r="AB139" s="73"/>
      <c r="AC139" s="73"/>
      <c r="AD139" s="73"/>
      <c r="AE139" s="73"/>
      <c r="AF139" s="73"/>
      <c r="AG139" s="73"/>
      <c r="AH139" s="73"/>
      <c r="AI139" s="69" t="b">
        <f t="shared" si="6"/>
        <v>0</v>
      </c>
      <c r="AJ139" s="74"/>
      <c r="AK139" s="74"/>
      <c r="AL139" s="74"/>
      <c r="AM139" s="74"/>
      <c r="AN139" s="74"/>
      <c r="AO139" s="74"/>
      <c r="AP139" s="74"/>
      <c r="AQ139" s="74"/>
      <c r="AR139" s="74"/>
      <c r="AS139" s="74"/>
      <c r="AT139" s="69" t="b">
        <f t="shared" si="7"/>
        <v>0</v>
      </c>
    </row>
    <row r="140" spans="25:46" ht="16.2" customHeight="1" x14ac:dyDescent="0.3">
      <c r="Y140" s="73"/>
      <c r="Z140" s="73"/>
      <c r="AA140" s="73"/>
      <c r="AB140" s="73"/>
      <c r="AC140" s="73"/>
      <c r="AD140" s="73"/>
      <c r="AE140" s="73"/>
      <c r="AF140" s="73"/>
      <c r="AG140" s="73"/>
      <c r="AH140" s="73"/>
      <c r="AI140" s="69" t="b">
        <f t="shared" si="6"/>
        <v>0</v>
      </c>
      <c r="AJ140" s="74"/>
      <c r="AK140" s="74"/>
      <c r="AL140" s="74"/>
      <c r="AM140" s="74"/>
      <c r="AN140" s="74"/>
      <c r="AO140" s="74"/>
      <c r="AP140" s="74"/>
      <c r="AQ140" s="74"/>
      <c r="AR140" s="74"/>
      <c r="AS140" s="74"/>
      <c r="AT140" s="69" t="b">
        <f t="shared" si="7"/>
        <v>0</v>
      </c>
    </row>
    <row r="141" spans="25:46" ht="16.2" customHeight="1" x14ac:dyDescent="0.3">
      <c r="Y141" s="73"/>
      <c r="Z141" s="73"/>
      <c r="AA141" s="73"/>
      <c r="AB141" s="73"/>
      <c r="AC141" s="73"/>
      <c r="AD141" s="73"/>
      <c r="AE141" s="73"/>
      <c r="AF141" s="73"/>
      <c r="AG141" s="73"/>
      <c r="AH141" s="73"/>
      <c r="AI141" s="69" t="b">
        <f t="shared" si="6"/>
        <v>0</v>
      </c>
      <c r="AJ141" s="74"/>
      <c r="AK141" s="74"/>
      <c r="AL141" s="74"/>
      <c r="AM141" s="74"/>
      <c r="AN141" s="74"/>
      <c r="AO141" s="74"/>
      <c r="AP141" s="74"/>
      <c r="AQ141" s="74"/>
      <c r="AR141" s="74"/>
      <c r="AS141" s="74"/>
      <c r="AT141" s="69" t="b">
        <f t="shared" si="7"/>
        <v>0</v>
      </c>
    </row>
    <row r="142" spans="25:46" ht="16.2" customHeight="1" x14ac:dyDescent="0.3">
      <c r="Y142" s="73"/>
      <c r="Z142" s="73"/>
      <c r="AA142" s="73"/>
      <c r="AB142" s="73"/>
      <c r="AC142" s="73"/>
      <c r="AD142" s="73"/>
      <c r="AE142" s="73"/>
      <c r="AF142" s="73"/>
      <c r="AG142" s="73"/>
      <c r="AH142" s="73"/>
      <c r="AI142" s="69" t="b">
        <f t="shared" si="6"/>
        <v>0</v>
      </c>
      <c r="AJ142" s="74"/>
      <c r="AK142" s="74"/>
      <c r="AL142" s="74"/>
      <c r="AM142" s="74"/>
      <c r="AN142" s="74"/>
      <c r="AO142" s="74"/>
      <c r="AP142" s="74"/>
      <c r="AQ142" s="74"/>
      <c r="AR142" s="74"/>
      <c r="AS142" s="74"/>
      <c r="AT142" s="69" t="b">
        <f t="shared" si="7"/>
        <v>0</v>
      </c>
    </row>
    <row r="143" spans="25:46" ht="16.2" customHeight="1" x14ac:dyDescent="0.3">
      <c r="Y143" s="73"/>
      <c r="Z143" s="73"/>
      <c r="AA143" s="73"/>
      <c r="AB143" s="73"/>
      <c r="AC143" s="73"/>
      <c r="AD143" s="73"/>
      <c r="AE143" s="73"/>
      <c r="AF143" s="73"/>
      <c r="AG143" s="73"/>
      <c r="AH143" s="73"/>
      <c r="AI143" s="69" t="b">
        <f t="shared" si="6"/>
        <v>0</v>
      </c>
      <c r="AJ143" s="74"/>
      <c r="AK143" s="74"/>
      <c r="AL143" s="74"/>
      <c r="AM143" s="74"/>
      <c r="AN143" s="74"/>
      <c r="AO143" s="74"/>
      <c r="AP143" s="74"/>
      <c r="AQ143" s="74"/>
      <c r="AR143" s="74"/>
      <c r="AS143" s="74"/>
      <c r="AT143" s="69" t="b">
        <f t="shared" si="7"/>
        <v>0</v>
      </c>
    </row>
    <row r="144" spans="25:46" ht="16.2" customHeight="1" x14ac:dyDescent="0.3">
      <c r="Y144" s="73"/>
      <c r="Z144" s="73"/>
      <c r="AA144" s="73"/>
      <c r="AB144" s="73"/>
      <c r="AC144" s="73"/>
      <c r="AD144" s="73"/>
      <c r="AE144" s="73"/>
      <c r="AF144" s="73"/>
      <c r="AG144" s="73"/>
      <c r="AH144" s="73"/>
      <c r="AI144" s="69" t="b">
        <f t="shared" si="6"/>
        <v>0</v>
      </c>
      <c r="AJ144" s="74"/>
      <c r="AK144" s="74"/>
      <c r="AL144" s="74"/>
      <c r="AM144" s="74"/>
      <c r="AN144" s="74"/>
      <c r="AO144" s="74"/>
      <c r="AP144" s="74"/>
      <c r="AQ144" s="74"/>
      <c r="AR144" s="74"/>
      <c r="AS144" s="74"/>
      <c r="AT144" s="69" t="b">
        <f t="shared" si="7"/>
        <v>0</v>
      </c>
    </row>
    <row r="145" spans="25:46" ht="16.2" customHeight="1" x14ac:dyDescent="0.3">
      <c r="Y145" s="73"/>
      <c r="Z145" s="73"/>
      <c r="AA145" s="73"/>
      <c r="AB145" s="73"/>
      <c r="AC145" s="73"/>
      <c r="AD145" s="73"/>
      <c r="AE145" s="73"/>
      <c r="AF145" s="73"/>
      <c r="AG145" s="73"/>
      <c r="AH145" s="73"/>
      <c r="AI145" s="69" t="b">
        <f t="shared" si="6"/>
        <v>0</v>
      </c>
      <c r="AJ145" s="74"/>
      <c r="AK145" s="74"/>
      <c r="AL145" s="74"/>
      <c r="AM145" s="74"/>
      <c r="AN145" s="74"/>
      <c r="AO145" s="74"/>
      <c r="AP145" s="74"/>
      <c r="AQ145" s="74"/>
      <c r="AR145" s="74"/>
      <c r="AS145" s="74"/>
      <c r="AT145" s="69" t="b">
        <f t="shared" si="7"/>
        <v>0</v>
      </c>
    </row>
    <row r="146" spans="25:46" ht="16.2" customHeight="1" x14ac:dyDescent="0.3">
      <c r="Y146" s="73"/>
      <c r="Z146" s="73"/>
      <c r="AA146" s="73"/>
      <c r="AB146" s="73"/>
      <c r="AC146" s="73"/>
      <c r="AD146" s="73"/>
      <c r="AE146" s="73"/>
      <c r="AF146" s="73"/>
      <c r="AG146" s="73"/>
      <c r="AH146" s="73"/>
      <c r="AI146" s="69" t="b">
        <f t="shared" si="6"/>
        <v>0</v>
      </c>
      <c r="AJ146" s="74"/>
      <c r="AK146" s="74"/>
      <c r="AL146" s="74"/>
      <c r="AM146" s="74"/>
      <c r="AN146" s="74"/>
      <c r="AO146" s="74"/>
      <c r="AP146" s="74"/>
      <c r="AQ146" s="74"/>
      <c r="AR146" s="74"/>
      <c r="AS146" s="74"/>
      <c r="AT146" s="69" t="b">
        <f t="shared" si="7"/>
        <v>0</v>
      </c>
    </row>
    <row r="147" spans="25:46" ht="16.2" customHeight="1" x14ac:dyDescent="0.3">
      <c r="Y147" s="73"/>
      <c r="Z147" s="73"/>
      <c r="AA147" s="73"/>
      <c r="AB147" s="73"/>
      <c r="AC147" s="73"/>
      <c r="AD147" s="73"/>
      <c r="AE147" s="73"/>
      <c r="AF147" s="73"/>
      <c r="AG147" s="73"/>
      <c r="AH147" s="73"/>
      <c r="AI147" s="69" t="b">
        <f t="shared" si="6"/>
        <v>0</v>
      </c>
      <c r="AJ147" s="74"/>
      <c r="AK147" s="74"/>
      <c r="AL147" s="74"/>
      <c r="AM147" s="74"/>
      <c r="AN147" s="74"/>
      <c r="AO147" s="74"/>
      <c r="AP147" s="74"/>
      <c r="AQ147" s="74"/>
      <c r="AR147" s="74"/>
      <c r="AS147" s="74"/>
      <c r="AT147" s="69" t="b">
        <f t="shared" si="7"/>
        <v>0</v>
      </c>
    </row>
    <row r="148" spans="25:46" ht="16.2" customHeight="1" x14ac:dyDescent="0.3">
      <c r="Y148" s="73"/>
      <c r="Z148" s="73"/>
      <c r="AA148" s="73"/>
      <c r="AB148" s="73"/>
      <c r="AC148" s="73"/>
      <c r="AD148" s="73"/>
      <c r="AE148" s="73"/>
      <c r="AF148" s="73"/>
      <c r="AG148" s="73"/>
      <c r="AH148" s="73"/>
      <c r="AI148" s="69" t="b">
        <f t="shared" si="6"/>
        <v>0</v>
      </c>
      <c r="AJ148" s="74"/>
      <c r="AK148" s="74"/>
      <c r="AL148" s="74"/>
      <c r="AM148" s="74"/>
      <c r="AN148" s="74"/>
      <c r="AO148" s="74"/>
      <c r="AP148" s="74"/>
      <c r="AQ148" s="74"/>
      <c r="AR148" s="74"/>
      <c r="AS148" s="74"/>
      <c r="AT148" s="69" t="b">
        <f t="shared" si="7"/>
        <v>0</v>
      </c>
    </row>
    <row r="149" spans="25:46" ht="16.2" customHeight="1" x14ac:dyDescent="0.3">
      <c r="Y149" s="73"/>
      <c r="Z149" s="73"/>
      <c r="AA149" s="73"/>
      <c r="AB149" s="73"/>
      <c r="AC149" s="73"/>
      <c r="AD149" s="73"/>
      <c r="AE149" s="73"/>
      <c r="AF149" s="73"/>
      <c r="AG149" s="73"/>
      <c r="AH149" s="73"/>
      <c r="AI149" s="69" t="b">
        <f t="shared" si="6"/>
        <v>0</v>
      </c>
      <c r="AJ149" s="74"/>
      <c r="AK149" s="74"/>
      <c r="AL149" s="74"/>
      <c r="AM149" s="74"/>
      <c r="AN149" s="74"/>
      <c r="AO149" s="74"/>
      <c r="AP149" s="74"/>
      <c r="AQ149" s="74"/>
      <c r="AR149" s="74"/>
      <c r="AS149" s="74"/>
      <c r="AT149" s="69" t="b">
        <f t="shared" si="7"/>
        <v>0</v>
      </c>
    </row>
    <row r="150" spans="25:46" ht="16.2" customHeight="1" x14ac:dyDescent="0.3">
      <c r="Y150" s="73"/>
      <c r="Z150" s="73"/>
      <c r="AA150" s="73"/>
      <c r="AB150" s="73"/>
      <c r="AC150" s="73"/>
      <c r="AD150" s="73"/>
      <c r="AE150" s="73"/>
      <c r="AF150" s="73"/>
      <c r="AG150" s="73"/>
      <c r="AH150" s="73"/>
      <c r="AI150" s="69" t="b">
        <f t="shared" si="6"/>
        <v>0</v>
      </c>
      <c r="AJ150" s="74"/>
      <c r="AK150" s="74"/>
      <c r="AL150" s="74"/>
      <c r="AM150" s="74"/>
      <c r="AN150" s="74"/>
      <c r="AO150" s="74"/>
      <c r="AP150" s="74"/>
      <c r="AQ150" s="74"/>
      <c r="AR150" s="74"/>
      <c r="AS150" s="74"/>
      <c r="AT150" s="69" t="b">
        <f t="shared" si="7"/>
        <v>0</v>
      </c>
    </row>
    <row r="151" spans="25:46" ht="16.2" customHeight="1" x14ac:dyDescent="0.3">
      <c r="Y151" s="73"/>
      <c r="Z151" s="73"/>
      <c r="AA151" s="73"/>
      <c r="AB151" s="73"/>
      <c r="AC151" s="73"/>
      <c r="AD151" s="73"/>
      <c r="AE151" s="73"/>
      <c r="AF151" s="73"/>
      <c r="AG151" s="73"/>
      <c r="AH151" s="73"/>
      <c r="AI151" s="69" t="b">
        <f t="shared" si="6"/>
        <v>0</v>
      </c>
      <c r="AJ151" s="74"/>
      <c r="AK151" s="74"/>
      <c r="AL151" s="74"/>
      <c r="AM151" s="74"/>
      <c r="AN151" s="74"/>
      <c r="AO151" s="74"/>
      <c r="AP151" s="74"/>
      <c r="AQ151" s="74"/>
      <c r="AR151" s="74"/>
      <c r="AS151" s="74"/>
      <c r="AT151" s="69" t="b">
        <f t="shared" si="7"/>
        <v>0</v>
      </c>
    </row>
    <row r="152" spans="25:46" ht="16.2" customHeight="1" x14ac:dyDescent="0.3">
      <c r="Y152" s="73"/>
      <c r="Z152" s="73"/>
      <c r="AA152" s="73"/>
      <c r="AB152" s="73"/>
      <c r="AC152" s="73"/>
      <c r="AD152" s="73"/>
      <c r="AE152" s="73"/>
      <c r="AF152" s="73"/>
      <c r="AG152" s="73"/>
      <c r="AH152" s="73"/>
      <c r="AI152" s="69" t="b">
        <f t="shared" si="6"/>
        <v>0</v>
      </c>
      <c r="AJ152" s="74"/>
      <c r="AK152" s="74"/>
      <c r="AL152" s="74"/>
      <c r="AM152" s="74"/>
      <c r="AN152" s="74"/>
      <c r="AO152" s="74"/>
      <c r="AP152" s="74"/>
      <c r="AQ152" s="74"/>
      <c r="AR152" s="74"/>
      <c r="AS152" s="74"/>
      <c r="AT152" s="69" t="b">
        <f t="shared" si="7"/>
        <v>0</v>
      </c>
    </row>
    <row r="153" spans="25:46" ht="16.2" customHeight="1" x14ac:dyDescent="0.3">
      <c r="Y153" s="73"/>
      <c r="Z153" s="73"/>
      <c r="AA153" s="73"/>
      <c r="AB153" s="73"/>
      <c r="AC153" s="73"/>
      <c r="AD153" s="73"/>
      <c r="AE153" s="73"/>
      <c r="AF153" s="73"/>
      <c r="AG153" s="73"/>
      <c r="AH153" s="73"/>
      <c r="AI153" s="69" t="b">
        <f t="shared" si="6"/>
        <v>0</v>
      </c>
      <c r="AJ153" s="74"/>
      <c r="AK153" s="74"/>
      <c r="AL153" s="74"/>
      <c r="AM153" s="74"/>
      <c r="AN153" s="74"/>
      <c r="AO153" s="74"/>
      <c r="AP153" s="74"/>
      <c r="AQ153" s="74"/>
      <c r="AR153" s="74"/>
      <c r="AS153" s="74"/>
      <c r="AT153" s="69" t="b">
        <f t="shared" si="7"/>
        <v>0</v>
      </c>
    </row>
    <row r="154" spans="25:46" ht="16.2" customHeight="1" x14ac:dyDescent="0.3">
      <c r="Y154" s="73"/>
      <c r="Z154" s="73"/>
      <c r="AA154" s="73"/>
      <c r="AB154" s="73"/>
      <c r="AC154" s="73"/>
      <c r="AD154" s="73"/>
      <c r="AE154" s="73"/>
      <c r="AF154" s="73"/>
      <c r="AG154" s="73"/>
      <c r="AH154" s="73"/>
      <c r="AI154" s="69" t="b">
        <f t="shared" si="6"/>
        <v>0</v>
      </c>
      <c r="AJ154" s="74"/>
      <c r="AK154" s="74"/>
      <c r="AL154" s="74"/>
      <c r="AM154" s="74"/>
      <c r="AN154" s="74"/>
      <c r="AO154" s="74"/>
      <c r="AP154" s="74"/>
      <c r="AQ154" s="74"/>
      <c r="AR154" s="74"/>
      <c r="AS154" s="74"/>
      <c r="AT154" s="69" t="b">
        <f t="shared" si="7"/>
        <v>0</v>
      </c>
    </row>
    <row r="155" spans="25:46" ht="16.2" customHeight="1" x14ac:dyDescent="0.3">
      <c r="Y155" s="73"/>
      <c r="Z155" s="73"/>
      <c r="AA155" s="73"/>
      <c r="AB155" s="73"/>
      <c r="AC155" s="73"/>
      <c r="AD155" s="73"/>
      <c r="AE155" s="73"/>
      <c r="AF155" s="73"/>
      <c r="AG155" s="73"/>
      <c r="AH155" s="73"/>
      <c r="AI155" s="69" t="b">
        <f t="shared" si="6"/>
        <v>0</v>
      </c>
      <c r="AJ155" s="74"/>
      <c r="AK155" s="74"/>
      <c r="AL155" s="74"/>
      <c r="AM155" s="74"/>
      <c r="AN155" s="74"/>
      <c r="AO155" s="74"/>
      <c r="AP155" s="74"/>
      <c r="AQ155" s="74"/>
      <c r="AR155" s="74"/>
      <c r="AS155" s="74"/>
      <c r="AT155" s="69" t="b">
        <f t="shared" si="7"/>
        <v>0</v>
      </c>
    </row>
    <row r="156" spans="25:46" ht="16.2" customHeight="1" x14ac:dyDescent="0.3">
      <c r="Y156" s="73"/>
      <c r="Z156" s="73"/>
      <c r="AA156" s="73"/>
      <c r="AB156" s="73"/>
      <c r="AC156" s="73"/>
      <c r="AD156" s="73"/>
      <c r="AE156" s="73"/>
      <c r="AF156" s="73"/>
      <c r="AG156" s="73"/>
      <c r="AH156" s="73"/>
      <c r="AI156" s="69" t="b">
        <f t="shared" si="6"/>
        <v>0</v>
      </c>
      <c r="AJ156" s="74"/>
      <c r="AK156" s="74"/>
      <c r="AL156" s="74"/>
      <c r="AM156" s="74"/>
      <c r="AN156" s="74"/>
      <c r="AO156" s="74"/>
      <c r="AP156" s="74"/>
      <c r="AQ156" s="74"/>
      <c r="AR156" s="74"/>
      <c r="AS156" s="74"/>
      <c r="AT156" s="69" t="b">
        <f t="shared" si="7"/>
        <v>0</v>
      </c>
    </row>
    <row r="157" spans="25:46" ht="16.2" customHeight="1" x14ac:dyDescent="0.3">
      <c r="Y157" s="73"/>
      <c r="Z157" s="73"/>
      <c r="AA157" s="73"/>
      <c r="AB157" s="73"/>
      <c r="AC157" s="73"/>
      <c r="AD157" s="73"/>
      <c r="AE157" s="73"/>
      <c r="AF157" s="73"/>
      <c r="AG157" s="73"/>
      <c r="AH157" s="73"/>
      <c r="AI157" s="69" t="b">
        <f t="shared" si="6"/>
        <v>0</v>
      </c>
      <c r="AJ157" s="74"/>
      <c r="AK157" s="74"/>
      <c r="AL157" s="74"/>
      <c r="AM157" s="74"/>
      <c r="AN157" s="74"/>
      <c r="AO157" s="74"/>
      <c r="AP157" s="74"/>
      <c r="AQ157" s="74"/>
      <c r="AR157" s="74"/>
      <c r="AS157" s="74"/>
      <c r="AT157" s="69" t="b">
        <f t="shared" si="7"/>
        <v>0</v>
      </c>
    </row>
    <row r="158" spans="25:46" ht="16.2" customHeight="1" x14ac:dyDescent="0.3">
      <c r="Y158" s="73"/>
      <c r="Z158" s="73"/>
      <c r="AA158" s="73"/>
      <c r="AB158" s="73"/>
      <c r="AC158" s="73"/>
      <c r="AD158" s="73"/>
      <c r="AE158" s="73"/>
      <c r="AF158" s="73"/>
      <c r="AG158" s="73"/>
      <c r="AH158" s="73"/>
      <c r="AI158" s="69" t="b">
        <f t="shared" si="6"/>
        <v>0</v>
      </c>
      <c r="AJ158" s="74"/>
      <c r="AK158" s="74"/>
      <c r="AL158" s="74"/>
      <c r="AM158" s="74"/>
      <c r="AN158" s="74"/>
      <c r="AO158" s="74"/>
      <c r="AP158" s="74"/>
      <c r="AQ158" s="74"/>
      <c r="AR158" s="74"/>
      <c r="AS158" s="74"/>
      <c r="AT158" s="69" t="b">
        <f t="shared" si="7"/>
        <v>0</v>
      </c>
    </row>
    <row r="159" spans="25:46" ht="16.2" customHeight="1" x14ac:dyDescent="0.3">
      <c r="Y159" s="73"/>
      <c r="Z159" s="73"/>
      <c r="AA159" s="73"/>
      <c r="AB159" s="73"/>
      <c r="AC159" s="73"/>
      <c r="AD159" s="73"/>
      <c r="AE159" s="73"/>
      <c r="AF159" s="73"/>
      <c r="AG159" s="73"/>
      <c r="AH159" s="73"/>
      <c r="AI159" s="69" t="b">
        <f t="shared" si="6"/>
        <v>0</v>
      </c>
      <c r="AJ159" s="74"/>
      <c r="AK159" s="74"/>
      <c r="AL159" s="74"/>
      <c r="AM159" s="74"/>
      <c r="AN159" s="74"/>
      <c r="AO159" s="74"/>
      <c r="AP159" s="74"/>
      <c r="AQ159" s="74"/>
      <c r="AR159" s="74"/>
      <c r="AS159" s="74"/>
      <c r="AT159" s="69" t="b">
        <f t="shared" si="7"/>
        <v>0</v>
      </c>
    </row>
    <row r="160" spans="25:46" ht="16.2" customHeight="1" x14ac:dyDescent="0.3">
      <c r="Y160" s="73"/>
      <c r="Z160" s="73"/>
      <c r="AA160" s="73"/>
      <c r="AB160" s="73"/>
      <c r="AC160" s="73"/>
      <c r="AD160" s="73"/>
      <c r="AE160" s="73"/>
      <c r="AF160" s="73"/>
      <c r="AG160" s="73"/>
      <c r="AH160" s="73"/>
      <c r="AI160" s="69" t="b">
        <f t="shared" si="6"/>
        <v>0</v>
      </c>
      <c r="AJ160" s="74"/>
      <c r="AK160" s="74"/>
      <c r="AL160" s="74"/>
      <c r="AM160" s="74"/>
      <c r="AN160" s="74"/>
      <c r="AO160" s="74"/>
      <c r="AP160" s="74"/>
      <c r="AQ160" s="74"/>
      <c r="AR160" s="74"/>
      <c r="AS160" s="74"/>
      <c r="AT160" s="69" t="b">
        <f t="shared" si="7"/>
        <v>0</v>
      </c>
    </row>
    <row r="161" spans="25:46" ht="16.2" customHeight="1" x14ac:dyDescent="0.3">
      <c r="Y161" s="73"/>
      <c r="Z161" s="73"/>
      <c r="AA161" s="73"/>
      <c r="AB161" s="73"/>
      <c r="AC161" s="73"/>
      <c r="AD161" s="73"/>
      <c r="AE161" s="73"/>
      <c r="AF161" s="73"/>
      <c r="AG161" s="73"/>
      <c r="AH161" s="73"/>
      <c r="AI161" s="69" t="b">
        <f t="shared" si="6"/>
        <v>0</v>
      </c>
      <c r="AJ161" s="74"/>
      <c r="AK161" s="74"/>
      <c r="AL161" s="74"/>
      <c r="AM161" s="74"/>
      <c r="AN161" s="74"/>
      <c r="AO161" s="74"/>
      <c r="AP161" s="74"/>
      <c r="AQ161" s="74"/>
      <c r="AR161" s="74"/>
      <c r="AS161" s="74"/>
      <c r="AT161" s="69" t="b">
        <f t="shared" si="7"/>
        <v>0</v>
      </c>
    </row>
    <row r="162" spans="25:46" ht="16.2" customHeight="1" x14ac:dyDescent="0.3">
      <c r="Y162" s="73"/>
      <c r="Z162" s="73"/>
      <c r="AA162" s="73"/>
      <c r="AB162" s="73"/>
      <c r="AC162" s="73"/>
      <c r="AD162" s="73"/>
      <c r="AE162" s="73"/>
      <c r="AF162" s="73"/>
      <c r="AG162" s="73"/>
      <c r="AH162" s="73"/>
      <c r="AI162" s="69" t="b">
        <f t="shared" si="6"/>
        <v>0</v>
      </c>
      <c r="AJ162" s="74"/>
      <c r="AK162" s="74"/>
      <c r="AL162" s="74"/>
      <c r="AM162" s="74"/>
      <c r="AN162" s="74"/>
      <c r="AO162" s="74"/>
      <c r="AP162" s="74"/>
      <c r="AQ162" s="74"/>
      <c r="AR162" s="74"/>
      <c r="AS162" s="74"/>
      <c r="AT162" s="69" t="b">
        <f t="shared" si="7"/>
        <v>0</v>
      </c>
    </row>
    <row r="163" spans="25:46" ht="16.2" customHeight="1" x14ac:dyDescent="0.3">
      <c r="Y163" s="73"/>
      <c r="Z163" s="73"/>
      <c r="AA163" s="73"/>
      <c r="AB163" s="73"/>
      <c r="AC163" s="73"/>
      <c r="AD163" s="73"/>
      <c r="AE163" s="73"/>
      <c r="AF163" s="73"/>
      <c r="AG163" s="73"/>
      <c r="AH163" s="73"/>
      <c r="AI163" s="69" t="b">
        <f t="shared" ref="AI163:AI194" si="8">AND(Z163&gt;0,AC163&gt;0)</f>
        <v>0</v>
      </c>
      <c r="AJ163" s="74"/>
      <c r="AK163" s="74"/>
      <c r="AL163" s="74"/>
      <c r="AM163" s="74"/>
      <c r="AN163" s="74"/>
      <c r="AO163" s="74"/>
      <c r="AP163" s="74"/>
      <c r="AQ163" s="74"/>
      <c r="AR163" s="74"/>
      <c r="AS163" s="74"/>
      <c r="AT163" s="69" t="b">
        <f t="shared" si="7"/>
        <v>0</v>
      </c>
    </row>
    <row r="164" spans="25:46" ht="16.2" customHeight="1" x14ac:dyDescent="0.3">
      <c r="Y164" s="73"/>
      <c r="Z164" s="73"/>
      <c r="AA164" s="73"/>
      <c r="AB164" s="73"/>
      <c r="AC164" s="73"/>
      <c r="AD164" s="73"/>
      <c r="AE164" s="73"/>
      <c r="AF164" s="73"/>
      <c r="AG164" s="73"/>
      <c r="AH164" s="73"/>
      <c r="AI164" s="69" t="b">
        <f t="shared" si="8"/>
        <v>0</v>
      </c>
      <c r="AJ164" s="74"/>
      <c r="AK164" s="74"/>
      <c r="AL164" s="74"/>
      <c r="AM164" s="74"/>
      <c r="AN164" s="74"/>
      <c r="AO164" s="74"/>
      <c r="AP164" s="74"/>
      <c r="AQ164" s="74"/>
      <c r="AR164" s="74"/>
      <c r="AS164" s="74"/>
      <c r="AT164" s="69" t="b">
        <f t="shared" si="7"/>
        <v>0</v>
      </c>
    </row>
    <row r="165" spans="25:46" ht="16.2" customHeight="1" x14ac:dyDescent="0.3">
      <c r="Y165" s="73"/>
      <c r="Z165" s="73"/>
      <c r="AA165" s="73"/>
      <c r="AB165" s="73"/>
      <c r="AC165" s="73"/>
      <c r="AD165" s="73"/>
      <c r="AE165" s="73"/>
      <c r="AF165" s="73"/>
      <c r="AG165" s="73"/>
      <c r="AH165" s="73"/>
      <c r="AI165" s="69" t="b">
        <f t="shared" si="8"/>
        <v>0</v>
      </c>
      <c r="AJ165" s="74"/>
      <c r="AK165" s="74"/>
      <c r="AL165" s="74"/>
      <c r="AM165" s="74"/>
      <c r="AN165" s="74"/>
      <c r="AO165" s="74"/>
      <c r="AP165" s="74"/>
      <c r="AQ165" s="74"/>
      <c r="AR165" s="74"/>
      <c r="AS165" s="74"/>
      <c r="AT165" s="69" t="b">
        <f t="shared" si="7"/>
        <v>0</v>
      </c>
    </row>
    <row r="166" spans="25:46" ht="16.2" customHeight="1" x14ac:dyDescent="0.3">
      <c r="Y166" s="73"/>
      <c r="Z166" s="73"/>
      <c r="AA166" s="73"/>
      <c r="AB166" s="73"/>
      <c r="AC166" s="73"/>
      <c r="AD166" s="73"/>
      <c r="AE166" s="73"/>
      <c r="AF166" s="73"/>
      <c r="AG166" s="73"/>
      <c r="AH166" s="73"/>
      <c r="AI166" s="69" t="b">
        <f t="shared" si="8"/>
        <v>0</v>
      </c>
      <c r="AJ166" s="74"/>
      <c r="AK166" s="74"/>
      <c r="AL166" s="74"/>
      <c r="AM166" s="74"/>
      <c r="AN166" s="74"/>
      <c r="AO166" s="74"/>
      <c r="AP166" s="74"/>
      <c r="AQ166" s="74"/>
      <c r="AR166" s="74"/>
      <c r="AS166" s="74"/>
      <c r="AT166" s="69" t="b">
        <f t="shared" si="7"/>
        <v>0</v>
      </c>
    </row>
    <row r="167" spans="25:46" ht="16.2" customHeight="1" x14ac:dyDescent="0.3">
      <c r="Y167" s="73"/>
      <c r="Z167" s="73"/>
      <c r="AA167" s="73"/>
      <c r="AB167" s="73"/>
      <c r="AC167" s="73"/>
      <c r="AD167" s="73"/>
      <c r="AE167" s="73"/>
      <c r="AF167" s="73"/>
      <c r="AG167" s="73"/>
      <c r="AH167" s="73"/>
      <c r="AI167" s="69" t="b">
        <f t="shared" si="8"/>
        <v>0</v>
      </c>
      <c r="AJ167" s="74"/>
      <c r="AK167" s="74"/>
      <c r="AL167" s="74"/>
      <c r="AM167" s="74"/>
      <c r="AN167" s="74"/>
      <c r="AO167" s="74"/>
      <c r="AP167" s="74"/>
      <c r="AQ167" s="74"/>
      <c r="AR167" s="74"/>
      <c r="AS167" s="74"/>
      <c r="AT167" s="69" t="b">
        <f t="shared" si="7"/>
        <v>0</v>
      </c>
    </row>
    <row r="168" spans="25:46" ht="16.2" customHeight="1" x14ac:dyDescent="0.3">
      <c r="Y168" s="73"/>
      <c r="Z168" s="73"/>
      <c r="AA168" s="73"/>
      <c r="AB168" s="73"/>
      <c r="AC168" s="73"/>
      <c r="AD168" s="73"/>
      <c r="AE168" s="73"/>
      <c r="AF168" s="73"/>
      <c r="AG168" s="73"/>
      <c r="AH168" s="73"/>
      <c r="AI168" s="69" t="b">
        <f t="shared" si="8"/>
        <v>0</v>
      </c>
      <c r="AJ168" s="74"/>
      <c r="AK168" s="74"/>
      <c r="AL168" s="74"/>
      <c r="AM168" s="74"/>
      <c r="AN168" s="74"/>
      <c r="AO168" s="74"/>
      <c r="AP168" s="74"/>
      <c r="AQ168" s="74"/>
      <c r="AR168" s="74"/>
      <c r="AS168" s="74"/>
      <c r="AT168" s="69" t="b">
        <f t="shared" si="7"/>
        <v>0</v>
      </c>
    </row>
    <row r="169" spans="25:46" ht="16.2" customHeight="1" x14ac:dyDescent="0.3">
      <c r="Y169" s="73"/>
      <c r="Z169" s="73"/>
      <c r="AA169" s="73"/>
      <c r="AB169" s="73"/>
      <c r="AC169" s="73"/>
      <c r="AD169" s="73"/>
      <c r="AE169" s="73"/>
      <c r="AF169" s="73"/>
      <c r="AG169" s="73"/>
      <c r="AH169" s="73"/>
      <c r="AI169" s="69" t="b">
        <f t="shared" si="8"/>
        <v>0</v>
      </c>
      <c r="AJ169" s="74"/>
      <c r="AK169" s="74"/>
      <c r="AL169" s="74"/>
      <c r="AM169" s="74"/>
      <c r="AN169" s="74"/>
      <c r="AO169" s="74"/>
      <c r="AP169" s="74"/>
      <c r="AQ169" s="74"/>
      <c r="AR169" s="74"/>
      <c r="AS169" s="74"/>
      <c r="AT169" s="69" t="b">
        <f t="shared" si="7"/>
        <v>0</v>
      </c>
    </row>
    <row r="170" spans="25:46" ht="16.2" customHeight="1" x14ac:dyDescent="0.3">
      <c r="Y170" s="73"/>
      <c r="Z170" s="73"/>
      <c r="AA170" s="73"/>
      <c r="AB170" s="73"/>
      <c r="AC170" s="73"/>
      <c r="AD170" s="73"/>
      <c r="AE170" s="73"/>
      <c r="AF170" s="73"/>
      <c r="AG170" s="73"/>
      <c r="AH170" s="73"/>
      <c r="AI170" s="69" t="b">
        <f t="shared" si="8"/>
        <v>0</v>
      </c>
      <c r="AJ170" s="74"/>
      <c r="AK170" s="74"/>
      <c r="AL170" s="74"/>
      <c r="AM170" s="74"/>
      <c r="AN170" s="74"/>
      <c r="AO170" s="74"/>
      <c r="AP170" s="74"/>
      <c r="AQ170" s="74"/>
      <c r="AR170" s="74"/>
      <c r="AS170" s="74"/>
      <c r="AT170" s="69" t="b">
        <f t="shared" si="7"/>
        <v>0</v>
      </c>
    </row>
    <row r="171" spans="25:46" ht="16.2" customHeight="1" x14ac:dyDescent="0.3">
      <c r="Y171" s="73"/>
      <c r="Z171" s="73"/>
      <c r="AA171" s="73"/>
      <c r="AB171" s="73"/>
      <c r="AC171" s="73"/>
      <c r="AD171" s="73"/>
      <c r="AE171" s="73"/>
      <c r="AF171" s="73"/>
      <c r="AG171" s="73"/>
      <c r="AH171" s="73"/>
      <c r="AI171" s="69" t="b">
        <f t="shared" si="8"/>
        <v>0</v>
      </c>
      <c r="AJ171" s="74"/>
      <c r="AK171" s="74"/>
      <c r="AL171" s="74"/>
      <c r="AM171" s="74"/>
      <c r="AN171" s="74"/>
      <c r="AO171" s="74"/>
      <c r="AP171" s="74"/>
      <c r="AQ171" s="74"/>
      <c r="AR171" s="74"/>
      <c r="AS171" s="74"/>
      <c r="AT171" s="69" t="b">
        <f t="shared" si="7"/>
        <v>0</v>
      </c>
    </row>
    <row r="172" spans="25:46" ht="16.2" customHeight="1" x14ac:dyDescent="0.3">
      <c r="Y172" s="73"/>
      <c r="Z172" s="73"/>
      <c r="AA172" s="73"/>
      <c r="AB172" s="73"/>
      <c r="AC172" s="73"/>
      <c r="AD172" s="73"/>
      <c r="AE172" s="73"/>
      <c r="AF172" s="73"/>
      <c r="AG172" s="73"/>
      <c r="AH172" s="73"/>
      <c r="AI172" s="69" t="b">
        <f t="shared" si="8"/>
        <v>0</v>
      </c>
      <c r="AJ172" s="74"/>
      <c r="AK172" s="74"/>
      <c r="AL172" s="74"/>
      <c r="AM172" s="74"/>
      <c r="AN172" s="74"/>
      <c r="AO172" s="74"/>
      <c r="AP172" s="74"/>
      <c r="AQ172" s="74"/>
      <c r="AR172" s="74"/>
      <c r="AS172" s="74"/>
      <c r="AT172" s="69" t="b">
        <f t="shared" si="7"/>
        <v>0</v>
      </c>
    </row>
    <row r="173" spans="25:46" ht="16.2" customHeight="1" x14ac:dyDescent="0.3">
      <c r="Y173" s="73"/>
      <c r="Z173" s="73"/>
      <c r="AA173" s="73"/>
      <c r="AB173" s="73"/>
      <c r="AC173" s="73"/>
      <c r="AD173" s="73"/>
      <c r="AE173" s="73"/>
      <c r="AF173" s="73"/>
      <c r="AG173" s="73"/>
      <c r="AH173" s="73"/>
      <c r="AI173" s="69" t="b">
        <f t="shared" si="8"/>
        <v>0</v>
      </c>
      <c r="AJ173" s="74"/>
      <c r="AK173" s="74"/>
      <c r="AL173" s="74"/>
      <c r="AM173" s="74"/>
      <c r="AN173" s="74"/>
      <c r="AO173" s="74"/>
      <c r="AP173" s="74"/>
      <c r="AQ173" s="74"/>
      <c r="AR173" s="74"/>
      <c r="AS173" s="74"/>
      <c r="AT173" s="69" t="b">
        <f t="shared" si="7"/>
        <v>0</v>
      </c>
    </row>
    <row r="174" spans="25:46" ht="16.2" customHeight="1" x14ac:dyDescent="0.3">
      <c r="Y174" s="73"/>
      <c r="Z174" s="73"/>
      <c r="AA174" s="73"/>
      <c r="AB174" s="73"/>
      <c r="AC174" s="73"/>
      <c r="AD174" s="73"/>
      <c r="AE174" s="73"/>
      <c r="AF174" s="73"/>
      <c r="AG174" s="73"/>
      <c r="AH174" s="73"/>
      <c r="AI174" s="69" t="b">
        <f t="shared" si="8"/>
        <v>0</v>
      </c>
      <c r="AJ174" s="74"/>
      <c r="AK174" s="74"/>
      <c r="AL174" s="74"/>
      <c r="AM174" s="74"/>
      <c r="AN174" s="74"/>
      <c r="AO174" s="74"/>
      <c r="AP174" s="74"/>
      <c r="AQ174" s="74"/>
      <c r="AR174" s="74"/>
      <c r="AS174" s="74"/>
      <c r="AT174" s="69" t="b">
        <f t="shared" si="7"/>
        <v>0</v>
      </c>
    </row>
    <row r="175" spans="25:46" ht="16.2" customHeight="1" x14ac:dyDescent="0.3">
      <c r="Y175" s="73"/>
      <c r="Z175" s="73"/>
      <c r="AA175" s="73"/>
      <c r="AB175" s="73"/>
      <c r="AC175" s="73"/>
      <c r="AD175" s="73"/>
      <c r="AE175" s="73"/>
      <c r="AF175" s="73"/>
      <c r="AG175" s="73"/>
      <c r="AH175" s="73"/>
      <c r="AI175" s="69" t="b">
        <f t="shared" si="8"/>
        <v>0</v>
      </c>
      <c r="AJ175" s="74"/>
      <c r="AK175" s="74"/>
      <c r="AL175" s="74"/>
      <c r="AM175" s="74"/>
      <c r="AN175" s="74"/>
      <c r="AO175" s="74"/>
      <c r="AP175" s="74"/>
      <c r="AQ175" s="74"/>
      <c r="AR175" s="74"/>
      <c r="AS175" s="74"/>
      <c r="AT175" s="69" t="b">
        <f t="shared" si="7"/>
        <v>0</v>
      </c>
    </row>
    <row r="176" spans="25:46" ht="16.2" customHeight="1" x14ac:dyDescent="0.3">
      <c r="Y176" s="73"/>
      <c r="Z176" s="73"/>
      <c r="AA176" s="73"/>
      <c r="AB176" s="73"/>
      <c r="AC176" s="73"/>
      <c r="AD176" s="73"/>
      <c r="AE176" s="73"/>
      <c r="AF176" s="73"/>
      <c r="AG176" s="73"/>
      <c r="AH176" s="73"/>
      <c r="AI176" s="69" t="b">
        <f t="shared" si="8"/>
        <v>0</v>
      </c>
      <c r="AJ176" s="74"/>
      <c r="AK176" s="74"/>
      <c r="AL176" s="74"/>
      <c r="AM176" s="74"/>
      <c r="AN176" s="74"/>
      <c r="AO176" s="74"/>
      <c r="AP176" s="74"/>
      <c r="AQ176" s="74"/>
      <c r="AR176" s="74"/>
      <c r="AS176" s="74"/>
      <c r="AT176" s="69" t="b">
        <f t="shared" si="7"/>
        <v>0</v>
      </c>
    </row>
    <row r="177" spans="25:46" ht="16.2" customHeight="1" x14ac:dyDescent="0.3">
      <c r="Y177" s="73"/>
      <c r="Z177" s="73"/>
      <c r="AA177" s="73"/>
      <c r="AB177" s="73"/>
      <c r="AC177" s="73"/>
      <c r="AD177" s="73"/>
      <c r="AE177" s="73"/>
      <c r="AF177" s="73"/>
      <c r="AG177" s="73"/>
      <c r="AH177" s="73"/>
      <c r="AI177" s="69" t="b">
        <f t="shared" si="8"/>
        <v>0</v>
      </c>
      <c r="AJ177" s="74"/>
      <c r="AK177" s="74"/>
      <c r="AL177" s="74"/>
      <c r="AM177" s="74"/>
      <c r="AN177" s="74"/>
      <c r="AO177" s="74"/>
      <c r="AP177" s="74"/>
      <c r="AQ177" s="74"/>
      <c r="AR177" s="74"/>
      <c r="AS177" s="74"/>
      <c r="AT177" s="69" t="b">
        <f t="shared" si="7"/>
        <v>0</v>
      </c>
    </row>
    <row r="178" spans="25:46" ht="16.2" customHeight="1" x14ac:dyDescent="0.3">
      <c r="Y178" s="73"/>
      <c r="Z178" s="73"/>
      <c r="AA178" s="73"/>
      <c r="AB178" s="73"/>
      <c r="AC178" s="73"/>
      <c r="AD178" s="73"/>
      <c r="AE178" s="73"/>
      <c r="AF178" s="73"/>
      <c r="AG178" s="73"/>
      <c r="AH178" s="73"/>
      <c r="AI178" s="69" t="b">
        <f t="shared" si="8"/>
        <v>0</v>
      </c>
      <c r="AJ178" s="74"/>
      <c r="AK178" s="74"/>
      <c r="AL178" s="74"/>
      <c r="AM178" s="74"/>
      <c r="AN178" s="74"/>
      <c r="AO178" s="74"/>
      <c r="AP178" s="74"/>
      <c r="AQ178" s="74"/>
      <c r="AR178" s="74"/>
      <c r="AS178" s="74"/>
      <c r="AT178" s="69" t="b">
        <f t="shared" si="7"/>
        <v>0</v>
      </c>
    </row>
    <row r="179" spans="25:46" ht="16.2" customHeight="1" x14ac:dyDescent="0.3">
      <c r="Y179" s="73"/>
      <c r="Z179" s="73"/>
      <c r="AA179" s="73"/>
      <c r="AB179" s="73"/>
      <c r="AC179" s="73"/>
      <c r="AD179" s="73"/>
      <c r="AE179" s="73"/>
      <c r="AF179" s="73"/>
      <c r="AG179" s="73"/>
      <c r="AH179" s="73"/>
      <c r="AI179" s="69" t="b">
        <f t="shared" si="8"/>
        <v>0</v>
      </c>
      <c r="AJ179" s="74"/>
      <c r="AK179" s="74"/>
      <c r="AL179" s="74"/>
      <c r="AM179" s="74"/>
      <c r="AN179" s="74"/>
      <c r="AO179" s="74"/>
      <c r="AP179" s="74"/>
      <c r="AQ179" s="74"/>
      <c r="AR179" s="74"/>
      <c r="AS179" s="74"/>
      <c r="AT179" s="69" t="b">
        <f t="shared" si="7"/>
        <v>0</v>
      </c>
    </row>
    <row r="180" spans="25:46" ht="16.2" customHeight="1" x14ac:dyDescent="0.3">
      <c r="Y180" s="73"/>
      <c r="Z180" s="73"/>
      <c r="AA180" s="73"/>
      <c r="AB180" s="73"/>
      <c r="AC180" s="73"/>
      <c r="AD180" s="73"/>
      <c r="AE180" s="73"/>
      <c r="AF180" s="73"/>
      <c r="AG180" s="73"/>
      <c r="AH180" s="73"/>
      <c r="AI180" s="69" t="b">
        <f t="shared" si="8"/>
        <v>0</v>
      </c>
      <c r="AJ180" s="74"/>
      <c r="AK180" s="74"/>
      <c r="AL180" s="74"/>
      <c r="AM180" s="74"/>
      <c r="AN180" s="74"/>
      <c r="AO180" s="74"/>
      <c r="AP180" s="74"/>
      <c r="AQ180" s="74"/>
      <c r="AR180" s="74"/>
      <c r="AS180" s="74"/>
      <c r="AT180" s="69" t="b">
        <f t="shared" si="7"/>
        <v>0</v>
      </c>
    </row>
    <row r="181" spans="25:46" ht="16.2" customHeight="1" x14ac:dyDescent="0.3">
      <c r="Y181" s="73"/>
      <c r="Z181" s="73"/>
      <c r="AA181" s="73"/>
      <c r="AB181" s="73"/>
      <c r="AC181" s="73"/>
      <c r="AD181" s="73"/>
      <c r="AE181" s="73"/>
      <c r="AF181" s="73"/>
      <c r="AG181" s="73"/>
      <c r="AH181" s="73"/>
      <c r="AI181" s="69" t="b">
        <f t="shared" si="8"/>
        <v>0</v>
      </c>
      <c r="AJ181" s="74"/>
      <c r="AK181" s="74"/>
      <c r="AL181" s="74"/>
      <c r="AM181" s="74"/>
      <c r="AN181" s="74"/>
      <c r="AO181" s="74"/>
      <c r="AP181" s="74"/>
      <c r="AQ181" s="74"/>
      <c r="AR181" s="74"/>
      <c r="AS181" s="74"/>
      <c r="AT181" s="69" t="b">
        <f t="shared" si="7"/>
        <v>0</v>
      </c>
    </row>
    <row r="182" spans="25:46" ht="16.2" customHeight="1" x14ac:dyDescent="0.3">
      <c r="Y182" s="73"/>
      <c r="Z182" s="73"/>
      <c r="AA182" s="73"/>
      <c r="AB182" s="73"/>
      <c r="AC182" s="73"/>
      <c r="AD182" s="73"/>
      <c r="AE182" s="73"/>
      <c r="AF182" s="73"/>
      <c r="AG182" s="73"/>
      <c r="AH182" s="73"/>
      <c r="AI182" s="69" t="b">
        <f t="shared" si="8"/>
        <v>0</v>
      </c>
      <c r="AJ182" s="74"/>
      <c r="AK182" s="74"/>
      <c r="AL182" s="74"/>
      <c r="AM182" s="74"/>
      <c r="AN182" s="74"/>
      <c r="AO182" s="74"/>
      <c r="AP182" s="74"/>
      <c r="AQ182" s="74"/>
      <c r="AR182" s="74"/>
      <c r="AS182" s="74"/>
      <c r="AT182" s="69" t="b">
        <f t="shared" si="7"/>
        <v>0</v>
      </c>
    </row>
    <row r="183" spans="25:46" ht="16.2" customHeight="1" x14ac:dyDescent="0.3">
      <c r="Y183" s="73"/>
      <c r="Z183" s="73"/>
      <c r="AA183" s="73"/>
      <c r="AB183" s="73"/>
      <c r="AC183" s="73"/>
      <c r="AD183" s="73"/>
      <c r="AE183" s="73"/>
      <c r="AF183" s="73"/>
      <c r="AG183" s="73"/>
      <c r="AH183" s="73"/>
      <c r="AI183" s="69" t="b">
        <f t="shared" si="8"/>
        <v>0</v>
      </c>
      <c r="AJ183" s="74"/>
      <c r="AK183" s="74"/>
      <c r="AL183" s="74"/>
      <c r="AM183" s="74"/>
      <c r="AN183" s="74"/>
      <c r="AO183" s="74"/>
      <c r="AP183" s="74"/>
      <c r="AQ183" s="74"/>
      <c r="AR183" s="74"/>
      <c r="AS183" s="74"/>
      <c r="AT183" s="69" t="b">
        <f t="shared" si="7"/>
        <v>0</v>
      </c>
    </row>
    <row r="184" spans="25:46" ht="16.2" customHeight="1" x14ac:dyDescent="0.3">
      <c r="Y184" s="73"/>
      <c r="Z184" s="73"/>
      <c r="AA184" s="73"/>
      <c r="AB184" s="73"/>
      <c r="AC184" s="73"/>
      <c r="AD184" s="73"/>
      <c r="AE184" s="73"/>
      <c r="AF184" s="73"/>
      <c r="AG184" s="73"/>
      <c r="AH184" s="73"/>
      <c r="AI184" s="69" t="b">
        <f t="shared" si="8"/>
        <v>0</v>
      </c>
      <c r="AJ184" s="74"/>
      <c r="AK184" s="74"/>
      <c r="AL184" s="74"/>
      <c r="AM184" s="74"/>
      <c r="AN184" s="74"/>
      <c r="AO184" s="74"/>
      <c r="AP184" s="74"/>
      <c r="AQ184" s="74"/>
      <c r="AR184" s="74"/>
      <c r="AS184" s="74"/>
      <c r="AT184" s="69" t="b">
        <f t="shared" si="7"/>
        <v>0</v>
      </c>
    </row>
    <row r="185" spans="25:46" ht="16.2" customHeight="1" x14ac:dyDescent="0.3">
      <c r="Y185" s="73"/>
      <c r="Z185" s="73"/>
      <c r="AA185" s="73"/>
      <c r="AB185" s="73"/>
      <c r="AC185" s="73"/>
      <c r="AD185" s="73"/>
      <c r="AE185" s="73"/>
      <c r="AF185" s="73"/>
      <c r="AG185" s="73"/>
      <c r="AH185" s="73"/>
      <c r="AI185" s="69" t="b">
        <f t="shared" si="8"/>
        <v>0</v>
      </c>
      <c r="AJ185" s="74"/>
      <c r="AK185" s="74"/>
      <c r="AL185" s="74"/>
      <c r="AM185" s="74"/>
      <c r="AN185" s="74"/>
      <c r="AO185" s="74"/>
      <c r="AP185" s="74"/>
      <c r="AQ185" s="74"/>
      <c r="AR185" s="74"/>
      <c r="AS185" s="74"/>
      <c r="AT185" s="69" t="b">
        <f t="shared" si="7"/>
        <v>0</v>
      </c>
    </row>
    <row r="186" spans="25:46" ht="16.2" customHeight="1" x14ac:dyDescent="0.3">
      <c r="Y186" s="73"/>
      <c r="Z186" s="73"/>
      <c r="AA186" s="73"/>
      <c r="AB186" s="73"/>
      <c r="AC186" s="73"/>
      <c r="AD186" s="73"/>
      <c r="AE186" s="73"/>
      <c r="AF186" s="73"/>
      <c r="AG186" s="73"/>
      <c r="AH186" s="73"/>
      <c r="AI186" s="69" t="b">
        <f t="shared" si="8"/>
        <v>0</v>
      </c>
      <c r="AJ186" s="74"/>
      <c r="AK186" s="74"/>
      <c r="AL186" s="74"/>
      <c r="AM186" s="74"/>
      <c r="AN186" s="74"/>
      <c r="AO186" s="74"/>
      <c r="AP186" s="74"/>
      <c r="AQ186" s="74"/>
      <c r="AR186" s="74"/>
      <c r="AS186" s="74"/>
      <c r="AT186" s="69" t="b">
        <f t="shared" si="7"/>
        <v>0</v>
      </c>
    </row>
    <row r="187" spans="25:46" ht="16.2" customHeight="1" x14ac:dyDescent="0.3">
      <c r="Y187" s="73"/>
      <c r="Z187" s="73"/>
      <c r="AA187" s="73"/>
      <c r="AB187" s="73"/>
      <c r="AC187" s="73"/>
      <c r="AD187" s="73"/>
      <c r="AE187" s="73"/>
      <c r="AF187" s="73"/>
      <c r="AG187" s="73"/>
      <c r="AH187" s="73"/>
      <c r="AI187" s="69" t="b">
        <f t="shared" si="8"/>
        <v>0</v>
      </c>
      <c r="AJ187" s="74"/>
      <c r="AK187" s="74"/>
      <c r="AL187" s="74"/>
      <c r="AM187" s="74"/>
      <c r="AN187" s="74"/>
      <c r="AO187" s="74"/>
      <c r="AP187" s="74"/>
      <c r="AQ187" s="74"/>
      <c r="AR187" s="74"/>
      <c r="AS187" s="74"/>
      <c r="AT187" s="69" t="b">
        <f t="shared" si="7"/>
        <v>0</v>
      </c>
    </row>
    <row r="188" spans="25:46" ht="16.2" customHeight="1" x14ac:dyDescent="0.3">
      <c r="Y188" s="73"/>
      <c r="Z188" s="73"/>
      <c r="AA188" s="73"/>
      <c r="AB188" s="73"/>
      <c r="AC188" s="73"/>
      <c r="AD188" s="73"/>
      <c r="AE188" s="73"/>
      <c r="AF188" s="73"/>
      <c r="AG188" s="73"/>
      <c r="AH188" s="73"/>
      <c r="AI188" s="69" t="b">
        <f t="shared" si="8"/>
        <v>0</v>
      </c>
      <c r="AJ188" s="74"/>
      <c r="AK188" s="74"/>
      <c r="AL188" s="74"/>
      <c r="AM188" s="74"/>
      <c r="AN188" s="74"/>
      <c r="AO188" s="74"/>
      <c r="AP188" s="74"/>
      <c r="AQ188" s="74"/>
      <c r="AR188" s="74"/>
      <c r="AS188" s="74"/>
      <c r="AT188" s="69" t="b">
        <f t="shared" si="7"/>
        <v>0</v>
      </c>
    </row>
    <row r="189" spans="25:46" ht="16.2" customHeight="1" x14ac:dyDescent="0.3">
      <c r="Y189" s="73"/>
      <c r="Z189" s="73"/>
      <c r="AA189" s="73"/>
      <c r="AB189" s="73"/>
      <c r="AC189" s="73"/>
      <c r="AD189" s="73"/>
      <c r="AE189" s="73"/>
      <c r="AF189" s="73"/>
      <c r="AG189" s="73"/>
      <c r="AH189" s="73"/>
      <c r="AI189" s="69" t="b">
        <f t="shared" si="8"/>
        <v>0</v>
      </c>
      <c r="AJ189" s="74"/>
      <c r="AK189" s="74"/>
      <c r="AL189" s="74"/>
      <c r="AM189" s="74"/>
      <c r="AN189" s="74"/>
      <c r="AO189" s="74"/>
      <c r="AP189" s="74"/>
      <c r="AQ189" s="74"/>
      <c r="AR189" s="74"/>
      <c r="AS189" s="74"/>
      <c r="AT189" s="69" t="b">
        <f t="shared" si="7"/>
        <v>0</v>
      </c>
    </row>
    <row r="190" spans="25:46" ht="16.2" customHeight="1" x14ac:dyDescent="0.3">
      <c r="Y190" s="73"/>
      <c r="Z190" s="73"/>
      <c r="AA190" s="73"/>
      <c r="AB190" s="73"/>
      <c r="AC190" s="73"/>
      <c r="AD190" s="73"/>
      <c r="AE190" s="73"/>
      <c r="AF190" s="73"/>
      <c r="AG190" s="73"/>
      <c r="AH190" s="73"/>
      <c r="AI190" s="69" t="b">
        <f t="shared" si="8"/>
        <v>0</v>
      </c>
      <c r="AJ190" s="74"/>
      <c r="AK190" s="74"/>
      <c r="AL190" s="74"/>
      <c r="AM190" s="74"/>
      <c r="AN190" s="74"/>
      <c r="AO190" s="74"/>
      <c r="AP190" s="74"/>
      <c r="AQ190" s="74"/>
      <c r="AR190" s="74"/>
      <c r="AS190" s="74"/>
      <c r="AT190" s="69" t="b">
        <f t="shared" si="7"/>
        <v>0</v>
      </c>
    </row>
    <row r="191" spans="25:46" ht="16.2" customHeight="1" x14ac:dyDescent="0.3">
      <c r="Y191" s="73"/>
      <c r="Z191" s="73"/>
      <c r="AA191" s="73"/>
      <c r="AB191" s="73"/>
      <c r="AC191" s="73"/>
      <c r="AD191" s="73"/>
      <c r="AE191" s="73"/>
      <c r="AF191" s="73"/>
      <c r="AG191" s="73"/>
      <c r="AH191" s="73"/>
      <c r="AI191" s="69" t="b">
        <f t="shared" si="8"/>
        <v>0</v>
      </c>
      <c r="AJ191" s="74"/>
      <c r="AK191" s="74"/>
      <c r="AL191" s="74"/>
      <c r="AM191" s="74"/>
      <c r="AN191" s="74"/>
      <c r="AO191" s="74"/>
      <c r="AP191" s="74"/>
      <c r="AQ191" s="74"/>
      <c r="AR191" s="74"/>
      <c r="AS191" s="74"/>
      <c r="AT191" s="69" t="b">
        <f t="shared" si="7"/>
        <v>0</v>
      </c>
    </row>
    <row r="192" spans="25:46" ht="16.2" customHeight="1" x14ac:dyDescent="0.3">
      <c r="Y192" s="73"/>
      <c r="Z192" s="73"/>
      <c r="AA192" s="73"/>
      <c r="AB192" s="73"/>
      <c r="AC192" s="73"/>
      <c r="AD192" s="73"/>
      <c r="AE192" s="73"/>
      <c r="AF192" s="73"/>
      <c r="AG192" s="73"/>
      <c r="AH192" s="73"/>
      <c r="AI192" s="69" t="b">
        <f t="shared" si="8"/>
        <v>0</v>
      </c>
      <c r="AJ192" s="74"/>
      <c r="AK192" s="74"/>
      <c r="AL192" s="74"/>
      <c r="AM192" s="74"/>
      <c r="AN192" s="74"/>
      <c r="AO192" s="74"/>
      <c r="AP192" s="74"/>
      <c r="AQ192" s="74"/>
      <c r="AR192" s="74"/>
      <c r="AS192" s="74"/>
      <c r="AT192" s="69" t="b">
        <f t="shared" si="7"/>
        <v>0</v>
      </c>
    </row>
    <row r="193" spans="25:46" ht="16.2" customHeight="1" x14ac:dyDescent="0.3">
      <c r="Y193" s="73"/>
      <c r="Z193" s="73"/>
      <c r="AA193" s="73"/>
      <c r="AB193" s="73"/>
      <c r="AC193" s="73"/>
      <c r="AD193" s="73"/>
      <c r="AE193" s="73"/>
      <c r="AF193" s="73"/>
      <c r="AG193" s="73"/>
      <c r="AH193" s="73"/>
      <c r="AI193" s="69" t="b">
        <f t="shared" si="8"/>
        <v>0</v>
      </c>
      <c r="AJ193" s="74"/>
      <c r="AK193" s="74"/>
      <c r="AL193" s="74"/>
      <c r="AM193" s="74"/>
      <c r="AN193" s="74"/>
      <c r="AO193" s="74"/>
      <c r="AP193" s="74"/>
      <c r="AQ193" s="74"/>
      <c r="AR193" s="74"/>
      <c r="AS193" s="74"/>
      <c r="AT193" s="69" t="b">
        <f t="shared" si="7"/>
        <v>0</v>
      </c>
    </row>
    <row r="194" spans="25:46" ht="16.2" customHeight="1" x14ac:dyDescent="0.3">
      <c r="Y194" s="73"/>
      <c r="Z194" s="73"/>
      <c r="AA194" s="73"/>
      <c r="AB194" s="73"/>
      <c r="AC194" s="73"/>
      <c r="AD194" s="73"/>
      <c r="AE194" s="73"/>
      <c r="AF194" s="73"/>
      <c r="AG194" s="73"/>
      <c r="AH194" s="73"/>
      <c r="AI194" s="69" t="b">
        <f t="shared" si="8"/>
        <v>0</v>
      </c>
      <c r="AJ194" s="74"/>
      <c r="AK194" s="74"/>
      <c r="AL194" s="74"/>
      <c r="AM194" s="74"/>
      <c r="AN194" s="74"/>
      <c r="AO194" s="74"/>
      <c r="AP194" s="74"/>
      <c r="AQ194" s="74"/>
      <c r="AR194" s="74"/>
      <c r="AS194" s="74"/>
      <c r="AT194" s="69" t="b">
        <f t="shared" si="7"/>
        <v>0</v>
      </c>
    </row>
    <row r="195" spans="25:46" ht="16.2" customHeight="1" x14ac:dyDescent="0.3">
      <c r="Y195" s="73"/>
      <c r="Z195" s="73"/>
      <c r="AA195" s="73"/>
      <c r="AB195" s="73"/>
      <c r="AC195" s="73"/>
      <c r="AD195" s="73"/>
      <c r="AE195" s="73"/>
      <c r="AF195" s="73"/>
      <c r="AG195" s="73"/>
      <c r="AH195" s="73"/>
      <c r="AI195" s="69" t="b">
        <f t="shared" ref="AI195:AI202" si="9">AND(Z195&gt;0,AC195&gt;0)</f>
        <v>0</v>
      </c>
      <c r="AJ195" s="74"/>
      <c r="AK195" s="74"/>
      <c r="AL195" s="74"/>
      <c r="AM195" s="74"/>
      <c r="AN195" s="74"/>
      <c r="AO195" s="74"/>
      <c r="AP195" s="74"/>
      <c r="AQ195" s="74"/>
      <c r="AR195" s="74"/>
      <c r="AS195" s="74"/>
      <c r="AT195" s="69" t="b">
        <f t="shared" ref="AT195:AT202" si="10">AND(AK195&gt;0,AN195&gt;0)</f>
        <v>0</v>
      </c>
    </row>
    <row r="196" spans="25:46" ht="16.2" customHeight="1" x14ac:dyDescent="0.3">
      <c r="Y196" s="73"/>
      <c r="Z196" s="73"/>
      <c r="AA196" s="73"/>
      <c r="AB196" s="73"/>
      <c r="AC196" s="73"/>
      <c r="AD196" s="73"/>
      <c r="AE196" s="73"/>
      <c r="AF196" s="73"/>
      <c r="AG196" s="73"/>
      <c r="AH196" s="73"/>
      <c r="AI196" s="69" t="b">
        <f t="shared" si="9"/>
        <v>0</v>
      </c>
      <c r="AJ196" s="74"/>
      <c r="AK196" s="74"/>
      <c r="AL196" s="74"/>
      <c r="AM196" s="74"/>
      <c r="AN196" s="74"/>
      <c r="AO196" s="74"/>
      <c r="AP196" s="74"/>
      <c r="AQ196" s="74"/>
      <c r="AR196" s="74"/>
      <c r="AS196" s="74"/>
      <c r="AT196" s="69" t="b">
        <f t="shared" si="10"/>
        <v>0</v>
      </c>
    </row>
    <row r="197" spans="25:46" ht="16.2" customHeight="1" x14ac:dyDescent="0.3">
      <c r="Y197" s="73"/>
      <c r="Z197" s="73"/>
      <c r="AA197" s="73"/>
      <c r="AB197" s="73"/>
      <c r="AC197" s="73"/>
      <c r="AD197" s="73"/>
      <c r="AE197" s="73"/>
      <c r="AF197" s="73"/>
      <c r="AG197" s="73"/>
      <c r="AH197" s="73"/>
      <c r="AI197" s="69" t="b">
        <f t="shared" si="9"/>
        <v>0</v>
      </c>
      <c r="AJ197" s="74"/>
      <c r="AK197" s="74"/>
      <c r="AL197" s="74"/>
      <c r="AM197" s="74"/>
      <c r="AN197" s="74"/>
      <c r="AO197" s="74"/>
      <c r="AP197" s="74"/>
      <c r="AQ197" s="74"/>
      <c r="AR197" s="74"/>
      <c r="AS197" s="74"/>
      <c r="AT197" s="69" t="b">
        <f t="shared" si="10"/>
        <v>0</v>
      </c>
    </row>
    <row r="198" spans="25:46" ht="16.2" customHeight="1" x14ac:dyDescent="0.3">
      <c r="Y198" s="73"/>
      <c r="Z198" s="73"/>
      <c r="AA198" s="73"/>
      <c r="AB198" s="73"/>
      <c r="AC198" s="73"/>
      <c r="AD198" s="73"/>
      <c r="AE198" s="73"/>
      <c r="AF198" s="73"/>
      <c r="AG198" s="73"/>
      <c r="AH198" s="73"/>
      <c r="AI198" s="69" t="b">
        <f t="shared" si="9"/>
        <v>0</v>
      </c>
      <c r="AJ198" s="74"/>
      <c r="AK198" s="74"/>
      <c r="AL198" s="74"/>
      <c r="AM198" s="74"/>
      <c r="AN198" s="74"/>
      <c r="AO198" s="74"/>
      <c r="AP198" s="74"/>
      <c r="AQ198" s="74"/>
      <c r="AR198" s="74"/>
      <c r="AS198" s="74"/>
      <c r="AT198" s="69" t="b">
        <f t="shared" si="10"/>
        <v>0</v>
      </c>
    </row>
    <row r="199" spans="25:46" ht="16.2" customHeight="1" x14ac:dyDescent="0.3">
      <c r="Y199" s="73"/>
      <c r="Z199" s="73"/>
      <c r="AA199" s="73"/>
      <c r="AB199" s="73"/>
      <c r="AC199" s="73"/>
      <c r="AD199" s="73"/>
      <c r="AE199" s="73"/>
      <c r="AF199" s="73"/>
      <c r="AG199" s="73"/>
      <c r="AH199" s="73"/>
      <c r="AI199" s="69" t="b">
        <f t="shared" si="9"/>
        <v>0</v>
      </c>
      <c r="AJ199" s="74"/>
      <c r="AK199" s="74"/>
      <c r="AL199" s="74"/>
      <c r="AM199" s="74"/>
      <c r="AN199" s="74"/>
      <c r="AO199" s="74"/>
      <c r="AP199" s="74"/>
      <c r="AQ199" s="74"/>
      <c r="AR199" s="74"/>
      <c r="AS199" s="74"/>
      <c r="AT199" s="69" t="b">
        <f t="shared" si="10"/>
        <v>0</v>
      </c>
    </row>
    <row r="200" spans="25:46" ht="16.2" customHeight="1" x14ac:dyDescent="0.3">
      <c r="Y200" s="73"/>
      <c r="Z200" s="73"/>
      <c r="AA200" s="73"/>
      <c r="AB200" s="73"/>
      <c r="AC200" s="73"/>
      <c r="AD200" s="73"/>
      <c r="AE200" s="73"/>
      <c r="AF200" s="73"/>
      <c r="AG200" s="73"/>
      <c r="AH200" s="73"/>
      <c r="AI200" s="69" t="b">
        <f t="shared" si="9"/>
        <v>0</v>
      </c>
      <c r="AJ200" s="74"/>
      <c r="AK200" s="74"/>
      <c r="AL200" s="74"/>
      <c r="AM200" s="74"/>
      <c r="AN200" s="74"/>
      <c r="AO200" s="74"/>
      <c r="AP200" s="74"/>
      <c r="AQ200" s="74"/>
      <c r="AR200" s="74"/>
      <c r="AS200" s="74"/>
      <c r="AT200" s="69" t="b">
        <f t="shared" si="10"/>
        <v>0</v>
      </c>
    </row>
    <row r="201" spans="25:46" ht="16.2" customHeight="1" x14ac:dyDescent="0.3">
      <c r="Y201" s="73"/>
      <c r="Z201" s="73"/>
      <c r="AA201" s="73"/>
      <c r="AB201" s="73"/>
      <c r="AC201" s="73"/>
      <c r="AD201" s="73"/>
      <c r="AE201" s="73"/>
      <c r="AF201" s="73"/>
      <c r="AG201" s="73"/>
      <c r="AH201" s="73"/>
      <c r="AI201" s="69" t="b">
        <f t="shared" si="9"/>
        <v>0</v>
      </c>
      <c r="AJ201" s="74"/>
      <c r="AK201" s="74"/>
      <c r="AL201" s="74"/>
      <c r="AM201" s="74"/>
      <c r="AN201" s="74"/>
      <c r="AO201" s="74"/>
      <c r="AP201" s="74"/>
      <c r="AQ201" s="74"/>
      <c r="AR201" s="74"/>
      <c r="AS201" s="74"/>
      <c r="AT201" s="69" t="b">
        <f t="shared" si="10"/>
        <v>0</v>
      </c>
    </row>
    <row r="202" spans="25:46" ht="16.2" customHeight="1" x14ac:dyDescent="0.3">
      <c r="Y202" s="73"/>
      <c r="Z202" s="73"/>
      <c r="AA202" s="73"/>
      <c r="AB202" s="73"/>
      <c r="AC202" s="73"/>
      <c r="AD202" s="73"/>
      <c r="AE202" s="73"/>
      <c r="AF202" s="73"/>
      <c r="AG202" s="73"/>
      <c r="AH202" s="73"/>
      <c r="AI202" s="69" t="b">
        <f t="shared" si="9"/>
        <v>0</v>
      </c>
      <c r="AJ202" s="74"/>
      <c r="AK202" s="74"/>
      <c r="AL202" s="74"/>
      <c r="AM202" s="74"/>
      <c r="AN202" s="74"/>
      <c r="AO202" s="74"/>
      <c r="AP202" s="74"/>
      <c r="AQ202" s="74"/>
      <c r="AR202" s="74"/>
      <c r="AS202" s="74"/>
      <c r="AT202" s="69" t="b">
        <f t="shared" si="10"/>
        <v>0</v>
      </c>
    </row>
  </sheetData>
  <dataConsolidate/>
  <mergeCells count="23">
    <mergeCell ref="B79:C79"/>
    <mergeCell ref="B42:D42"/>
    <mergeCell ref="H29:J29"/>
    <mergeCell ref="M10:S10"/>
    <mergeCell ref="R17:T17"/>
    <mergeCell ref="O17:Q17"/>
    <mergeCell ref="L17:M17"/>
    <mergeCell ref="J17:K17"/>
    <mergeCell ref="H17:I17"/>
    <mergeCell ref="H24:J24"/>
    <mergeCell ref="H36:J36"/>
    <mergeCell ref="H6:K6"/>
    <mergeCell ref="H7:K7"/>
    <mergeCell ref="M5:S6"/>
    <mergeCell ref="M3:S4"/>
    <mergeCell ref="M7:S9"/>
    <mergeCell ref="H9:K9"/>
    <mergeCell ref="C2:D2"/>
    <mergeCell ref="B15:B22"/>
    <mergeCell ref="C20:C22"/>
    <mergeCell ref="C16:C19"/>
    <mergeCell ref="D15:F15"/>
    <mergeCell ref="B4:B13"/>
  </mergeCells>
  <conditionalFormatting sqref="J25:J27">
    <cfRule type="cellIs" dxfId="63" priority="1" operator="equal">
      <formula>"NG"</formula>
    </cfRule>
  </conditionalFormatting>
  <dataValidations count="6">
    <dataValidation type="list" allowBlank="1" showInputMessage="1" showErrorMessage="1" sqref="D45" xr:uid="{330C8CCF-0A6C-4A87-A760-979B443331F9}">
      <formula1>"Adfreeze Stress, Expansive Soils"</formula1>
    </dataValidation>
    <dataValidation type="list" allowBlank="1" showInputMessage="1" showErrorMessage="1" sqref="F7" xr:uid="{279E1617-883F-4091-AADB-F78BC62B1781}">
      <formula1>Settings.Galv</formula1>
    </dataValidation>
    <dataValidation type="list" allowBlank="1" showInputMessage="1" showErrorMessage="1" sqref="F8" xr:uid="{FFF53F07-09D1-45A1-89F2-96E32540BE6A}">
      <formula1>Settings.Reveal</formula1>
    </dataValidation>
    <dataValidation type="list" allowBlank="1" showInputMessage="1" sqref="F4" xr:uid="{3F7AD8BD-F81D-492D-BF81-6B3FC59766A7}">
      <formula1>Settings.Shapes</formula1>
    </dataValidation>
    <dataValidation type="list" allowBlank="1" showInputMessage="1" showErrorMessage="1" sqref="D43" xr:uid="{DC4E7121-6021-411A-8A6A-76E46658682F}">
      <formula1>"S1"</formula1>
    </dataValidation>
    <dataValidation type="list" allowBlank="1" showInputMessage="1" showErrorMessage="1" sqref="D52" xr:uid="{9CD46030-7022-48ED-87FE-2A5D45A498CD}">
      <formula1>"G1"</formula1>
    </dataValidation>
  </dataValidations>
  <pageMargins left="0.25" right="0.25" top="0.75" bottom="0.75" header="0.3" footer="0.3"/>
  <pageSetup scale="46" orientation="landscape" r:id="rId1"/>
  <headerFooter>
    <oddHeader>&amp;L&amp;G&amp;C&amp;"-,Bold"Project:&amp;"-,Regular" Pepper - Galt Solar Project
&amp;"-,Bold"Description:&amp;"-,Regular" Pile Foundation Design Checks&amp;RComputed By: SHR 
Date:&amp;"-,Bold" &amp;"-,Regular"&amp;D
Checked By:&amp;"-,Bold" &amp;"-,Regular"MJF
Date: 11/1/23</oddHeader>
    <oddFooter>&amp;CPage &amp;P of &amp;N</oddFooter>
  </headerFooter>
  <rowBreaks count="1" manualBreakCount="1">
    <brk id="65" max="16383" man="1"/>
  </rowBreaks>
  <colBreaks count="1" manualBreakCount="1">
    <brk id="24" max="1048575" man="1"/>
  </colBreaks>
  <drawing r:id="rId2"/>
  <legacyDrawing r:id="rId3"/>
  <controls>
    <mc:AlternateContent xmlns:mc="http://schemas.openxmlformats.org/markup-compatibility/2006">
      <mc:Choice Requires="x14">
        <control shapeId="1031" r:id="rId4" name="launchHomePage">
          <controlPr defaultSize="0" autoLine="0" autoPict="0" r:id="rId5">
            <anchor moveWithCells="1">
              <from>
                <xdr:col>5</xdr:col>
                <xdr:colOff>30480</xdr:colOff>
                <xdr:row>0</xdr:row>
                <xdr:rowOff>99060</xdr:rowOff>
              </from>
              <to>
                <xdr:col>6</xdr:col>
                <xdr:colOff>45720</xdr:colOff>
                <xdr:row>2</xdr:row>
                <xdr:rowOff>68580</xdr:rowOff>
              </to>
            </anchor>
          </controlPr>
        </control>
      </mc:Choice>
      <mc:Fallback>
        <control shapeId="1031" r:id="rId4" name="launchHomePag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A3BE6AB4-953D-43B5-A0D6-542AB9165FD1}">
          <x14:formula1>
            <xm:f>TOPLs!$A$5:$A$34</xm:f>
          </x14:formula1>
          <xm:sqref>D15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3AE2E-3D20-4BBE-B232-A662CBBF1D60}">
  <sheetPr codeName="SoilZones">
    <tabColor rgb="FF305033"/>
  </sheetPr>
  <dimension ref="A1:T17"/>
  <sheetViews>
    <sheetView topLeftCell="D1" workbookViewId="0">
      <selection activeCell="S6" sqref="S6"/>
    </sheetView>
  </sheetViews>
  <sheetFormatPr defaultColWidth="9.109375" defaultRowHeight="13.8" x14ac:dyDescent="0.3"/>
  <cols>
    <col min="1" max="1" width="12.5546875" style="150" customWidth="1"/>
    <col min="2" max="6" width="12" style="150" customWidth="1"/>
    <col min="7" max="7" width="23" style="150" customWidth="1"/>
    <col min="8" max="12" width="10.6640625" style="150" customWidth="1"/>
    <col min="13" max="14" width="18.6640625" style="150" customWidth="1"/>
    <col min="15" max="15" width="29" style="150" bestFit="1" customWidth="1"/>
    <col min="16" max="17" width="18.6640625" style="150" customWidth="1"/>
    <col min="18" max="18" width="23.33203125" style="150" bestFit="1" customWidth="1"/>
    <col min="19" max="19" width="11.33203125" style="150" bestFit="1" customWidth="1"/>
    <col min="20" max="20" width="11.109375" style="150" bestFit="1" customWidth="1"/>
    <col min="21" max="16384" width="9.109375" style="150"/>
  </cols>
  <sheetData>
    <row r="1" spans="1:20" x14ac:dyDescent="0.3">
      <c r="A1" s="85" t="s">
        <v>968</v>
      </c>
      <c r="B1" s="88">
        <v>1</v>
      </c>
      <c r="N1" s="85" t="s">
        <v>1201</v>
      </c>
      <c r="O1" s="85" t="s">
        <v>1202</v>
      </c>
      <c r="P1" s="85" t="s">
        <v>1207</v>
      </c>
      <c r="Q1" s="85" t="s">
        <v>1208</v>
      </c>
      <c r="R1" s="85" t="s">
        <v>1203</v>
      </c>
      <c r="S1" s="85" t="s">
        <v>1204</v>
      </c>
      <c r="T1" s="85" t="s">
        <v>1205</v>
      </c>
    </row>
    <row r="2" spans="1:20" x14ac:dyDescent="0.3">
      <c r="A2" s="87" t="s">
        <v>969</v>
      </c>
      <c r="B2" s="94" t="s">
        <v>970</v>
      </c>
      <c r="N2" s="88" t="s">
        <v>351</v>
      </c>
      <c r="O2" s="88">
        <v>0</v>
      </c>
      <c r="P2" s="117">
        <f t="shared" ref="P2:P11" si="0">+Pile.Reveal</f>
        <v>7.125</v>
      </c>
      <c r="Q2" s="117">
        <f t="shared" ref="Q2:Q11" si="1">Soil.Scour/12</f>
        <v>1</v>
      </c>
      <c r="R2" s="117">
        <f t="shared" ref="R2:R7" si="2">+O2+P2+Q2</f>
        <v>8.125</v>
      </c>
      <c r="S2" s="88">
        <v>1</v>
      </c>
      <c r="T2" s="117">
        <v>1</v>
      </c>
    </row>
    <row r="3" spans="1:20" x14ac:dyDescent="0.3">
      <c r="A3" s="87" t="s">
        <v>628</v>
      </c>
      <c r="B3" s="151">
        <v>1</v>
      </c>
      <c r="N3" s="88" t="s">
        <v>351</v>
      </c>
      <c r="O3" s="88">
        <v>4</v>
      </c>
      <c r="P3" s="117">
        <f t="shared" si="0"/>
        <v>7.125</v>
      </c>
      <c r="Q3" s="117">
        <f t="shared" si="1"/>
        <v>1</v>
      </c>
      <c r="R3" s="117">
        <f t="shared" si="2"/>
        <v>12.125</v>
      </c>
      <c r="S3" s="88">
        <v>1</v>
      </c>
      <c r="T3" s="117">
        <v>1</v>
      </c>
    </row>
    <row r="4" spans="1:20" x14ac:dyDescent="0.3">
      <c r="N4" s="88" t="s">
        <v>351</v>
      </c>
      <c r="O4" s="88">
        <v>5</v>
      </c>
      <c r="P4" s="117">
        <f t="shared" si="0"/>
        <v>7.125</v>
      </c>
      <c r="Q4" s="117">
        <f t="shared" si="1"/>
        <v>1</v>
      </c>
      <c r="R4" s="117">
        <f t="shared" si="2"/>
        <v>13.125</v>
      </c>
      <c r="S4" s="88">
        <v>1</v>
      </c>
      <c r="T4" s="117">
        <v>1</v>
      </c>
    </row>
    <row r="5" spans="1:20" x14ac:dyDescent="0.3">
      <c r="A5" s="85" t="s">
        <v>966</v>
      </c>
      <c r="B5" s="88">
        <v>1</v>
      </c>
      <c r="N5" s="88" t="s">
        <v>351</v>
      </c>
      <c r="O5" s="88">
        <v>25</v>
      </c>
      <c r="P5" s="117">
        <f t="shared" si="0"/>
        <v>7.125</v>
      </c>
      <c r="Q5" s="117">
        <f t="shared" si="1"/>
        <v>1</v>
      </c>
      <c r="R5" s="117">
        <f t="shared" si="2"/>
        <v>33.125</v>
      </c>
      <c r="S5" s="88">
        <v>1</v>
      </c>
      <c r="T5" s="117">
        <v>1</v>
      </c>
    </row>
    <row r="6" spans="1:20" x14ac:dyDescent="0.3">
      <c r="A6" s="152" t="s">
        <v>999</v>
      </c>
      <c r="B6" s="153" t="s">
        <v>967</v>
      </c>
      <c r="C6" s="152" t="s">
        <v>1194</v>
      </c>
      <c r="D6" s="154">
        <v>50</v>
      </c>
      <c r="E6" s="391" t="s">
        <v>58</v>
      </c>
      <c r="N6" s="88"/>
      <c r="O6" s="88"/>
      <c r="P6" s="117">
        <f t="shared" si="0"/>
        <v>7.125</v>
      </c>
      <c r="Q6" s="117">
        <f t="shared" si="1"/>
        <v>1</v>
      </c>
      <c r="R6" s="117">
        <f t="shared" si="2"/>
        <v>8.125</v>
      </c>
      <c r="S6" s="88"/>
      <c r="T6" s="117">
        <v>1</v>
      </c>
    </row>
    <row r="7" spans="1:20" s="156" customFormat="1" ht="69" x14ac:dyDescent="0.3">
      <c r="A7" s="87" t="s">
        <v>36</v>
      </c>
      <c r="B7" s="155" t="s">
        <v>1197</v>
      </c>
      <c r="C7" s="155" t="s">
        <v>1196</v>
      </c>
      <c r="D7" s="155" t="s">
        <v>1161</v>
      </c>
      <c r="E7" s="155" t="s">
        <v>1198</v>
      </c>
      <c r="F7" s="155" t="s">
        <v>1195</v>
      </c>
      <c r="G7" s="155" t="s">
        <v>620</v>
      </c>
      <c r="H7" s="155" t="s">
        <v>1162</v>
      </c>
      <c r="I7" s="155" t="s">
        <v>1163</v>
      </c>
      <c r="J7" s="155" t="s">
        <v>1199</v>
      </c>
      <c r="K7" s="155" t="s">
        <v>625</v>
      </c>
      <c r="L7" s="155" t="s">
        <v>626</v>
      </c>
      <c r="N7" s="88"/>
      <c r="O7" s="88"/>
      <c r="P7" s="117">
        <f t="shared" si="0"/>
        <v>7.125</v>
      </c>
      <c r="Q7" s="117">
        <f t="shared" si="1"/>
        <v>1</v>
      </c>
      <c r="R7" s="117">
        <f t="shared" si="2"/>
        <v>8.125</v>
      </c>
      <c r="S7" s="88"/>
      <c r="T7" s="117">
        <v>1</v>
      </c>
    </row>
    <row r="8" spans="1:20" x14ac:dyDescent="0.3">
      <c r="A8" s="157">
        <v>1</v>
      </c>
      <c r="B8" s="158">
        <v>0</v>
      </c>
      <c r="C8" s="158">
        <v>4</v>
      </c>
      <c r="D8" s="158">
        <v>0</v>
      </c>
      <c r="E8" s="158">
        <v>0</v>
      </c>
      <c r="F8" s="158">
        <v>0</v>
      </c>
      <c r="G8" s="132" t="s">
        <v>1210</v>
      </c>
      <c r="H8" s="158">
        <v>120</v>
      </c>
      <c r="I8" s="158">
        <v>2100</v>
      </c>
      <c r="J8" s="158">
        <v>0</v>
      </c>
      <c r="K8" s="158">
        <v>0</v>
      </c>
      <c r="L8" s="158">
        <v>0</v>
      </c>
      <c r="N8" s="88"/>
      <c r="O8" s="88"/>
      <c r="P8" s="117">
        <f t="shared" si="0"/>
        <v>7.125</v>
      </c>
      <c r="Q8" s="117">
        <f t="shared" si="1"/>
        <v>1</v>
      </c>
      <c r="R8" s="117">
        <f>+O8+P8+Q8</f>
        <v>8.125</v>
      </c>
      <c r="S8" s="88"/>
      <c r="T8" s="117">
        <v>1</v>
      </c>
    </row>
    <row r="9" spans="1:20" x14ac:dyDescent="0.3">
      <c r="A9" s="157">
        <v>2</v>
      </c>
      <c r="B9" s="158">
        <v>4</v>
      </c>
      <c r="C9" s="158">
        <v>5</v>
      </c>
      <c r="D9" s="158">
        <v>3500</v>
      </c>
      <c r="E9" s="158">
        <v>650</v>
      </c>
      <c r="F9" s="158">
        <v>650</v>
      </c>
      <c r="G9" s="132" t="s">
        <v>1210</v>
      </c>
      <c r="H9" s="158">
        <v>124</v>
      </c>
      <c r="I9" s="158">
        <v>2900</v>
      </c>
      <c r="J9" s="158">
        <v>0</v>
      </c>
      <c r="K9" s="158">
        <v>0</v>
      </c>
      <c r="L9" s="158">
        <v>0</v>
      </c>
      <c r="N9" s="88"/>
      <c r="O9" s="88"/>
      <c r="P9" s="117">
        <f t="shared" si="0"/>
        <v>7.125</v>
      </c>
      <c r="Q9" s="117">
        <f t="shared" si="1"/>
        <v>1</v>
      </c>
      <c r="R9" s="117">
        <f>+O9+P9+Q9</f>
        <v>8.125</v>
      </c>
      <c r="S9" s="88"/>
      <c r="T9" s="117">
        <v>1</v>
      </c>
    </row>
    <row r="10" spans="1:20" x14ac:dyDescent="0.3">
      <c r="A10" s="157">
        <v>3</v>
      </c>
      <c r="B10" s="158">
        <v>5</v>
      </c>
      <c r="C10" s="158">
        <v>25</v>
      </c>
      <c r="D10" s="158">
        <v>6500</v>
      </c>
      <c r="E10" s="158">
        <v>750</v>
      </c>
      <c r="F10" s="158">
        <v>750</v>
      </c>
      <c r="G10" s="132" t="s">
        <v>1210</v>
      </c>
      <c r="H10" s="158">
        <v>128</v>
      </c>
      <c r="I10" s="158">
        <v>3100</v>
      </c>
      <c r="J10" s="158">
        <v>0</v>
      </c>
      <c r="K10" s="158">
        <v>0</v>
      </c>
      <c r="L10" s="158">
        <v>0</v>
      </c>
      <c r="N10" s="88"/>
      <c r="O10" s="88"/>
      <c r="P10" s="117">
        <f t="shared" si="0"/>
        <v>7.125</v>
      </c>
      <c r="Q10" s="117">
        <f t="shared" si="1"/>
        <v>1</v>
      </c>
      <c r="R10" s="117">
        <f>+O10+P10+Q10</f>
        <v>8.125</v>
      </c>
      <c r="S10" s="88"/>
      <c r="T10" s="117">
        <v>1</v>
      </c>
    </row>
    <row r="11" spans="1:20" x14ac:dyDescent="0.3">
      <c r="A11" s="157">
        <v>4</v>
      </c>
      <c r="B11" s="158"/>
      <c r="C11" s="158"/>
      <c r="D11" s="158"/>
      <c r="E11" s="158"/>
      <c r="F11" s="158"/>
      <c r="G11" s="132"/>
      <c r="H11" s="158"/>
      <c r="I11" s="158"/>
      <c r="J11" s="158"/>
      <c r="K11" s="158"/>
      <c r="L11" s="158"/>
      <c r="N11" s="88"/>
      <c r="O11" s="88"/>
      <c r="P11" s="117">
        <f t="shared" si="0"/>
        <v>7.125</v>
      </c>
      <c r="Q11" s="117">
        <f t="shared" si="1"/>
        <v>1</v>
      </c>
      <c r="R11" s="117">
        <f>+O11+P11+Q11</f>
        <v>8.125</v>
      </c>
      <c r="S11" s="88"/>
      <c r="T11" s="117">
        <v>1</v>
      </c>
    </row>
    <row r="12" spans="1:20" x14ac:dyDescent="0.3">
      <c r="A12" s="157">
        <v>5</v>
      </c>
      <c r="B12" s="158"/>
      <c r="C12" s="158"/>
      <c r="D12" s="158"/>
      <c r="E12" s="158"/>
      <c r="F12" s="158"/>
      <c r="G12" s="132"/>
      <c r="H12" s="158"/>
      <c r="I12" s="158"/>
      <c r="J12" s="158"/>
      <c r="K12" s="158"/>
      <c r="L12" s="158"/>
    </row>
    <row r="13" spans="1:20" x14ac:dyDescent="0.3">
      <c r="A13" s="157">
        <v>6</v>
      </c>
      <c r="B13" s="158"/>
      <c r="C13" s="158"/>
      <c r="D13" s="158"/>
      <c r="E13" s="158"/>
      <c r="F13" s="158"/>
      <c r="G13" s="132"/>
      <c r="H13" s="158"/>
      <c r="I13" s="158"/>
      <c r="J13" s="158"/>
      <c r="K13" s="158"/>
      <c r="L13" s="158"/>
    </row>
    <row r="14" spans="1:20" x14ac:dyDescent="0.3">
      <c r="A14" s="157">
        <v>7</v>
      </c>
      <c r="B14" s="158"/>
      <c r="C14" s="158"/>
      <c r="D14" s="158"/>
      <c r="E14" s="158"/>
      <c r="F14" s="158"/>
      <c r="G14" s="132"/>
      <c r="H14" s="158"/>
      <c r="I14" s="158"/>
      <c r="J14" s="158"/>
      <c r="K14" s="158"/>
      <c r="L14" s="158"/>
    </row>
    <row r="15" spans="1:20" x14ac:dyDescent="0.3">
      <c r="A15" s="157">
        <v>8</v>
      </c>
      <c r="B15" s="158"/>
      <c r="C15" s="158"/>
      <c r="D15" s="158"/>
      <c r="E15" s="158"/>
      <c r="F15" s="158"/>
      <c r="G15" s="132"/>
      <c r="H15" s="158"/>
      <c r="I15" s="158"/>
      <c r="J15" s="158"/>
      <c r="K15" s="158"/>
      <c r="L15" s="158"/>
    </row>
    <row r="16" spans="1:20" x14ac:dyDescent="0.3">
      <c r="A16" s="157">
        <v>9</v>
      </c>
      <c r="B16" s="158"/>
      <c r="C16" s="158"/>
      <c r="D16" s="158"/>
      <c r="E16" s="158"/>
      <c r="F16" s="158"/>
      <c r="G16" s="132"/>
      <c r="H16" s="158"/>
      <c r="I16" s="158"/>
      <c r="J16" s="158"/>
      <c r="K16" s="158"/>
      <c r="L16" s="158"/>
    </row>
    <row r="17" spans="1:12" x14ac:dyDescent="0.3">
      <c r="A17" s="157">
        <v>10</v>
      </c>
      <c r="B17" s="158"/>
      <c r="C17" s="158"/>
      <c r="D17" s="158"/>
      <c r="E17" s="158"/>
      <c r="F17" s="158"/>
      <c r="G17" s="132"/>
      <c r="H17" s="158"/>
      <c r="I17" s="158"/>
      <c r="J17" s="158"/>
      <c r="K17" s="158"/>
      <c r="L17" s="158"/>
    </row>
  </sheetData>
  <phoneticPr fontId="13" type="noConversion"/>
  <dataValidations count="2">
    <dataValidation type="list" allowBlank="1" showInputMessage="1" showErrorMessage="1" sqref="G8:G17" xr:uid="{1A631546-AE8A-40A2-AF2E-2CB56F982B55}">
      <formula1>"Soft Clay,Stiff Clay with Free Water,Stiff Clay w/o Free Water,Sand,Strong Rock, Silt"</formula1>
    </dataValidation>
    <dataValidation type="whole" operator="greaterThan" allowBlank="1" showInputMessage="1" showErrorMessage="1" sqref="B1 B5" xr:uid="{A9520B96-0FF0-47BD-A4EE-B1FAF20B4CF8}">
      <formula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88168-733E-4F0E-9D0B-3054077F988A}">
  <sheetPr codeName="TOPLs">
    <tabColor rgb="FF305033"/>
  </sheetPr>
  <dimension ref="A1:I34"/>
  <sheetViews>
    <sheetView workbookViewId="0">
      <selection activeCell="A20" sqref="A20:I22"/>
    </sheetView>
  </sheetViews>
  <sheetFormatPr defaultColWidth="9.109375" defaultRowHeight="13.8" x14ac:dyDescent="0.3"/>
  <cols>
    <col min="1" max="1" width="52.33203125" style="69" customWidth="1"/>
    <col min="2" max="2" width="16.6640625" style="69" customWidth="1"/>
    <col min="3" max="9" width="16.6640625" style="150" customWidth="1"/>
    <col min="10" max="16384" width="9.109375" style="69"/>
  </cols>
  <sheetData>
    <row r="1" spans="1:9" x14ac:dyDescent="0.3">
      <c r="A1" s="125" t="s">
        <v>1020</v>
      </c>
      <c r="B1" s="91" t="s">
        <v>1022</v>
      </c>
      <c r="C1" s="274" t="b">
        <v>1</v>
      </c>
      <c r="D1" s="91" t="s">
        <v>1023</v>
      </c>
      <c r="E1" s="371" t="s">
        <v>1193</v>
      </c>
      <c r="F1" s="274"/>
      <c r="G1" s="274"/>
      <c r="H1" s="274"/>
      <c r="I1" s="274"/>
    </row>
    <row r="3" spans="1:9" x14ac:dyDescent="0.3">
      <c r="A3" s="426" t="s">
        <v>627</v>
      </c>
      <c r="B3" s="424" t="s">
        <v>1021</v>
      </c>
      <c r="C3" s="396" t="s">
        <v>1011</v>
      </c>
      <c r="D3" s="396"/>
      <c r="E3" s="396"/>
      <c r="F3" s="396"/>
      <c r="G3" s="415" t="s">
        <v>1012</v>
      </c>
      <c r="H3" s="396"/>
      <c r="I3" s="396"/>
    </row>
    <row r="4" spans="1:9" ht="27.6" x14ac:dyDescent="0.3">
      <c r="A4" s="427"/>
      <c r="B4" s="425"/>
      <c r="C4" s="128" t="s">
        <v>1014</v>
      </c>
      <c r="D4" s="128" t="s">
        <v>1015</v>
      </c>
      <c r="E4" s="128" t="s">
        <v>1016</v>
      </c>
      <c r="F4" s="128" t="s">
        <v>1017</v>
      </c>
      <c r="G4" s="294" t="s">
        <v>1019</v>
      </c>
      <c r="H4" s="128" t="s">
        <v>1013</v>
      </c>
      <c r="I4" s="128" t="s">
        <v>1018</v>
      </c>
    </row>
    <row r="5" spans="1:9" x14ac:dyDescent="0.3">
      <c r="A5" s="295" t="s">
        <v>1235</v>
      </c>
      <c r="B5" s="275">
        <v>5.125</v>
      </c>
      <c r="C5" s="296">
        <v>1865.9999999999998</v>
      </c>
      <c r="D5" s="297">
        <v>1609.5000000000002</v>
      </c>
      <c r="E5" s="297">
        <v>89.999999999999972</v>
      </c>
      <c r="F5" s="298">
        <v>16785.000000000007</v>
      </c>
      <c r="G5" s="297">
        <v>373.98</v>
      </c>
      <c r="H5" s="297">
        <v>87.716999999999999</v>
      </c>
      <c r="I5" s="298">
        <v>461.697</v>
      </c>
    </row>
    <row r="6" spans="1:9" x14ac:dyDescent="0.3">
      <c r="A6" s="299" t="s">
        <v>1236</v>
      </c>
      <c r="B6" s="275">
        <v>5.125</v>
      </c>
      <c r="C6" s="275">
        <v>2622</v>
      </c>
      <c r="D6" s="274">
        <v>1392</v>
      </c>
      <c r="E6" s="274">
        <v>335.99999999999994</v>
      </c>
      <c r="F6" s="276">
        <v>22707.000000000007</v>
      </c>
      <c r="G6" s="274">
        <v>322.39</v>
      </c>
      <c r="H6" s="274">
        <v>87.716999999999999</v>
      </c>
      <c r="I6" s="276">
        <v>410.10699999999997</v>
      </c>
    </row>
    <row r="7" spans="1:9" x14ac:dyDescent="0.3">
      <c r="A7" s="299" t="s">
        <v>1237</v>
      </c>
      <c r="B7" s="275">
        <v>5.125</v>
      </c>
      <c r="C7" s="275">
        <v>1440</v>
      </c>
      <c r="D7" s="274">
        <v>1546.5</v>
      </c>
      <c r="E7" s="274">
        <v>5.9999999999999503</v>
      </c>
      <c r="F7" s="276">
        <v>12311.999999999998</v>
      </c>
      <c r="G7" s="274">
        <v>321.73</v>
      </c>
      <c r="H7" s="274">
        <v>87.716999999999999</v>
      </c>
      <c r="I7" s="276">
        <v>409.447</v>
      </c>
    </row>
    <row r="8" spans="1:9" x14ac:dyDescent="0.3">
      <c r="A8" s="299" t="s">
        <v>1238</v>
      </c>
      <c r="B8" s="275">
        <v>5.625</v>
      </c>
      <c r="C8" s="275">
        <v>1835.9999999999998</v>
      </c>
      <c r="D8" s="274">
        <v>1605.9999999999998</v>
      </c>
      <c r="E8" s="274">
        <v>54.000000000000107</v>
      </c>
      <c r="F8" s="276">
        <v>16326.000000000022</v>
      </c>
      <c r="G8" s="274">
        <v>373.98</v>
      </c>
      <c r="H8" s="274">
        <v>87.716999999999999</v>
      </c>
      <c r="I8" s="276">
        <v>461.697</v>
      </c>
    </row>
    <row r="9" spans="1:9" x14ac:dyDescent="0.3">
      <c r="A9" s="299" t="s">
        <v>1239</v>
      </c>
      <c r="B9" s="275">
        <v>5.625</v>
      </c>
      <c r="C9" s="275">
        <v>2694</v>
      </c>
      <c r="D9" s="274">
        <v>1415.5000000000002</v>
      </c>
      <c r="E9" s="274">
        <v>354</v>
      </c>
      <c r="F9" s="276">
        <v>23355.000000000011</v>
      </c>
      <c r="G9" s="274">
        <v>322.39</v>
      </c>
      <c r="H9" s="274">
        <v>87.716999999999999</v>
      </c>
      <c r="I9" s="276">
        <v>410.10699999999997</v>
      </c>
    </row>
    <row r="10" spans="1:9" x14ac:dyDescent="0.3">
      <c r="A10" s="299" t="s">
        <v>1240</v>
      </c>
      <c r="B10" s="275">
        <v>5.625</v>
      </c>
      <c r="C10" s="275">
        <v>1434</v>
      </c>
      <c r="D10" s="274">
        <v>1547.4999999999998</v>
      </c>
      <c r="E10" s="274">
        <v>0</v>
      </c>
      <c r="F10" s="276">
        <v>11996.999999999996</v>
      </c>
      <c r="G10" s="274">
        <v>321.73</v>
      </c>
      <c r="H10" s="274">
        <v>87.716999999999999</v>
      </c>
      <c r="I10" s="276">
        <v>409.447</v>
      </c>
    </row>
    <row r="11" spans="1:9" x14ac:dyDescent="0.3">
      <c r="A11" s="299" t="s">
        <v>1241</v>
      </c>
      <c r="B11" s="275">
        <v>6.125</v>
      </c>
      <c r="C11" s="275">
        <v>1805.9999999999998</v>
      </c>
      <c r="D11" s="274">
        <v>1592.5</v>
      </c>
      <c r="E11" s="274">
        <v>378</v>
      </c>
      <c r="F11" s="276">
        <v>15506.999999999991</v>
      </c>
      <c r="G11" s="274">
        <v>373.98</v>
      </c>
      <c r="H11" s="274">
        <v>87.716999999999999</v>
      </c>
      <c r="I11" s="276">
        <v>461.697</v>
      </c>
    </row>
    <row r="12" spans="1:9" x14ac:dyDescent="0.3">
      <c r="A12" s="299" t="s">
        <v>1242</v>
      </c>
      <c r="B12" s="275">
        <v>6.125</v>
      </c>
      <c r="C12" s="275">
        <v>2760</v>
      </c>
      <c r="D12" s="274">
        <v>1424.5</v>
      </c>
      <c r="E12" s="274">
        <v>0</v>
      </c>
      <c r="F12" s="276">
        <v>26891.999999999996</v>
      </c>
      <c r="G12" s="274">
        <v>322.39</v>
      </c>
      <c r="H12" s="274">
        <v>87.716999999999999</v>
      </c>
      <c r="I12" s="276">
        <v>410.10699999999997</v>
      </c>
    </row>
    <row r="13" spans="1:9" x14ac:dyDescent="0.3">
      <c r="A13" s="299" t="s">
        <v>1243</v>
      </c>
      <c r="B13" s="275">
        <v>6.125</v>
      </c>
      <c r="C13" s="275">
        <v>1422</v>
      </c>
      <c r="D13" s="274">
        <v>1547.4999999999998</v>
      </c>
      <c r="E13" s="274">
        <v>60.000000000000107</v>
      </c>
      <c r="F13" s="276">
        <v>12771.000000000004</v>
      </c>
      <c r="G13" s="274">
        <v>321.73</v>
      </c>
      <c r="H13" s="274">
        <v>87.716999999999999</v>
      </c>
      <c r="I13" s="276">
        <v>409.447</v>
      </c>
    </row>
    <row r="14" spans="1:9" x14ac:dyDescent="0.3">
      <c r="A14" s="299" t="s">
        <v>1244</v>
      </c>
      <c r="B14" s="275">
        <v>6.625</v>
      </c>
      <c r="C14" s="275">
        <v>1817.9999999999998</v>
      </c>
      <c r="D14" s="274">
        <v>1593.5000000000002</v>
      </c>
      <c r="E14" s="274">
        <v>60.000000000000107</v>
      </c>
      <c r="F14" s="276">
        <v>15381.000000000007</v>
      </c>
      <c r="G14" s="274">
        <v>373.98</v>
      </c>
      <c r="H14" s="274">
        <v>87.716999999999999</v>
      </c>
      <c r="I14" s="276">
        <v>461.697</v>
      </c>
    </row>
    <row r="15" spans="1:9" x14ac:dyDescent="0.3">
      <c r="A15" s="299" t="s">
        <v>1245</v>
      </c>
      <c r="B15" s="275">
        <v>6.625</v>
      </c>
      <c r="C15" s="275">
        <v>2826</v>
      </c>
      <c r="D15" s="274">
        <v>1438.0000000000002</v>
      </c>
      <c r="E15" s="274">
        <v>402</v>
      </c>
      <c r="F15" s="276">
        <v>31220.999999999967</v>
      </c>
      <c r="G15" s="274">
        <v>322.39</v>
      </c>
      <c r="H15" s="274">
        <v>87.716999999999999</v>
      </c>
      <c r="I15" s="276">
        <v>410.10699999999997</v>
      </c>
    </row>
    <row r="16" spans="1:9" x14ac:dyDescent="0.3">
      <c r="A16" s="299" t="s">
        <v>1246</v>
      </c>
      <c r="B16" s="275">
        <v>6.625</v>
      </c>
      <c r="C16" s="275">
        <v>1434</v>
      </c>
      <c r="D16" s="274">
        <v>1553</v>
      </c>
      <c r="E16" s="274">
        <v>0</v>
      </c>
      <c r="F16" s="276">
        <v>13796.999999999989</v>
      </c>
      <c r="G16" s="274">
        <v>321.73</v>
      </c>
      <c r="H16" s="274">
        <v>87.716999999999999</v>
      </c>
      <c r="I16" s="276">
        <v>409.447</v>
      </c>
    </row>
    <row r="17" spans="1:9" x14ac:dyDescent="0.3">
      <c r="A17" s="299" t="s">
        <v>1247</v>
      </c>
      <c r="B17" s="275">
        <v>7.125</v>
      </c>
      <c r="C17" s="275">
        <v>1853.9999999999998</v>
      </c>
      <c r="D17" s="274">
        <v>1593.5000000000002</v>
      </c>
      <c r="E17" s="274">
        <v>96.000000000000028</v>
      </c>
      <c r="F17" s="276">
        <v>15291.000000000025</v>
      </c>
      <c r="G17" s="274">
        <v>373.98</v>
      </c>
      <c r="H17" s="274">
        <v>87.716999999999999</v>
      </c>
      <c r="I17" s="276">
        <v>461.697</v>
      </c>
    </row>
    <row r="18" spans="1:9" x14ac:dyDescent="0.3">
      <c r="A18" s="299" t="s">
        <v>1248</v>
      </c>
      <c r="B18" s="275">
        <v>7.125</v>
      </c>
      <c r="C18" s="275">
        <v>2892</v>
      </c>
      <c r="D18" s="274">
        <v>1461.5</v>
      </c>
      <c r="E18" s="274">
        <v>426.00000000000006</v>
      </c>
      <c r="F18" s="276">
        <v>36197.999999999964</v>
      </c>
      <c r="G18" s="274">
        <v>322.39</v>
      </c>
      <c r="H18" s="274">
        <v>87.716999999999999</v>
      </c>
      <c r="I18" s="276">
        <v>410.10699999999997</v>
      </c>
    </row>
    <row r="19" spans="1:9" x14ac:dyDescent="0.3">
      <c r="A19" s="299" t="s">
        <v>1249</v>
      </c>
      <c r="B19" s="275">
        <v>7.125</v>
      </c>
      <c r="C19" s="275">
        <v>1458</v>
      </c>
      <c r="D19" s="274">
        <v>1548.5</v>
      </c>
      <c r="E19" s="274">
        <v>0</v>
      </c>
      <c r="F19" s="276">
        <v>15668.999999999996</v>
      </c>
      <c r="G19" s="274">
        <v>321.73</v>
      </c>
      <c r="H19" s="274">
        <v>87.716999999999999</v>
      </c>
      <c r="I19" s="276">
        <v>409.447</v>
      </c>
    </row>
    <row r="20" spans="1:9" x14ac:dyDescent="0.3">
      <c r="A20" s="299"/>
      <c r="B20" s="275"/>
      <c r="C20" s="275"/>
      <c r="D20" s="274"/>
      <c r="E20" s="274"/>
      <c r="F20" s="276"/>
      <c r="G20" s="274"/>
      <c r="H20" s="274"/>
      <c r="I20" s="276"/>
    </row>
    <row r="21" spans="1:9" x14ac:dyDescent="0.3">
      <c r="A21" s="299"/>
      <c r="B21" s="275"/>
      <c r="C21" s="275"/>
      <c r="D21" s="274"/>
      <c r="E21" s="274"/>
      <c r="F21" s="276"/>
      <c r="G21" s="274"/>
      <c r="H21" s="274"/>
      <c r="I21" s="276"/>
    </row>
    <row r="22" spans="1:9" x14ac:dyDescent="0.3">
      <c r="A22" s="299"/>
      <c r="B22" s="275"/>
      <c r="C22" s="275"/>
      <c r="D22" s="274"/>
      <c r="E22" s="274"/>
      <c r="F22" s="276"/>
      <c r="G22" s="274"/>
      <c r="H22" s="274"/>
      <c r="I22" s="276"/>
    </row>
    <row r="23" spans="1:9" x14ac:dyDescent="0.3">
      <c r="A23" s="299"/>
      <c r="B23" s="275"/>
      <c r="C23" s="275"/>
      <c r="D23" s="274"/>
      <c r="E23" s="274"/>
      <c r="F23" s="276"/>
      <c r="G23" s="274"/>
      <c r="H23" s="274"/>
      <c r="I23" s="276"/>
    </row>
    <row r="24" spans="1:9" x14ac:dyDescent="0.3">
      <c r="A24" s="299"/>
      <c r="B24" s="275"/>
      <c r="C24" s="275"/>
      <c r="D24" s="274"/>
      <c r="E24" s="274"/>
      <c r="F24" s="276"/>
      <c r="G24" s="274"/>
      <c r="H24" s="274"/>
      <c r="I24" s="276"/>
    </row>
    <row r="25" spans="1:9" x14ac:dyDescent="0.3">
      <c r="A25" s="299"/>
      <c r="B25" s="275"/>
      <c r="C25" s="275"/>
      <c r="D25" s="274"/>
      <c r="E25" s="274"/>
      <c r="F25" s="276"/>
      <c r="G25" s="274"/>
      <c r="H25" s="274"/>
      <c r="I25" s="276"/>
    </row>
    <row r="26" spans="1:9" x14ac:dyDescent="0.3">
      <c r="A26" s="299"/>
      <c r="B26" s="275"/>
      <c r="C26" s="275"/>
      <c r="D26" s="274"/>
      <c r="E26" s="274"/>
      <c r="F26" s="276"/>
      <c r="G26" s="274"/>
      <c r="H26" s="274"/>
      <c r="I26" s="276"/>
    </row>
    <row r="27" spans="1:9" x14ac:dyDescent="0.3">
      <c r="A27" s="299"/>
      <c r="B27" s="275"/>
      <c r="C27" s="275"/>
      <c r="D27" s="274"/>
      <c r="E27" s="274"/>
      <c r="F27" s="276"/>
      <c r="G27" s="274"/>
      <c r="H27" s="274"/>
      <c r="I27" s="276"/>
    </row>
    <row r="28" spans="1:9" x14ac:dyDescent="0.3">
      <c r="A28" s="299"/>
      <c r="B28" s="275"/>
      <c r="C28" s="275"/>
      <c r="D28" s="274"/>
      <c r="E28" s="274"/>
      <c r="F28" s="276"/>
      <c r="G28" s="274"/>
      <c r="H28" s="274"/>
      <c r="I28" s="276"/>
    </row>
    <row r="29" spans="1:9" x14ac:dyDescent="0.3">
      <c r="A29" s="299"/>
      <c r="B29" s="275"/>
      <c r="C29" s="275"/>
      <c r="D29" s="274"/>
      <c r="E29" s="274"/>
      <c r="F29" s="276"/>
      <c r="G29" s="274"/>
      <c r="H29" s="274"/>
      <c r="I29" s="276"/>
    </row>
    <row r="30" spans="1:9" x14ac:dyDescent="0.3">
      <c r="A30" s="299"/>
      <c r="B30" s="275"/>
      <c r="C30" s="275"/>
      <c r="D30" s="274"/>
      <c r="E30" s="274"/>
      <c r="F30" s="276"/>
      <c r="G30" s="274"/>
      <c r="H30" s="274"/>
      <c r="I30" s="276"/>
    </row>
    <row r="31" spans="1:9" x14ac:dyDescent="0.3">
      <c r="A31" s="299"/>
      <c r="B31" s="275"/>
      <c r="C31" s="275"/>
      <c r="D31" s="274"/>
      <c r="E31" s="274"/>
      <c r="F31" s="276"/>
      <c r="G31" s="274"/>
      <c r="H31" s="274"/>
      <c r="I31" s="276"/>
    </row>
    <row r="32" spans="1:9" x14ac:dyDescent="0.3">
      <c r="A32" s="299"/>
      <c r="B32" s="275"/>
      <c r="C32" s="275"/>
      <c r="D32" s="274"/>
      <c r="E32" s="274"/>
      <c r="F32" s="276"/>
      <c r="G32" s="274"/>
      <c r="H32" s="274"/>
      <c r="I32" s="276"/>
    </row>
    <row r="33" spans="1:9" x14ac:dyDescent="0.3">
      <c r="A33" s="299"/>
      <c r="B33" s="275"/>
      <c r="C33" s="275"/>
      <c r="D33" s="274"/>
      <c r="E33" s="274"/>
      <c r="F33" s="276"/>
      <c r="G33" s="274"/>
      <c r="H33" s="274"/>
      <c r="I33" s="276"/>
    </row>
    <row r="34" spans="1:9" x14ac:dyDescent="0.3">
      <c r="A34" s="300"/>
      <c r="B34" s="285"/>
      <c r="C34" s="285"/>
      <c r="D34" s="286"/>
      <c r="E34" s="286"/>
      <c r="F34" s="287"/>
      <c r="G34" s="286"/>
      <c r="H34" s="286"/>
      <c r="I34" s="287"/>
    </row>
  </sheetData>
  <mergeCells count="4">
    <mergeCell ref="C3:F3"/>
    <mergeCell ref="G3:I3"/>
    <mergeCell ref="B3:B4"/>
    <mergeCell ref="A3:A4"/>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EADDD-DA93-4007-BDB0-FACC65E007D8}">
  <sheetPr codeName="AGchecks">
    <tabColor rgb="FFAAB3A4"/>
    <pageSetUpPr fitToPage="1"/>
  </sheetPr>
  <dimension ref="A3:M183"/>
  <sheetViews>
    <sheetView view="pageLayout" topLeftCell="B1" zoomScaleNormal="100" workbookViewId="0">
      <selection activeCell="H10" sqref="H10"/>
    </sheetView>
  </sheetViews>
  <sheetFormatPr defaultRowHeight="14.4" x14ac:dyDescent="0.3"/>
  <cols>
    <col min="1" max="1" width="59.6640625" customWidth="1"/>
    <col min="2" max="2" width="13.6640625" customWidth="1"/>
    <col min="3" max="3" width="17" bestFit="1" customWidth="1"/>
    <col min="4" max="4" width="12" bestFit="1" customWidth="1"/>
    <col min="5" max="5" width="41" bestFit="1" customWidth="1"/>
    <col min="6" max="6" width="14.5546875" customWidth="1"/>
    <col min="7" max="7" width="13.6640625" bestFit="1" customWidth="1"/>
    <col min="8" max="8" width="24.6640625" bestFit="1" customWidth="1"/>
    <col min="9" max="9" width="12" bestFit="1" customWidth="1"/>
    <col min="10" max="10" width="52.33203125" bestFit="1" customWidth="1"/>
    <col min="11" max="11" width="1.5546875" customWidth="1"/>
  </cols>
  <sheetData>
    <row r="3" spans="1:13" x14ac:dyDescent="0.3">
      <c r="A3" s="428" t="str">
        <f>Dashboard!C2&amp;" - "&amp;Dashboard!D15&amp;" - "&amp;Dashboard!F4&amp;" - "&amp;Dashboard!F7&amp;"mil - "&amp;Dashboard!F5&amp;"ksi, At Grade"</f>
        <v>Paloma - Interior Column-7.125 ft - W6X20 - 0mil - 65ksi, At Grade</v>
      </c>
      <c r="B3" s="428"/>
      <c r="C3" s="428"/>
      <c r="D3" s="428"/>
      <c r="E3" s="428"/>
    </row>
    <row r="4" spans="1:13" ht="15" thickBot="1" x14ac:dyDescent="0.35">
      <c r="M4" s="49"/>
    </row>
    <row r="5" spans="1:13" ht="15" thickBot="1" x14ac:dyDescent="0.35">
      <c r="A5" s="435" t="s">
        <v>337</v>
      </c>
      <c r="B5" s="436"/>
      <c r="C5" s="436"/>
      <c r="D5" s="436"/>
      <c r="E5" s="437"/>
    </row>
    <row r="6" spans="1:13" ht="15" thickBot="1" x14ac:dyDescent="0.35">
      <c r="A6" s="5"/>
      <c r="E6" s="6"/>
    </row>
    <row r="7" spans="1:13" ht="15" thickBot="1" x14ac:dyDescent="0.35">
      <c r="A7" s="16" t="s">
        <v>338</v>
      </c>
      <c r="C7" s="61" t="s">
        <v>339</v>
      </c>
      <c r="E7" s="6"/>
      <c r="G7" s="432" t="s">
        <v>340</v>
      </c>
      <c r="H7" s="433"/>
      <c r="I7" s="433"/>
      <c r="J7" s="434"/>
    </row>
    <row r="8" spans="1:13" ht="15.6" x14ac:dyDescent="0.35">
      <c r="A8" s="5"/>
      <c r="C8" t="s">
        <v>341</v>
      </c>
      <c r="D8" t="s">
        <v>342</v>
      </c>
      <c r="E8" s="6"/>
      <c r="G8" s="41" t="s">
        <v>343</v>
      </c>
      <c r="H8" s="52" t="str">
        <f>Dashboard!F4</f>
        <v>W6X20</v>
      </c>
      <c r="I8" s="3"/>
      <c r="J8" s="4"/>
    </row>
    <row r="9" spans="1:13" x14ac:dyDescent="0.3">
      <c r="A9" s="16" t="s">
        <v>345</v>
      </c>
      <c r="C9" s="29">
        <f>Dashboard!F8 + Soil.Scour/12 + 0.5</f>
        <v>8.625</v>
      </c>
      <c r="D9" s="29">
        <f>C9</f>
        <v>8.625</v>
      </c>
      <c r="E9" s="6" t="s">
        <v>346</v>
      </c>
      <c r="G9" s="16" t="s">
        <v>347</v>
      </c>
      <c r="H9" s="29">
        <f>Corr.Soil</f>
        <v>57.599999999999994</v>
      </c>
      <c r="I9" t="s">
        <v>348</v>
      </c>
      <c r="J9" s="6"/>
    </row>
    <row r="10" spans="1:13" ht="16.8" x14ac:dyDescent="0.35">
      <c r="A10" s="5"/>
      <c r="C10" t="s">
        <v>349</v>
      </c>
      <c r="D10" t="s">
        <v>350</v>
      </c>
      <c r="E10" s="6"/>
      <c r="G10" s="16" t="s">
        <v>351</v>
      </c>
      <c r="H10" s="29">
        <f>Dashboard!E25</f>
        <v>3.9122237998991132</v>
      </c>
      <c r="I10" t="s">
        <v>352</v>
      </c>
      <c r="J10" s="6" t="s">
        <v>18</v>
      </c>
    </row>
    <row r="11" spans="1:13" x14ac:dyDescent="0.3">
      <c r="A11" s="16" t="s">
        <v>2</v>
      </c>
      <c r="C11" s="29">
        <f>Dashboard!F12</f>
        <v>2.1</v>
      </c>
      <c r="D11" s="29">
        <f>C11</f>
        <v>2.1</v>
      </c>
      <c r="E11" s="6"/>
      <c r="G11" s="16" t="s">
        <v>353</v>
      </c>
      <c r="H11" s="29">
        <f>Dashboard!E26</f>
        <v>6.0848000000000004</v>
      </c>
      <c r="I11" t="s">
        <v>354</v>
      </c>
      <c r="J11" s="6" t="s">
        <v>19</v>
      </c>
    </row>
    <row r="12" spans="1:13" ht="15.6" x14ac:dyDescent="0.35">
      <c r="A12" s="17" t="s">
        <v>355</v>
      </c>
      <c r="B12" s="15" t="s">
        <v>356</v>
      </c>
      <c r="C12" s="29">
        <f>C9</f>
        <v>8.625</v>
      </c>
      <c r="E12" s="6" t="s">
        <v>346</v>
      </c>
      <c r="G12" s="16" t="s">
        <v>357</v>
      </c>
      <c r="H12" s="29">
        <f>Dashboard!E27</f>
        <v>0.14480000000000004</v>
      </c>
      <c r="I12" t="s">
        <v>354</v>
      </c>
      <c r="J12" s="6" t="s">
        <v>21</v>
      </c>
    </row>
    <row r="13" spans="1:13" ht="15.6" x14ac:dyDescent="0.35">
      <c r="A13" s="17" t="s">
        <v>358</v>
      </c>
      <c r="B13" s="15" t="s">
        <v>359</v>
      </c>
      <c r="C13" s="29">
        <f>C11</f>
        <v>2.1</v>
      </c>
      <c r="E13" s="6"/>
      <c r="G13" s="16" t="s">
        <v>360</v>
      </c>
      <c r="H13" s="29">
        <f>Dashboard!E28</f>
        <v>5.9047999999999998</v>
      </c>
      <c r="I13" t="s">
        <v>354</v>
      </c>
      <c r="J13" s="6" t="s">
        <v>22</v>
      </c>
    </row>
    <row r="14" spans="1:13" ht="15.6" x14ac:dyDescent="0.35">
      <c r="A14" s="5"/>
      <c r="E14" s="6"/>
      <c r="G14" s="16" t="s">
        <v>361</v>
      </c>
      <c r="H14" s="29">
        <f>Dashboard!E29</f>
        <v>0.24980000000000002</v>
      </c>
      <c r="I14" t="s">
        <v>354</v>
      </c>
      <c r="J14" s="6" t="s">
        <v>23</v>
      </c>
    </row>
    <row r="15" spans="1:13" x14ac:dyDescent="0.3">
      <c r="A15" s="16" t="s">
        <v>362</v>
      </c>
      <c r="B15" t="s">
        <v>363</v>
      </c>
      <c r="C15" s="29">
        <v>1.464</v>
      </c>
      <c r="E15" s="6"/>
      <c r="G15" s="16"/>
      <c r="J15" s="6"/>
    </row>
    <row r="16" spans="1:13" ht="16.2" thickBot="1" x14ac:dyDescent="0.4">
      <c r="A16" s="44" t="s">
        <v>364</v>
      </c>
      <c r="B16" s="8" t="s">
        <v>365</v>
      </c>
      <c r="C16" s="56">
        <v>1.464</v>
      </c>
      <c r="D16" s="8"/>
      <c r="E16" s="9"/>
      <c r="G16" s="16"/>
      <c r="H16" s="1"/>
      <c r="J16" s="6"/>
    </row>
    <row r="17" spans="1:11" ht="17.399999999999999" thickBot="1" x14ac:dyDescent="0.4">
      <c r="G17" s="16" t="s">
        <v>366</v>
      </c>
      <c r="H17" s="29">
        <f>Dashboard!E31</f>
        <v>28.327834323618902</v>
      </c>
      <c r="I17" t="s">
        <v>367</v>
      </c>
      <c r="J17" s="6" t="s">
        <v>24</v>
      </c>
    </row>
    <row r="18" spans="1:11" ht="17.399999999999999" thickBot="1" x14ac:dyDescent="0.4">
      <c r="A18" s="435" t="s">
        <v>368</v>
      </c>
      <c r="B18" s="436"/>
      <c r="C18" s="436"/>
      <c r="D18" s="436"/>
      <c r="E18" s="437"/>
      <c r="G18" s="16" t="s">
        <v>369</v>
      </c>
      <c r="H18" s="29">
        <f>Dashboard!E32</f>
        <v>9.3110157519126009</v>
      </c>
      <c r="I18" t="s">
        <v>370</v>
      </c>
      <c r="J18" s="6" t="s">
        <v>25</v>
      </c>
    </row>
    <row r="19" spans="1:11" ht="15.6" x14ac:dyDescent="0.35">
      <c r="A19" s="16"/>
      <c r="C19" s="15" t="s">
        <v>371</v>
      </c>
      <c r="D19" s="15" t="s">
        <v>372</v>
      </c>
      <c r="E19" s="6"/>
      <c r="G19" s="16" t="s">
        <v>373</v>
      </c>
      <c r="H19" s="29">
        <f>Dashboard!E33</f>
        <v>2.6908831642960962</v>
      </c>
      <c r="I19" t="s">
        <v>354</v>
      </c>
      <c r="J19" s="6" t="s">
        <v>26</v>
      </c>
    </row>
    <row r="20" spans="1:11" ht="16.8" x14ac:dyDescent="0.35">
      <c r="A20" s="16" t="s">
        <v>374</v>
      </c>
      <c r="C20" s="29">
        <f>Dashboard!K18/12000</f>
        <v>10.309909217633734</v>
      </c>
      <c r="D20" s="29">
        <f>Dashboard!M18/12000</f>
        <v>3.3091543387349716</v>
      </c>
      <c r="E20" s="6" t="s">
        <v>375</v>
      </c>
      <c r="G20" s="16" t="s">
        <v>376</v>
      </c>
      <c r="H20" s="29">
        <f>Dashboard!E34</f>
        <v>10.150004827091585</v>
      </c>
      <c r="I20" t="s">
        <v>370</v>
      </c>
      <c r="J20" s="6" t="s">
        <v>27</v>
      </c>
    </row>
    <row r="21" spans="1:11" ht="16.8" x14ac:dyDescent="0.35">
      <c r="A21" s="5"/>
      <c r="C21" s="15" t="s">
        <v>377</v>
      </c>
      <c r="D21" s="15" t="s">
        <v>378</v>
      </c>
      <c r="E21" s="6"/>
      <c r="G21" s="16" t="s">
        <v>379</v>
      </c>
      <c r="H21" s="29">
        <f>Dashboard!E35</f>
        <v>8.5771830435046326</v>
      </c>
      <c r="I21" t="s">
        <v>367</v>
      </c>
      <c r="J21" s="6" t="s">
        <v>28</v>
      </c>
    </row>
    <row r="22" spans="1:11" ht="16.8" x14ac:dyDescent="0.35">
      <c r="A22" s="16" t="s">
        <v>380</v>
      </c>
      <c r="C22" s="29">
        <f>Dashboard!K19/1000</f>
        <v>1.4143784631468896</v>
      </c>
      <c r="D22" s="29">
        <f>Dashboard!M19/1000</f>
        <v>0.3751152178776791</v>
      </c>
      <c r="E22" s="6" t="s">
        <v>381</v>
      </c>
      <c r="G22" s="16" t="s">
        <v>382</v>
      </c>
      <c r="H22" s="29">
        <f>Dashboard!E36</f>
        <v>2.9051561588892536</v>
      </c>
      <c r="I22" t="s">
        <v>370</v>
      </c>
      <c r="J22" s="6" t="s">
        <v>29</v>
      </c>
    </row>
    <row r="23" spans="1:11" ht="15.6" x14ac:dyDescent="0.35">
      <c r="A23" s="16"/>
      <c r="C23" s="15" t="s">
        <v>383</v>
      </c>
      <c r="E23" s="6"/>
      <c r="G23" s="16" t="s">
        <v>384</v>
      </c>
      <c r="H23" s="29">
        <f>Dashboard!E37</f>
        <v>1.4806775572148851</v>
      </c>
      <c r="I23" t="s">
        <v>354</v>
      </c>
      <c r="J23" s="6" t="s">
        <v>30</v>
      </c>
    </row>
    <row r="24" spans="1:11" ht="16.8" x14ac:dyDescent="0.35">
      <c r="A24" s="16" t="s">
        <v>385</v>
      </c>
      <c r="C24" s="29">
        <f>Dashboard!K21/1000</f>
        <v>1.5485</v>
      </c>
      <c r="E24" s="6" t="s">
        <v>381</v>
      </c>
      <c r="G24" s="16" t="s">
        <v>386</v>
      </c>
      <c r="H24" s="29">
        <f>Dashboard!E38</f>
        <v>4.3841224916480011</v>
      </c>
      <c r="I24" t="s">
        <v>370</v>
      </c>
      <c r="J24" s="6" t="s">
        <v>31</v>
      </c>
    </row>
    <row r="25" spans="1:11" ht="15.6" x14ac:dyDescent="0.35">
      <c r="A25" s="5"/>
      <c r="C25" s="15" t="s">
        <v>387</v>
      </c>
      <c r="E25" s="6"/>
      <c r="G25" s="16" t="s">
        <v>388</v>
      </c>
      <c r="H25" s="58">
        <f>SQRT(SQRT(H21*H28)/H18)</f>
        <v>1.6393785215672594</v>
      </c>
      <c r="I25" t="s">
        <v>354</v>
      </c>
      <c r="J25" s="6"/>
    </row>
    <row r="26" spans="1:11" ht="16.2" thickBot="1" x14ac:dyDescent="0.4">
      <c r="A26" s="44" t="s">
        <v>389</v>
      </c>
      <c r="B26" s="8"/>
      <c r="C26" s="56">
        <f>Dashboard!K22/1000</f>
        <v>0</v>
      </c>
      <c r="D26" s="8"/>
      <c r="E26" s="9" t="s">
        <v>381</v>
      </c>
      <c r="G26" s="16" t="s">
        <v>390</v>
      </c>
      <c r="H26" s="60">
        <f>H11-H14</f>
        <v>5.8350000000000009</v>
      </c>
      <c r="I26" t="s">
        <v>354</v>
      </c>
      <c r="J26" s="6" t="s">
        <v>391</v>
      </c>
    </row>
    <row r="27" spans="1:11" ht="16.8" thickBot="1" x14ac:dyDescent="0.35">
      <c r="G27" s="16" t="s">
        <v>392</v>
      </c>
      <c r="H27" s="29">
        <f>Dashboard!E39</f>
        <v>6.7013104794440545E-2</v>
      </c>
      <c r="I27" t="s">
        <v>367</v>
      </c>
      <c r="J27" s="6" t="s">
        <v>32</v>
      </c>
    </row>
    <row r="28" spans="1:11" ht="17.399999999999999" thickBot="1" x14ac:dyDescent="0.4">
      <c r="A28" s="435" t="s">
        <v>393</v>
      </c>
      <c r="B28" s="436"/>
      <c r="C28" s="436"/>
      <c r="D28" s="436"/>
      <c r="E28" s="437"/>
      <c r="G28" s="16" t="s">
        <v>394</v>
      </c>
      <c r="H28" s="29">
        <f>Dashboard!E40</f>
        <v>73.007320237096778</v>
      </c>
      <c r="I28" t="s">
        <v>395</v>
      </c>
      <c r="J28" s="6" t="s">
        <v>33</v>
      </c>
    </row>
    <row r="29" spans="1:11" ht="15" thickBot="1" x14ac:dyDescent="0.35">
      <c r="A29" s="5"/>
      <c r="E29" s="6"/>
      <c r="G29" s="5"/>
      <c r="J29" s="6"/>
    </row>
    <row r="30" spans="1:11" ht="16.2" thickBot="1" x14ac:dyDescent="0.4">
      <c r="A30" s="16" t="s">
        <v>396</v>
      </c>
      <c r="C30" s="27" t="s">
        <v>397</v>
      </c>
      <c r="D30" s="28">
        <f>C87</f>
        <v>5.6742041217875551E-2</v>
      </c>
      <c r="E30" s="59" t="s">
        <v>398</v>
      </c>
      <c r="G30" s="429" t="s">
        <v>399</v>
      </c>
      <c r="H30" s="430"/>
      <c r="I30" s="430"/>
      <c r="J30" s="431"/>
    </row>
    <row r="31" spans="1:11" ht="15" thickBot="1" x14ac:dyDescent="0.35">
      <c r="A31" s="5"/>
      <c r="E31" s="6"/>
      <c r="G31" s="16" t="s">
        <v>400</v>
      </c>
      <c r="H31" s="51" t="s">
        <v>401</v>
      </c>
      <c r="J31" s="6"/>
      <c r="K31" s="5"/>
    </row>
    <row r="32" spans="1:11" ht="16.2" thickBot="1" x14ac:dyDescent="0.4">
      <c r="A32" s="16" t="s">
        <v>402</v>
      </c>
      <c r="C32" s="27" t="s">
        <v>397</v>
      </c>
      <c r="D32" s="28">
        <f>C127</f>
        <v>0.34937260492758321</v>
      </c>
      <c r="E32" s="6" t="s">
        <v>403</v>
      </c>
      <c r="G32" s="16" t="s">
        <v>43</v>
      </c>
      <c r="H32" s="30">
        <v>29000</v>
      </c>
      <c r="I32" t="s">
        <v>44</v>
      </c>
      <c r="J32" s="6" t="s">
        <v>404</v>
      </c>
      <c r="K32" s="5"/>
    </row>
    <row r="33" spans="1:11" ht="16.2" thickBot="1" x14ac:dyDescent="0.4">
      <c r="A33" s="16" t="s">
        <v>405</v>
      </c>
      <c r="C33" s="27" t="s">
        <v>397</v>
      </c>
      <c r="D33" s="28">
        <f>C145</f>
        <v>0.2754857432196654</v>
      </c>
      <c r="E33" s="59" t="s">
        <v>406</v>
      </c>
      <c r="G33" s="16" t="s">
        <v>407</v>
      </c>
      <c r="H33" s="30">
        <v>11500</v>
      </c>
      <c r="I33" t="s">
        <v>44</v>
      </c>
      <c r="J33" s="6" t="s">
        <v>408</v>
      </c>
      <c r="K33" s="5"/>
    </row>
    <row r="34" spans="1:11" ht="16.2" thickBot="1" x14ac:dyDescent="0.4">
      <c r="A34" s="5"/>
      <c r="E34" s="6"/>
      <c r="G34" s="16" t="s">
        <v>409</v>
      </c>
      <c r="H34" s="30">
        <f>Pile.Fy</f>
        <v>65</v>
      </c>
      <c r="I34" t="s">
        <v>44</v>
      </c>
      <c r="J34" s="6" t="s">
        <v>410</v>
      </c>
    </row>
    <row r="35" spans="1:11" ht="16.2" thickBot="1" x14ac:dyDescent="0.4">
      <c r="A35" s="16" t="s">
        <v>411</v>
      </c>
      <c r="C35" s="27" t="s">
        <v>397</v>
      </c>
      <c r="D35" s="28">
        <f>C158</f>
        <v>6.174153417552157E-2</v>
      </c>
      <c r="E35" s="6" t="s">
        <v>412</v>
      </c>
      <c r="G35" s="16" t="s">
        <v>413</v>
      </c>
      <c r="H35" s="30">
        <f>Pile.Fu</f>
        <v>80</v>
      </c>
      <c r="I35" t="s">
        <v>44</v>
      </c>
      <c r="J35" s="6" t="s">
        <v>414</v>
      </c>
    </row>
    <row r="36" spans="1:11" ht="16.2" thickBot="1" x14ac:dyDescent="0.4">
      <c r="A36" s="16" t="s">
        <v>415</v>
      </c>
      <c r="C36" s="27" t="s">
        <v>397</v>
      </c>
      <c r="D36" s="28">
        <f>C164</f>
        <v>5.4448876796534826E-3</v>
      </c>
      <c r="E36" s="6" t="s">
        <v>416</v>
      </c>
      <c r="G36" s="5"/>
      <c r="J36" s="6"/>
    </row>
    <row r="37" spans="1:11" ht="15" thickBot="1" x14ac:dyDescent="0.35">
      <c r="A37" s="5"/>
      <c r="E37" s="6"/>
      <c r="G37" s="429" t="s">
        <v>417</v>
      </c>
      <c r="H37" s="430"/>
      <c r="I37" s="430"/>
      <c r="J37" s="431"/>
    </row>
    <row r="38" spans="1:11" ht="16.2" thickBot="1" x14ac:dyDescent="0.4">
      <c r="A38" s="16" t="s">
        <v>418</v>
      </c>
      <c r="C38" s="27" t="s">
        <v>397</v>
      </c>
      <c r="D38" s="28">
        <f>C179</f>
        <v>0</v>
      </c>
      <c r="E38" s="6" t="s">
        <v>419</v>
      </c>
      <c r="G38" s="17" t="s">
        <v>420</v>
      </c>
      <c r="H38" s="55">
        <v>1.5</v>
      </c>
      <c r="J38" s="6" t="s">
        <v>421</v>
      </c>
    </row>
    <row r="39" spans="1:11" ht="15.6" x14ac:dyDescent="0.3">
      <c r="A39" s="5"/>
      <c r="E39" s="6"/>
      <c r="G39" s="17" t="s">
        <v>422</v>
      </c>
      <c r="H39" s="55">
        <v>1.67</v>
      </c>
      <c r="J39" s="6" t="s">
        <v>423</v>
      </c>
    </row>
    <row r="40" spans="1:11" ht="15.6" x14ac:dyDescent="0.3">
      <c r="A40" s="16"/>
      <c r="E40" s="6"/>
      <c r="G40" s="17" t="s">
        <v>424</v>
      </c>
      <c r="H40" s="29">
        <v>1.67</v>
      </c>
      <c r="J40" s="6" t="s">
        <v>425</v>
      </c>
    </row>
    <row r="41" spans="1:11" ht="16.2" thickBot="1" x14ac:dyDescent="0.35">
      <c r="A41" s="5"/>
      <c r="E41" s="6"/>
      <c r="G41" s="17" t="s">
        <v>426</v>
      </c>
      <c r="H41" s="29">
        <v>1.67</v>
      </c>
      <c r="J41" s="6" t="s">
        <v>427</v>
      </c>
    </row>
    <row r="42" spans="1:11" ht="16.2" thickBot="1" x14ac:dyDescent="0.35">
      <c r="A42" s="16" t="s">
        <v>428</v>
      </c>
      <c r="C42" s="27" t="s">
        <v>397</v>
      </c>
      <c r="D42" s="28">
        <f>C181</f>
        <v>0.65322936875618631</v>
      </c>
      <c r="E42" s="6" t="s">
        <v>429</v>
      </c>
      <c r="G42" s="17" t="s">
        <v>430</v>
      </c>
      <c r="H42" s="29">
        <v>2</v>
      </c>
      <c r="J42" s="6" t="s">
        <v>431</v>
      </c>
    </row>
    <row r="43" spans="1:11" ht="16.2" thickBot="1" x14ac:dyDescent="0.35">
      <c r="A43" s="44" t="s">
        <v>432</v>
      </c>
      <c r="B43" s="8"/>
      <c r="C43" s="27" t="s">
        <v>397</v>
      </c>
      <c r="D43" s="28">
        <f>C182</f>
        <v>0.62485834814724861</v>
      </c>
      <c r="E43" s="9" t="s">
        <v>433</v>
      </c>
      <c r="G43" s="18" t="s">
        <v>434</v>
      </c>
      <c r="H43" s="56">
        <v>1.67</v>
      </c>
      <c r="I43" s="8"/>
      <c r="J43" s="9" t="s">
        <v>435</v>
      </c>
    </row>
    <row r="45" spans="1:11" ht="15" thickBot="1" x14ac:dyDescent="0.35"/>
    <row r="46" spans="1:11" ht="15" thickBot="1" x14ac:dyDescent="0.35">
      <c r="A46" s="435" t="s">
        <v>436</v>
      </c>
      <c r="B46" s="436"/>
      <c r="C46" s="436"/>
      <c r="D46" s="436"/>
      <c r="E46" s="437"/>
    </row>
    <row r="47" spans="1:11" ht="15" thickBot="1" x14ac:dyDescent="0.35">
      <c r="A47" s="5"/>
      <c r="E47" s="6"/>
      <c r="G47" s="429" t="s">
        <v>340</v>
      </c>
      <c r="H47" s="430"/>
      <c r="I47" s="430"/>
      <c r="J47" s="431"/>
    </row>
    <row r="48" spans="1:11" x14ac:dyDescent="0.3">
      <c r="A48" s="7" t="s">
        <v>437</v>
      </c>
      <c r="E48" s="6"/>
      <c r="G48" s="41" t="s">
        <v>343</v>
      </c>
      <c r="H48" s="52" t="str">
        <f t="shared" ref="H48:H55" si="0">H8</f>
        <v>W6X20</v>
      </c>
      <c r="I48" s="3"/>
      <c r="J48" s="4"/>
    </row>
    <row r="49" spans="1:10" x14ac:dyDescent="0.3">
      <c r="A49" s="19" t="s">
        <v>438</v>
      </c>
      <c r="E49" s="6"/>
      <c r="G49" s="16" t="s">
        <v>347</v>
      </c>
      <c r="H49" s="29">
        <f>H9</f>
        <v>57.599999999999994</v>
      </c>
      <c r="I49" t="s">
        <v>348</v>
      </c>
      <c r="J49" s="6"/>
    </row>
    <row r="50" spans="1:10" ht="16.2" x14ac:dyDescent="0.3">
      <c r="A50" s="16" t="s">
        <v>439</v>
      </c>
      <c r="B50" s="1">
        <f>H53/(2*H54)</f>
        <v>11.819055244195354</v>
      </c>
      <c r="E50" s="6" t="s">
        <v>440</v>
      </c>
      <c r="G50" s="16" t="s">
        <v>351</v>
      </c>
      <c r="H50" s="29">
        <f t="shared" si="0"/>
        <v>3.9122237998991132</v>
      </c>
      <c r="I50" t="s">
        <v>352</v>
      </c>
      <c r="J50" s="6" t="s">
        <v>18</v>
      </c>
    </row>
    <row r="51" spans="1:10" x14ac:dyDescent="0.3">
      <c r="A51" s="16" t="s">
        <v>441</v>
      </c>
      <c r="B51" s="1">
        <f>0.56*SQRT(H72/H73)</f>
        <v>11.828518341442694</v>
      </c>
      <c r="E51" s="6" t="s">
        <v>440</v>
      </c>
      <c r="G51" s="16" t="s">
        <v>353</v>
      </c>
      <c r="H51" s="29">
        <f t="shared" si="0"/>
        <v>6.0848000000000004</v>
      </c>
      <c r="I51" t="s">
        <v>354</v>
      </c>
      <c r="J51" s="6" t="s">
        <v>19</v>
      </c>
    </row>
    <row r="52" spans="1:10" ht="15.6" x14ac:dyDescent="0.35">
      <c r="A52" s="16"/>
      <c r="B52" s="31" t="str">
        <f>IF(C7="Above Grade",IF(B50&lt;B51,"Non Slender","Slender"),"Not Required")</f>
        <v>Non Slender</v>
      </c>
      <c r="E52" s="6"/>
      <c r="G52" s="16" t="s">
        <v>357</v>
      </c>
      <c r="H52" s="29">
        <f t="shared" si="0"/>
        <v>0.14480000000000004</v>
      </c>
      <c r="I52" t="s">
        <v>354</v>
      </c>
      <c r="J52" s="6" t="s">
        <v>21</v>
      </c>
    </row>
    <row r="53" spans="1:10" ht="15.6" x14ac:dyDescent="0.35">
      <c r="A53" s="19" t="s">
        <v>442</v>
      </c>
      <c r="E53" s="6"/>
      <c r="G53" s="16" t="s">
        <v>360</v>
      </c>
      <c r="H53" s="29">
        <f t="shared" si="0"/>
        <v>5.9047999999999998</v>
      </c>
      <c r="I53" t="s">
        <v>354</v>
      </c>
      <c r="J53" s="6" t="s">
        <v>22</v>
      </c>
    </row>
    <row r="54" spans="1:10" ht="15.6" x14ac:dyDescent="0.35">
      <c r="A54" s="16" t="s">
        <v>439</v>
      </c>
      <c r="B54" s="1">
        <f>(H51-2*H55)/H52</f>
        <v>42.022099447513803</v>
      </c>
      <c r="E54" s="6" t="s">
        <v>440</v>
      </c>
      <c r="G54" s="16" t="s">
        <v>361</v>
      </c>
      <c r="H54" s="29">
        <f t="shared" si="0"/>
        <v>0.24980000000000002</v>
      </c>
      <c r="I54" t="s">
        <v>354</v>
      </c>
      <c r="J54" s="6" t="s">
        <v>23</v>
      </c>
    </row>
    <row r="55" spans="1:10" ht="15.6" x14ac:dyDescent="0.35">
      <c r="A55" s="16" t="s">
        <v>441</v>
      </c>
      <c r="B55" s="1">
        <f>1.49*SQRT(H72/H73)</f>
        <v>31.472307729910018</v>
      </c>
      <c r="E55" s="6" t="s">
        <v>440</v>
      </c>
      <c r="G55" s="16" t="s">
        <v>443</v>
      </c>
      <c r="H55" s="29">
        <f t="shared" si="0"/>
        <v>0</v>
      </c>
      <c r="I55" t="s">
        <v>354</v>
      </c>
      <c r="J55" s="6" t="s">
        <v>444</v>
      </c>
    </row>
    <row r="56" spans="1:10" x14ac:dyDescent="0.3">
      <c r="A56" s="5"/>
      <c r="B56" s="31" t="str">
        <f>IF(C7="Above Grade",IF(B54&lt;B55,"Non Slender","Slender"),"Not Required")</f>
        <v>Slender</v>
      </c>
      <c r="E56" s="6"/>
      <c r="G56" s="16"/>
      <c r="H56" s="1"/>
      <c r="J56" s="6"/>
    </row>
    <row r="57" spans="1:10" ht="16.8" x14ac:dyDescent="0.35">
      <c r="A57" s="5"/>
      <c r="E57" s="6"/>
      <c r="G57" s="16" t="s">
        <v>366</v>
      </c>
      <c r="H57" s="29">
        <f t="shared" ref="H57:H64" si="1">H17</f>
        <v>28.327834323618902</v>
      </c>
      <c r="I57" t="s">
        <v>367</v>
      </c>
      <c r="J57" s="6" t="s">
        <v>24</v>
      </c>
    </row>
    <row r="58" spans="1:10" ht="16.8" x14ac:dyDescent="0.35">
      <c r="A58" s="7" t="s">
        <v>445</v>
      </c>
      <c r="E58" s="6"/>
      <c r="G58" s="16" t="s">
        <v>369</v>
      </c>
      <c r="H58" s="29">
        <f t="shared" si="1"/>
        <v>9.3110157519126009</v>
      </c>
      <c r="I58" t="s">
        <v>370</v>
      </c>
      <c r="J58" s="6" t="s">
        <v>25</v>
      </c>
    </row>
    <row r="59" spans="1:10" ht="15.6" x14ac:dyDescent="0.35">
      <c r="A59" s="5"/>
      <c r="B59" s="13" t="s">
        <v>446</v>
      </c>
      <c r="C59" s="13" t="s">
        <v>447</v>
      </c>
      <c r="E59" s="6"/>
      <c r="G59" s="16" t="s">
        <v>373</v>
      </c>
      <c r="H59" s="29">
        <f t="shared" si="1"/>
        <v>2.6908831642960962</v>
      </c>
      <c r="I59" t="s">
        <v>354</v>
      </c>
      <c r="J59" s="6" t="s">
        <v>26</v>
      </c>
    </row>
    <row r="60" spans="1:10" ht="16.8" x14ac:dyDescent="0.35">
      <c r="A60" s="16" t="s">
        <v>448</v>
      </c>
      <c r="B60" s="29">
        <f>IF(C7="Above Grade",C9,0)</f>
        <v>8.625</v>
      </c>
      <c r="C60" s="29">
        <f>IF(C7="Above Grade",D9,0)</f>
        <v>8.625</v>
      </c>
      <c r="E60" s="6"/>
      <c r="G60" s="16" t="s">
        <v>376</v>
      </c>
      <c r="H60" s="29">
        <f t="shared" si="1"/>
        <v>10.150004827091585</v>
      </c>
      <c r="I60" t="s">
        <v>370</v>
      </c>
      <c r="J60" s="6" t="s">
        <v>27</v>
      </c>
    </row>
    <row r="61" spans="1:10" ht="16.8" x14ac:dyDescent="0.35">
      <c r="A61" s="16" t="s">
        <v>59</v>
      </c>
      <c r="B61" s="29">
        <f>C11</f>
        <v>2.1</v>
      </c>
      <c r="C61" s="29">
        <f>D11</f>
        <v>2.1</v>
      </c>
      <c r="E61" s="6"/>
      <c r="G61" s="16" t="s">
        <v>379</v>
      </c>
      <c r="H61" s="29">
        <f t="shared" si="1"/>
        <v>8.5771830435046326</v>
      </c>
      <c r="I61" t="s">
        <v>367</v>
      </c>
      <c r="J61" s="6" t="s">
        <v>28</v>
      </c>
    </row>
    <row r="62" spans="1:10" ht="16.8" x14ac:dyDescent="0.35">
      <c r="A62" s="16" t="s">
        <v>449</v>
      </c>
      <c r="B62" s="14">
        <f>(B60*B61*12)/H59</f>
        <v>80.772737695899281</v>
      </c>
      <c r="C62" s="14">
        <f>(C60*C61*12)/H63</f>
        <v>146.79090592068511</v>
      </c>
      <c r="E62" s="6" t="s">
        <v>450</v>
      </c>
      <c r="G62" s="16" t="s">
        <v>382</v>
      </c>
      <c r="H62" s="29">
        <f t="shared" si="1"/>
        <v>2.9051561588892536</v>
      </c>
      <c r="I62" t="s">
        <v>370</v>
      </c>
      <c r="J62" s="6" t="s">
        <v>29</v>
      </c>
    </row>
    <row r="63" spans="1:10" ht="15.6" x14ac:dyDescent="0.35">
      <c r="A63" s="5"/>
      <c r="B63" s="14"/>
      <c r="E63" s="6"/>
      <c r="G63" s="16" t="s">
        <v>384</v>
      </c>
      <c r="H63" s="29">
        <f t="shared" si="1"/>
        <v>1.4806775572148851</v>
      </c>
      <c r="I63" t="s">
        <v>354</v>
      </c>
      <c r="J63" s="6" t="s">
        <v>30</v>
      </c>
    </row>
    <row r="64" spans="1:10" ht="16.8" x14ac:dyDescent="0.35">
      <c r="A64" s="7" t="s">
        <v>451</v>
      </c>
      <c r="E64" s="6"/>
      <c r="G64" s="16" t="s">
        <v>386</v>
      </c>
      <c r="H64" s="29">
        <f t="shared" si="1"/>
        <v>4.3841224916480011</v>
      </c>
      <c r="I64" t="s">
        <v>370</v>
      </c>
      <c r="J64" s="6" t="s">
        <v>31</v>
      </c>
    </row>
    <row r="65" spans="1:10" ht="15.6" x14ac:dyDescent="0.35">
      <c r="A65" s="19" t="s">
        <v>452</v>
      </c>
      <c r="E65" s="6"/>
      <c r="G65" s="16" t="s">
        <v>388</v>
      </c>
      <c r="H65" s="1">
        <f>SQRT(SQRT(H61*H68)/H58)</f>
        <v>1.6393785215672594</v>
      </c>
      <c r="I65" t="s">
        <v>354</v>
      </c>
      <c r="J65" s="6"/>
    </row>
    <row r="66" spans="1:10" ht="15.6" x14ac:dyDescent="0.35">
      <c r="A66" s="16" t="s">
        <v>453</v>
      </c>
      <c r="B66" t="s">
        <v>454</v>
      </c>
      <c r="C66" s="1">
        <f>IF(B62=0,"N/A",(PI()^2*H$72)/B62^2)</f>
        <v>43.870050793163507</v>
      </c>
      <c r="D66" t="s">
        <v>44</v>
      </c>
      <c r="E66" s="6" t="s">
        <v>45</v>
      </c>
      <c r="G66" s="16" t="s">
        <v>390</v>
      </c>
      <c r="H66" s="1">
        <f>H51-H54</f>
        <v>5.8350000000000009</v>
      </c>
      <c r="I66" t="s">
        <v>354</v>
      </c>
      <c r="J66" s="6" t="s">
        <v>391</v>
      </c>
    </row>
    <row r="67" spans="1:10" ht="16.8" x14ac:dyDescent="0.35">
      <c r="A67" s="16" t="s">
        <v>455</v>
      </c>
      <c r="B67" t="s">
        <v>456</v>
      </c>
      <c r="C67" s="1">
        <f>IF(C66="N/A","N/A",IF(H73/C66&lt;2.25,(0.658^(H$73/C66)*H$73),0.877*C66))</f>
        <v>34.961334664469447</v>
      </c>
      <c r="D67" t="s">
        <v>44</v>
      </c>
      <c r="E67" s="6" t="s">
        <v>46</v>
      </c>
      <c r="G67" s="16" t="s">
        <v>392</v>
      </c>
      <c r="H67" s="29">
        <f>H27</f>
        <v>6.7013104794440545E-2</v>
      </c>
      <c r="I67" t="s">
        <v>367</v>
      </c>
      <c r="J67" s="6" t="s">
        <v>32</v>
      </c>
    </row>
    <row r="68" spans="1:10" ht="16.8" x14ac:dyDescent="0.35">
      <c r="A68" s="16" t="s">
        <v>457</v>
      </c>
      <c r="B68" t="s">
        <v>458</v>
      </c>
      <c r="C68" s="1">
        <f>IF(C67="N/A","N/A",C67*H50)</f>
        <v>136.77656555057524</v>
      </c>
      <c r="D68" t="s">
        <v>459</v>
      </c>
      <c r="E68" s="6" t="s">
        <v>47</v>
      </c>
      <c r="G68" s="16" t="s">
        <v>394</v>
      </c>
      <c r="H68" s="29">
        <f>H28</f>
        <v>73.007320237096778</v>
      </c>
      <c r="I68" t="s">
        <v>395</v>
      </c>
      <c r="J68" s="6" t="s">
        <v>33</v>
      </c>
    </row>
    <row r="69" spans="1:10" ht="15" thickBot="1" x14ac:dyDescent="0.35">
      <c r="A69" s="16"/>
      <c r="E69" s="6"/>
      <c r="G69" s="5"/>
      <c r="J69" s="6"/>
    </row>
    <row r="70" spans="1:10" ht="15" thickBot="1" x14ac:dyDescent="0.35">
      <c r="A70" s="19" t="s">
        <v>460</v>
      </c>
      <c r="E70" s="6"/>
      <c r="G70" s="429" t="s">
        <v>399</v>
      </c>
      <c r="H70" s="430"/>
      <c r="I70" s="430"/>
      <c r="J70" s="431"/>
    </row>
    <row r="71" spans="1:10" ht="15.6" x14ac:dyDescent="0.35">
      <c r="A71" s="16" t="s">
        <v>453</v>
      </c>
      <c r="B71" t="s">
        <v>75</v>
      </c>
      <c r="C71" s="1">
        <f>IF(C62=0,"N/A",(PI()^2*H$72)/C62^2)</f>
        <v>13.283099988588845</v>
      </c>
      <c r="D71" t="s">
        <v>44</v>
      </c>
      <c r="E71" s="6" t="s">
        <v>45</v>
      </c>
      <c r="G71" s="16" t="s">
        <v>400</v>
      </c>
      <c r="H71" s="51" t="str">
        <f>H31</f>
        <v>ASTM A992</v>
      </c>
      <c r="J71" s="6"/>
    </row>
    <row r="72" spans="1:10" ht="15.6" x14ac:dyDescent="0.35">
      <c r="A72" s="16" t="s">
        <v>455</v>
      </c>
      <c r="B72" t="s">
        <v>76</v>
      </c>
      <c r="C72" s="1">
        <f>IF(C71="N/A","N/A",IF(H73/C71&lt;2.25,(0.658^(H$73/C71)*H$73),0.877*C71))</f>
        <v>11.649278689992416</v>
      </c>
      <c r="D72" t="s">
        <v>44</v>
      </c>
      <c r="E72" s="6" t="s">
        <v>46</v>
      </c>
      <c r="G72" s="16" t="s">
        <v>43</v>
      </c>
      <c r="H72" s="30">
        <f>H32</f>
        <v>29000</v>
      </c>
      <c r="I72" t="s">
        <v>44</v>
      </c>
      <c r="J72" s="6" t="s">
        <v>404</v>
      </c>
    </row>
    <row r="73" spans="1:10" ht="15.6" x14ac:dyDescent="0.35">
      <c r="A73" s="16" t="s">
        <v>457</v>
      </c>
      <c r="B73" t="s">
        <v>77</v>
      </c>
      <c r="C73" s="1">
        <f>IF(C72="N/A","N/A",C72*H50)</f>
        <v>45.574585342645889</v>
      </c>
      <c r="D73" t="s">
        <v>459</v>
      </c>
      <c r="E73" s="6" t="s">
        <v>47</v>
      </c>
      <c r="G73" s="16" t="s">
        <v>409</v>
      </c>
      <c r="H73" s="30">
        <f>H34</f>
        <v>65</v>
      </c>
      <c r="I73" t="s">
        <v>44</v>
      </c>
      <c r="J73" s="6" t="s">
        <v>410</v>
      </c>
    </row>
    <row r="74" spans="1:10" ht="15.6" x14ac:dyDescent="0.35">
      <c r="A74" s="5"/>
      <c r="E74" s="6"/>
      <c r="G74" s="16" t="s">
        <v>413</v>
      </c>
      <c r="H74" s="30">
        <f>H35</f>
        <v>80</v>
      </c>
      <c r="I74" t="s">
        <v>44</v>
      </c>
      <c r="J74" s="6" t="s">
        <v>414</v>
      </c>
    </row>
    <row r="75" spans="1:10" ht="15" thickBot="1" x14ac:dyDescent="0.35">
      <c r="A75" s="7" t="s">
        <v>461</v>
      </c>
      <c r="E75" s="6"/>
      <c r="G75" s="5"/>
      <c r="J75" s="6"/>
    </row>
    <row r="76" spans="1:10" ht="15" thickBot="1" x14ac:dyDescent="0.35">
      <c r="A76" s="17" t="s">
        <v>462</v>
      </c>
      <c r="B76" s="15" t="s">
        <v>407</v>
      </c>
      <c r="C76" s="30">
        <f>H33</f>
        <v>11500</v>
      </c>
      <c r="D76" t="s">
        <v>44</v>
      </c>
      <c r="E76" s="6"/>
      <c r="G76" s="429" t="s">
        <v>417</v>
      </c>
      <c r="H76" s="430"/>
      <c r="I76" s="430"/>
      <c r="J76" s="431"/>
    </row>
    <row r="77" spans="1:10" ht="15.6" x14ac:dyDescent="0.3">
      <c r="A77" s="17" t="s">
        <v>358</v>
      </c>
      <c r="B77" s="15" t="s">
        <v>359</v>
      </c>
      <c r="C77" s="29">
        <f>C13</f>
        <v>2.1</v>
      </c>
      <c r="E77" s="6"/>
      <c r="G77" s="17" t="s">
        <v>420</v>
      </c>
      <c r="H77" s="55">
        <v>1.5</v>
      </c>
      <c r="J77" s="6" t="s">
        <v>421</v>
      </c>
    </row>
    <row r="78" spans="1:10" ht="15.6" x14ac:dyDescent="0.3">
      <c r="A78" s="17" t="s">
        <v>355</v>
      </c>
      <c r="B78" s="15" t="s">
        <v>356</v>
      </c>
      <c r="C78" s="29">
        <f>IF(C7="Above Grade",C12,0)</f>
        <v>8.625</v>
      </c>
      <c r="D78" t="s">
        <v>58</v>
      </c>
      <c r="E78" s="6"/>
      <c r="G78" s="17" t="s">
        <v>422</v>
      </c>
      <c r="H78" s="55">
        <v>1.67</v>
      </c>
      <c r="J78" s="6" t="s">
        <v>423</v>
      </c>
    </row>
    <row r="79" spans="1:10" ht="15.6" x14ac:dyDescent="0.3">
      <c r="A79" s="17" t="s">
        <v>463</v>
      </c>
      <c r="B79" s="15" t="s">
        <v>464</v>
      </c>
      <c r="C79" s="1">
        <f>IF(C78=0,"N/A",(((PI()^2*H72*H68)/(C77*C78*12)^2)+C76*H67)*(1/(H57+H61)))</f>
        <v>32.867594434036072</v>
      </c>
      <c r="D79" t="s">
        <v>44</v>
      </c>
      <c r="E79" s="6" t="s">
        <v>465</v>
      </c>
      <c r="G79" s="17" t="s">
        <v>424</v>
      </c>
      <c r="H79" s="29">
        <v>1.67</v>
      </c>
      <c r="J79" s="6" t="s">
        <v>425</v>
      </c>
    </row>
    <row r="80" spans="1:10" ht="15.6" x14ac:dyDescent="0.3">
      <c r="A80" s="17" t="s">
        <v>466</v>
      </c>
      <c r="B80" s="15" t="s">
        <v>467</v>
      </c>
      <c r="C80" s="1">
        <f>IF(C79="N/A","N/A",IF(H73/C79&lt;2.25,(0.658^(H$73/C79)*H$73),0.877*C79))</f>
        <v>28.407374919866875</v>
      </c>
      <c r="D80" t="s">
        <v>44</v>
      </c>
      <c r="E80" s="6" t="s">
        <v>46</v>
      </c>
      <c r="G80" s="17" t="s">
        <v>426</v>
      </c>
      <c r="H80" s="29">
        <v>1.67</v>
      </c>
      <c r="J80" s="6" t="s">
        <v>427</v>
      </c>
    </row>
    <row r="81" spans="1:10" ht="15.6" x14ac:dyDescent="0.3">
      <c r="A81" s="17" t="s">
        <v>468</v>
      </c>
      <c r="B81" s="15" t="s">
        <v>469</v>
      </c>
      <c r="C81" s="1">
        <f>IF(C80="N/A","N/A",C80*H50)</f>
        <v>111.13600825416034</v>
      </c>
      <c r="D81" t="s">
        <v>459</v>
      </c>
      <c r="E81" s="6" t="s">
        <v>470</v>
      </c>
      <c r="G81" s="17" t="s">
        <v>430</v>
      </c>
      <c r="H81" s="29">
        <v>2</v>
      </c>
      <c r="J81" s="6" t="s">
        <v>431</v>
      </c>
    </row>
    <row r="82" spans="1:10" ht="16.2" thickBot="1" x14ac:dyDescent="0.35">
      <c r="A82" s="26"/>
      <c r="E82" s="6"/>
      <c r="G82" s="18" t="s">
        <v>434</v>
      </c>
      <c r="H82" s="56">
        <v>1.67</v>
      </c>
      <c r="I82" s="8"/>
      <c r="J82" s="9" t="s">
        <v>435</v>
      </c>
    </row>
    <row r="83" spans="1:10" x14ac:dyDescent="0.3">
      <c r="A83" s="24" t="s">
        <v>471</v>
      </c>
      <c r="E83" s="6"/>
    </row>
    <row r="84" spans="1:10" ht="15.6" x14ac:dyDescent="0.3">
      <c r="A84" s="16" t="s">
        <v>385</v>
      </c>
      <c r="B84" s="15" t="s">
        <v>383</v>
      </c>
      <c r="C84" s="29">
        <f>C24</f>
        <v>1.5485</v>
      </c>
      <c r="D84" t="s">
        <v>459</v>
      </c>
      <c r="E84" s="6"/>
    </row>
    <row r="85" spans="1:10" ht="15.6" x14ac:dyDescent="0.35">
      <c r="A85" s="16" t="s">
        <v>472</v>
      </c>
      <c r="B85" s="1" t="s">
        <v>473</v>
      </c>
      <c r="C85" s="1">
        <f>IF(AND(C68="N/A",C73="N/A",C81="N/A"),H73*H50,MIN(C68,C73,C81))</f>
        <v>45.574585342645889</v>
      </c>
      <c r="D85" t="s">
        <v>459</v>
      </c>
      <c r="E85" s="6" t="s">
        <v>474</v>
      </c>
    </row>
    <row r="86" spans="1:10" ht="16.2" thickBot="1" x14ac:dyDescent="0.4">
      <c r="A86" s="16" t="s">
        <v>475</v>
      </c>
      <c r="B86" t="s">
        <v>476</v>
      </c>
      <c r="C86" s="1">
        <f>C85/H82</f>
        <v>27.290170863859814</v>
      </c>
      <c r="D86" t="s">
        <v>459</v>
      </c>
      <c r="E86" s="6" t="s">
        <v>477</v>
      </c>
      <c r="G86" s="1"/>
    </row>
    <row r="87" spans="1:10" ht="16.2" thickBot="1" x14ac:dyDescent="0.4">
      <c r="A87" s="25"/>
      <c r="B87" s="27" t="s">
        <v>397</v>
      </c>
      <c r="C87" s="28">
        <f>C84/C86</f>
        <v>5.6742041217875551E-2</v>
      </c>
      <c r="D87" s="8"/>
      <c r="E87" s="9" t="s">
        <v>398</v>
      </c>
    </row>
    <row r="88" spans="1:10" ht="15" thickBot="1" x14ac:dyDescent="0.35">
      <c r="A88" s="2"/>
    </row>
    <row r="89" spans="1:10" ht="15" thickBot="1" x14ac:dyDescent="0.35">
      <c r="A89" s="435" t="s">
        <v>478</v>
      </c>
      <c r="B89" s="436"/>
      <c r="C89" s="436"/>
      <c r="D89" s="436"/>
      <c r="E89" s="437"/>
    </row>
    <row r="90" spans="1:10" ht="15" thickBot="1" x14ac:dyDescent="0.35">
      <c r="A90" s="5"/>
      <c r="E90" s="6"/>
      <c r="G90" s="429" t="s">
        <v>340</v>
      </c>
      <c r="H90" s="430"/>
      <c r="I90" s="430"/>
      <c r="J90" s="431"/>
    </row>
    <row r="91" spans="1:10" x14ac:dyDescent="0.3">
      <c r="A91" s="7" t="s">
        <v>479</v>
      </c>
      <c r="E91" s="6"/>
      <c r="G91" s="41" t="s">
        <v>343</v>
      </c>
      <c r="H91" s="52" t="str">
        <f>H48</f>
        <v>W6X20</v>
      </c>
      <c r="I91" s="3"/>
      <c r="J91" s="4"/>
    </row>
    <row r="92" spans="1:10" x14ac:dyDescent="0.3">
      <c r="A92" s="19" t="s">
        <v>438</v>
      </c>
      <c r="E92" s="6"/>
      <c r="G92" s="16" t="s">
        <v>347</v>
      </c>
      <c r="H92" s="29">
        <f>H49</f>
        <v>57.599999999999994</v>
      </c>
      <c r="I92" t="s">
        <v>348</v>
      </c>
      <c r="J92" s="6"/>
    </row>
    <row r="93" spans="1:10" ht="16.2" x14ac:dyDescent="0.3">
      <c r="A93" s="16" t="s">
        <v>439</v>
      </c>
      <c r="B93" s="1">
        <f>H53/(2*H54)</f>
        <v>11.819055244195354</v>
      </c>
      <c r="E93" s="6" t="s">
        <v>480</v>
      </c>
      <c r="G93" s="16" t="s">
        <v>351</v>
      </c>
      <c r="H93" s="29">
        <f t="shared" ref="H93:H98" si="2">H50</f>
        <v>3.9122237998991132</v>
      </c>
      <c r="I93" t="s">
        <v>352</v>
      </c>
      <c r="J93" s="6" t="s">
        <v>18</v>
      </c>
    </row>
    <row r="94" spans="1:10" x14ac:dyDescent="0.3">
      <c r="A94" s="16" t="s">
        <v>481</v>
      </c>
      <c r="B94" s="1">
        <f>0.38*SQRT(H72/H73)</f>
        <v>8.0264945888361119</v>
      </c>
      <c r="E94" s="6" t="s">
        <v>480</v>
      </c>
      <c r="G94" s="16" t="s">
        <v>353</v>
      </c>
      <c r="H94" s="29">
        <f t="shared" si="2"/>
        <v>6.0848000000000004</v>
      </c>
      <c r="I94" t="s">
        <v>354</v>
      </c>
      <c r="J94" s="6" t="s">
        <v>19</v>
      </c>
    </row>
    <row r="95" spans="1:10" ht="15.6" x14ac:dyDescent="0.35">
      <c r="A95" s="16" t="s">
        <v>482</v>
      </c>
      <c r="B95" s="1">
        <f>1*SQRT(H72/H73)</f>
        <v>21.122354181147664</v>
      </c>
      <c r="E95" s="6" t="s">
        <v>480</v>
      </c>
      <c r="G95" s="16" t="s">
        <v>357</v>
      </c>
      <c r="H95" s="29">
        <f t="shared" si="2"/>
        <v>0.14480000000000004</v>
      </c>
      <c r="I95" t="s">
        <v>354</v>
      </c>
      <c r="J95" s="6" t="s">
        <v>21</v>
      </c>
    </row>
    <row r="96" spans="1:10" ht="15.6" x14ac:dyDescent="0.35">
      <c r="A96" s="16"/>
      <c r="B96" s="31" t="str">
        <f>IF(C7="Above Grade",IF(B93&lt;B94,"Compact",IF(B93&lt;B95,"Non Compact","Slender")),"Not Required")</f>
        <v>Non Compact</v>
      </c>
      <c r="E96" s="6"/>
      <c r="G96" s="16" t="s">
        <v>360</v>
      </c>
      <c r="H96" s="29">
        <f t="shared" si="2"/>
        <v>5.9047999999999998</v>
      </c>
      <c r="I96" t="s">
        <v>354</v>
      </c>
      <c r="J96" s="6" t="s">
        <v>22</v>
      </c>
    </row>
    <row r="97" spans="1:10" ht="15.6" x14ac:dyDescent="0.35">
      <c r="A97" s="19" t="s">
        <v>442</v>
      </c>
      <c r="G97" s="16" t="s">
        <v>361</v>
      </c>
      <c r="H97" s="29">
        <f t="shared" si="2"/>
        <v>0.24980000000000002</v>
      </c>
      <c r="I97" t="s">
        <v>354</v>
      </c>
      <c r="J97" s="6" t="s">
        <v>23</v>
      </c>
    </row>
    <row r="98" spans="1:10" ht="15.6" x14ac:dyDescent="0.35">
      <c r="A98" s="16" t="s">
        <v>439</v>
      </c>
      <c r="B98" s="1">
        <f>(H51-2*H54)/H52</f>
        <v>38.571823204419879</v>
      </c>
      <c r="E98" s="6" t="s">
        <v>480</v>
      </c>
      <c r="G98" s="16" t="s">
        <v>443</v>
      </c>
      <c r="H98" s="29">
        <f t="shared" si="2"/>
        <v>0</v>
      </c>
      <c r="I98" t="s">
        <v>354</v>
      </c>
      <c r="J98" s="6" t="s">
        <v>444</v>
      </c>
    </row>
    <row r="99" spans="1:10" x14ac:dyDescent="0.3">
      <c r="A99" s="16" t="s">
        <v>481</v>
      </c>
      <c r="B99" s="1">
        <f>3.76*SQRT(H72/H73)</f>
        <v>79.420051721115215</v>
      </c>
      <c r="E99" s="6" t="s">
        <v>480</v>
      </c>
      <c r="G99" s="16"/>
      <c r="H99" s="1"/>
      <c r="J99" s="6"/>
    </row>
    <row r="100" spans="1:10" ht="16.8" x14ac:dyDescent="0.35">
      <c r="A100" s="16" t="s">
        <v>482</v>
      </c>
      <c r="B100" s="1">
        <f>5.7*SQRT(H72/H73)</f>
        <v>120.39741883254169</v>
      </c>
      <c r="E100" s="6" t="s">
        <v>480</v>
      </c>
      <c r="G100" s="16" t="s">
        <v>366</v>
      </c>
      <c r="H100" s="29">
        <f>H57</f>
        <v>28.327834323618902</v>
      </c>
      <c r="I100" t="s">
        <v>367</v>
      </c>
      <c r="J100" s="6" t="s">
        <v>24</v>
      </c>
    </row>
    <row r="101" spans="1:10" ht="16.8" x14ac:dyDescent="0.35">
      <c r="A101" s="5"/>
      <c r="B101" s="31" t="str">
        <f>IF(C7="Above Grade",IF(B98&lt;B99,"Compact",IF(B98&lt;B100,"Non Compact","Slender")),"Not Required")</f>
        <v>Compact</v>
      </c>
      <c r="E101" s="6"/>
      <c r="G101" s="16" t="s">
        <v>369</v>
      </c>
      <c r="H101" s="29">
        <f t="shared" ref="H101:H107" si="3">H58</f>
        <v>9.3110157519126009</v>
      </c>
      <c r="I101" t="s">
        <v>370</v>
      </c>
      <c r="J101" s="6" t="s">
        <v>25</v>
      </c>
    </row>
    <row r="102" spans="1:10" ht="15.6" x14ac:dyDescent="0.35">
      <c r="A102" s="5"/>
      <c r="E102" s="6"/>
      <c r="G102" s="16" t="s">
        <v>373</v>
      </c>
      <c r="H102" s="29">
        <f t="shared" si="3"/>
        <v>2.6908831642960962</v>
      </c>
      <c r="I102" t="s">
        <v>354</v>
      </c>
      <c r="J102" s="6" t="s">
        <v>26</v>
      </c>
    </row>
    <row r="103" spans="1:10" ht="16.8" x14ac:dyDescent="0.35">
      <c r="A103" s="7" t="s">
        <v>483</v>
      </c>
      <c r="E103" s="6"/>
      <c r="G103" s="16" t="s">
        <v>376</v>
      </c>
      <c r="H103" s="29">
        <f t="shared" si="3"/>
        <v>10.150004827091585</v>
      </c>
      <c r="I103" t="s">
        <v>370</v>
      </c>
      <c r="J103" s="6" t="s">
        <v>27</v>
      </c>
    </row>
    <row r="104" spans="1:10" ht="16.8" x14ac:dyDescent="0.35">
      <c r="A104" s="16" t="s">
        <v>484</v>
      </c>
      <c r="B104" t="s">
        <v>485</v>
      </c>
      <c r="C104" s="1">
        <f>H73*H60/12</f>
        <v>54.979192813412759</v>
      </c>
      <c r="D104" t="s">
        <v>486</v>
      </c>
      <c r="E104" s="6" t="s">
        <v>53</v>
      </c>
      <c r="G104" s="16" t="s">
        <v>379</v>
      </c>
      <c r="H104" s="29">
        <f t="shared" si="3"/>
        <v>8.5771830435046326</v>
      </c>
      <c r="I104" t="s">
        <v>367</v>
      </c>
      <c r="J104" s="6" t="s">
        <v>28</v>
      </c>
    </row>
    <row r="105" spans="1:10" ht="16.8" x14ac:dyDescent="0.35">
      <c r="A105" s="5"/>
      <c r="E105" s="6"/>
      <c r="G105" s="16" t="s">
        <v>382</v>
      </c>
      <c r="H105" s="29">
        <f t="shared" si="3"/>
        <v>2.9051561588892536</v>
      </c>
      <c r="I105" t="s">
        <v>370</v>
      </c>
      <c r="J105" s="6" t="s">
        <v>29</v>
      </c>
    </row>
    <row r="106" spans="1:10" ht="15.6" x14ac:dyDescent="0.35">
      <c r="A106" s="7" t="s">
        <v>487</v>
      </c>
      <c r="E106" s="6"/>
      <c r="G106" s="16" t="s">
        <v>384</v>
      </c>
      <c r="H106" s="29">
        <f t="shared" si="3"/>
        <v>1.4806775572148851</v>
      </c>
      <c r="I106" t="s">
        <v>354</v>
      </c>
      <c r="J106" s="6" t="s">
        <v>30</v>
      </c>
    </row>
    <row r="107" spans="1:10" ht="16.8" x14ac:dyDescent="0.35">
      <c r="A107" s="16" t="s">
        <v>57</v>
      </c>
      <c r="B107" t="s">
        <v>341</v>
      </c>
      <c r="C107" s="29">
        <f>IF(C7="Above Grade",C9*12,0)</f>
        <v>103.5</v>
      </c>
      <c r="D107" t="s">
        <v>354</v>
      </c>
      <c r="E107" s="6"/>
      <c r="G107" s="16" t="s">
        <v>386</v>
      </c>
      <c r="H107" s="29">
        <f t="shared" si="3"/>
        <v>4.3841224916480011</v>
      </c>
      <c r="I107" t="s">
        <v>370</v>
      </c>
      <c r="J107" s="6" t="s">
        <v>31</v>
      </c>
    </row>
    <row r="108" spans="1:10" ht="15.6" x14ac:dyDescent="0.35">
      <c r="A108" s="16" t="s">
        <v>488</v>
      </c>
      <c r="B108" t="s">
        <v>489</v>
      </c>
      <c r="C108" s="1">
        <f>1.76*H63*SQRT(H72/H73)</f>
        <v>55.04469659316203</v>
      </c>
      <c r="D108" t="s">
        <v>354</v>
      </c>
      <c r="E108" s="6" t="s">
        <v>48</v>
      </c>
      <c r="G108" s="16" t="s">
        <v>388</v>
      </c>
      <c r="H108" s="1">
        <f>H65</f>
        <v>1.6393785215672594</v>
      </c>
      <c r="I108" t="s">
        <v>354</v>
      </c>
      <c r="J108" s="6"/>
    </row>
    <row r="109" spans="1:10" ht="15.6" x14ac:dyDescent="0.35">
      <c r="A109" s="16" t="s">
        <v>362</v>
      </c>
      <c r="B109" t="s">
        <v>363</v>
      </c>
      <c r="C109" s="29">
        <f>C15</f>
        <v>1.464</v>
      </c>
      <c r="E109" s="6" t="s">
        <v>490</v>
      </c>
      <c r="G109" s="16" t="s">
        <v>390</v>
      </c>
      <c r="H109" s="1">
        <f>H66</f>
        <v>5.8350000000000009</v>
      </c>
      <c r="I109" t="s">
        <v>354</v>
      </c>
      <c r="J109" s="6" t="s">
        <v>391</v>
      </c>
    </row>
    <row r="110" spans="1:10" ht="16.8" x14ac:dyDescent="0.35">
      <c r="A110" s="16" t="s">
        <v>491</v>
      </c>
      <c r="B110" t="s">
        <v>492</v>
      </c>
      <c r="C110" s="1">
        <f>(1.95*H65*H72)/(0.7*H73)*SQRT((H67*C109)/(H58*H66)+SQRT(((H67*C109)/(H58*H66))^2+6.76*((0.7*H73)/H72)^2))</f>
        <v>161.29708929480472</v>
      </c>
      <c r="D110" t="s">
        <v>354</v>
      </c>
      <c r="E110" s="6"/>
      <c r="G110" s="16" t="s">
        <v>392</v>
      </c>
      <c r="H110" s="29">
        <f>H67</f>
        <v>6.7013104794440545E-2</v>
      </c>
      <c r="I110" t="s">
        <v>367</v>
      </c>
      <c r="J110" s="6" t="s">
        <v>32</v>
      </c>
    </row>
    <row r="111" spans="1:10" ht="16.8" x14ac:dyDescent="0.35">
      <c r="A111" s="16" t="s">
        <v>364</v>
      </c>
      <c r="B111" t="s">
        <v>365</v>
      </c>
      <c r="C111" s="29">
        <f>C16</f>
        <v>1.464</v>
      </c>
      <c r="E111" s="6"/>
      <c r="G111" s="16" t="s">
        <v>394</v>
      </c>
      <c r="H111" s="29">
        <f>H68</f>
        <v>73.007320237096778</v>
      </c>
      <c r="I111" t="s">
        <v>395</v>
      </c>
      <c r="J111" s="6" t="s">
        <v>33</v>
      </c>
    </row>
    <row r="112" spans="1:10" ht="16.2" thickBot="1" x14ac:dyDescent="0.4">
      <c r="A112" s="16" t="s">
        <v>493</v>
      </c>
      <c r="B112" t="s">
        <v>494</v>
      </c>
      <c r="C112" s="1">
        <f>IF(AND(C107&lt;C110,C107&gt;C108),C111*(C104-(C104-0.7*H73*H58/12)*((C107-C108)/(C110-C108))),IF(C107&gt;C110,H58*((C111*PI()^2*H72)/(C107/H65)^2)*SQRT(1+0.078*((H67*C109)/(H58*H66))*(C107/H65)^2)/12,"LTB Not Required"))</f>
        <v>67.353731384842831</v>
      </c>
      <c r="D112" t="s">
        <v>486</v>
      </c>
      <c r="E112" s="6" t="s">
        <v>495</v>
      </c>
      <c r="G112" s="5"/>
      <c r="J112" s="6"/>
    </row>
    <row r="113" spans="1:10" ht="15" thickBot="1" x14ac:dyDescent="0.35">
      <c r="A113" s="5"/>
      <c r="E113" s="6"/>
      <c r="G113" s="429" t="s">
        <v>399</v>
      </c>
      <c r="H113" s="430"/>
      <c r="I113" s="430"/>
      <c r="J113" s="431"/>
    </row>
    <row r="114" spans="1:10" x14ac:dyDescent="0.3">
      <c r="A114" s="7" t="s">
        <v>496</v>
      </c>
      <c r="E114" s="6"/>
      <c r="G114" s="16" t="s">
        <v>400</v>
      </c>
      <c r="H114" s="51" t="str">
        <f>H71</f>
        <v>ASTM A992</v>
      </c>
      <c r="J114" s="6"/>
    </row>
    <row r="115" spans="1:10" ht="28.8" x14ac:dyDescent="0.3">
      <c r="A115" s="20" t="s">
        <v>497</v>
      </c>
      <c r="B115" s="32" t="str">
        <f>IF(AND(B101="Compact",OR(B96="Non Compact",B96="Slender")),"YES",IF(B101="Non Compact","SEE CODE - SECTION F4",IF(B101="Slender","SEE CODE - SECTION F5","NO")))</f>
        <v>YES</v>
      </c>
      <c r="C115" s="21"/>
      <c r="D115" s="21"/>
      <c r="E115" s="22" t="s">
        <v>498</v>
      </c>
      <c r="G115" s="16" t="s">
        <v>43</v>
      </c>
      <c r="H115" s="33">
        <f>H72</f>
        <v>29000</v>
      </c>
      <c r="I115" t="s">
        <v>44</v>
      </c>
      <c r="J115" s="6" t="s">
        <v>404</v>
      </c>
    </row>
    <row r="116" spans="1:10" ht="15.6" x14ac:dyDescent="0.35">
      <c r="A116" s="5"/>
      <c r="B116" t="s">
        <v>499</v>
      </c>
      <c r="C116" s="1">
        <f>IF(4/(SQRT((H51-2*H55)/H52))&lt;0.35,0.35,IF(4/(SQRT((H51-2*H55)/H52))&gt;0.76,0.76,4/(SQRT((H51-2*H55)/H52))))</f>
        <v>0.61705108205467363</v>
      </c>
      <c r="E116" s="6"/>
      <c r="G116" s="20" t="s">
        <v>409</v>
      </c>
      <c r="H116" s="53">
        <f>H73</f>
        <v>65</v>
      </c>
      <c r="I116" s="21" t="s">
        <v>44</v>
      </c>
      <c r="J116" s="54" t="s">
        <v>410</v>
      </c>
    </row>
    <row r="117" spans="1:10" ht="15.6" x14ac:dyDescent="0.3">
      <c r="A117" s="5"/>
      <c r="B117" t="s">
        <v>500</v>
      </c>
      <c r="C117" s="1">
        <f>(H51-2*H55)</f>
        <v>6.0848000000000004</v>
      </c>
      <c r="D117" t="s">
        <v>354</v>
      </c>
      <c r="E117" s="6"/>
      <c r="G117" s="20" t="s">
        <v>413</v>
      </c>
      <c r="H117" s="53">
        <f>H74</f>
        <v>80</v>
      </c>
      <c r="I117" s="21" t="s">
        <v>44</v>
      </c>
      <c r="J117" s="54" t="s">
        <v>414</v>
      </c>
    </row>
    <row r="118" spans="1:10" ht="16.2" thickBot="1" x14ac:dyDescent="0.4">
      <c r="A118" s="5"/>
      <c r="B118" s="23" t="s">
        <v>501</v>
      </c>
      <c r="C118" s="1">
        <f>H53/(2*H54)</f>
        <v>11.819055244195354</v>
      </c>
      <c r="E118" s="6" t="s">
        <v>502</v>
      </c>
      <c r="G118" s="5"/>
      <c r="J118" s="6"/>
    </row>
    <row r="119" spans="1:10" ht="16.2" thickBot="1" x14ac:dyDescent="0.4">
      <c r="A119" s="16" t="s">
        <v>503</v>
      </c>
      <c r="B119" s="23" t="s">
        <v>504</v>
      </c>
      <c r="C119" s="1">
        <f>B94</f>
        <v>8.0264945888361119</v>
      </c>
      <c r="E119" s="6" t="s">
        <v>480</v>
      </c>
      <c r="G119" s="429" t="s">
        <v>417</v>
      </c>
      <c r="H119" s="430"/>
      <c r="I119" s="430"/>
      <c r="J119" s="431"/>
    </row>
    <row r="120" spans="1:10" ht="15.6" x14ac:dyDescent="0.35">
      <c r="A120" s="16" t="s">
        <v>505</v>
      </c>
      <c r="B120" s="23" t="s">
        <v>506</v>
      </c>
      <c r="C120" s="1">
        <f>B95</f>
        <v>21.122354181147664</v>
      </c>
      <c r="E120" s="6" t="s">
        <v>480</v>
      </c>
      <c r="G120" s="17" t="s">
        <v>420</v>
      </c>
      <c r="H120" s="55">
        <f t="shared" ref="H120:H125" si="4">H77</f>
        <v>1.5</v>
      </c>
      <c r="J120" s="6" t="s">
        <v>421</v>
      </c>
    </row>
    <row r="121" spans="1:10" ht="15.6" x14ac:dyDescent="0.35">
      <c r="A121" s="16" t="s">
        <v>507</v>
      </c>
      <c r="B121" s="23" t="s">
        <v>508</v>
      </c>
      <c r="C121" s="1">
        <f>IF(B96="Non Compact",(C104-(C104-0.7*H73*H58/12)*((C118-C119)/(C120-C119))),(0.9*H72*C116*H58)/(C118^2*12))</f>
        <v>49.281335029165014</v>
      </c>
      <c r="D121" t="s">
        <v>509</v>
      </c>
      <c r="E121" s="6" t="s">
        <v>510</v>
      </c>
      <c r="G121" s="17" t="s">
        <v>422</v>
      </c>
      <c r="H121" s="55">
        <f t="shared" si="4"/>
        <v>1.67</v>
      </c>
      <c r="J121" s="6" t="s">
        <v>423</v>
      </c>
    </row>
    <row r="122" spans="1:10" ht="15.6" x14ac:dyDescent="0.3">
      <c r="A122" s="5"/>
      <c r="E122" s="6"/>
      <c r="G122" s="17" t="s">
        <v>424</v>
      </c>
      <c r="H122" s="55">
        <f t="shared" si="4"/>
        <v>1.67</v>
      </c>
      <c r="J122" s="6" t="s">
        <v>425</v>
      </c>
    </row>
    <row r="123" spans="1:10" ht="15.6" x14ac:dyDescent="0.3">
      <c r="A123" s="24" t="s">
        <v>511</v>
      </c>
      <c r="E123" s="6"/>
      <c r="G123" s="17" t="s">
        <v>426</v>
      </c>
      <c r="H123" s="55">
        <f t="shared" si="4"/>
        <v>1.67</v>
      </c>
      <c r="J123" s="6" t="s">
        <v>427</v>
      </c>
    </row>
    <row r="124" spans="1:10" ht="15.6" x14ac:dyDescent="0.3">
      <c r="A124" s="16" t="s">
        <v>374</v>
      </c>
      <c r="B124" s="15" t="s">
        <v>371</v>
      </c>
      <c r="C124" s="29">
        <f>C20</f>
        <v>10.309909217633734</v>
      </c>
      <c r="D124" t="s">
        <v>509</v>
      </c>
      <c r="E124" s="6"/>
      <c r="G124" s="17" t="s">
        <v>430</v>
      </c>
      <c r="H124" s="55">
        <f t="shared" si="4"/>
        <v>2</v>
      </c>
      <c r="J124" s="6" t="s">
        <v>431</v>
      </c>
    </row>
    <row r="125" spans="1:10" ht="16.2" thickBot="1" x14ac:dyDescent="0.4">
      <c r="A125" s="16" t="s">
        <v>512</v>
      </c>
      <c r="B125" s="1" t="s">
        <v>513</v>
      </c>
      <c r="C125" s="1">
        <f>IF(B115="YES",MIN(C104,C112,C121),MIN(C112,C104))</f>
        <v>49.281335029165014</v>
      </c>
      <c r="D125" t="s">
        <v>509</v>
      </c>
      <c r="E125" s="6" t="s">
        <v>514</v>
      </c>
      <c r="G125" s="18" t="s">
        <v>434</v>
      </c>
      <c r="H125" s="57">
        <f t="shared" si="4"/>
        <v>1.67</v>
      </c>
      <c r="I125" s="8"/>
      <c r="J125" s="9" t="s">
        <v>435</v>
      </c>
    </row>
    <row r="126" spans="1:10" ht="16.2" thickBot="1" x14ac:dyDescent="0.4">
      <c r="A126" s="16" t="s">
        <v>515</v>
      </c>
      <c r="B126" t="s">
        <v>516</v>
      </c>
      <c r="C126" s="1">
        <f>C125/H79</f>
        <v>29.509781454589831</v>
      </c>
      <c r="D126" t="s">
        <v>509</v>
      </c>
      <c r="E126" s="6" t="s">
        <v>517</v>
      </c>
    </row>
    <row r="127" spans="1:10" ht="16.2" thickBot="1" x14ac:dyDescent="0.4">
      <c r="A127" s="25"/>
      <c r="B127" s="27" t="s">
        <v>397</v>
      </c>
      <c r="C127" s="28">
        <f>C124/C126</f>
        <v>0.34937260492758321</v>
      </c>
      <c r="D127" s="8"/>
      <c r="E127" s="9" t="s">
        <v>403</v>
      </c>
    </row>
    <row r="128" spans="1:10" ht="15" thickBot="1" x14ac:dyDescent="0.35">
      <c r="A128" s="2"/>
    </row>
    <row r="129" spans="1:5" ht="15" thickBot="1" x14ac:dyDescent="0.35">
      <c r="A129" s="435" t="s">
        <v>518</v>
      </c>
      <c r="B129" s="436"/>
      <c r="C129" s="436"/>
      <c r="D129" s="436"/>
      <c r="E129" s="437"/>
    </row>
    <row r="130" spans="1:5" x14ac:dyDescent="0.3">
      <c r="A130" s="7" t="s">
        <v>519</v>
      </c>
      <c r="E130" s="6"/>
    </row>
    <row r="131" spans="1:5" ht="15.6" x14ac:dyDescent="0.35">
      <c r="A131" s="16" t="s">
        <v>520</v>
      </c>
      <c r="B131" t="s">
        <v>521</v>
      </c>
      <c r="C131" s="1">
        <f>MIN(H73*H64,1.6*H73*H62)/12</f>
        <v>23.747330163093338</v>
      </c>
      <c r="D131" t="s">
        <v>486</v>
      </c>
      <c r="E131" s="6" t="s">
        <v>53</v>
      </c>
    </row>
    <row r="132" spans="1:5" x14ac:dyDescent="0.3">
      <c r="A132" s="5"/>
      <c r="E132" s="6"/>
    </row>
    <row r="133" spans="1:5" x14ac:dyDescent="0.3">
      <c r="A133" s="7" t="s">
        <v>522</v>
      </c>
      <c r="E133" s="6"/>
    </row>
    <row r="134" spans="1:5" ht="28.8" x14ac:dyDescent="0.3">
      <c r="A134" s="20" t="s">
        <v>497</v>
      </c>
      <c r="B134" s="32" t="str">
        <f>IF(OR(B96="Non Compact",B96="Slender"),"YES","NO")</f>
        <v>YES</v>
      </c>
      <c r="C134" s="21"/>
      <c r="D134" s="21"/>
      <c r="E134" s="22" t="s">
        <v>523</v>
      </c>
    </row>
    <row r="135" spans="1:5" x14ac:dyDescent="0.3">
      <c r="A135" s="16"/>
      <c r="B135" t="s">
        <v>524</v>
      </c>
      <c r="C135" s="1">
        <f>H53/2</f>
        <v>2.9523999999999999</v>
      </c>
      <c r="D135" t="s">
        <v>354</v>
      </c>
      <c r="E135" s="6"/>
    </row>
    <row r="136" spans="1:5" ht="15.6" x14ac:dyDescent="0.35">
      <c r="A136" s="16"/>
      <c r="B136" s="23" t="s">
        <v>501</v>
      </c>
      <c r="C136" s="1">
        <f>C135/H54</f>
        <v>11.819055244195354</v>
      </c>
      <c r="E136" s="6" t="s">
        <v>525</v>
      </c>
    </row>
    <row r="137" spans="1:5" ht="15.6" x14ac:dyDescent="0.35">
      <c r="A137" s="16" t="s">
        <v>503</v>
      </c>
      <c r="B137" s="23" t="s">
        <v>504</v>
      </c>
      <c r="C137" s="1">
        <f>B94</f>
        <v>8.0264945888361119</v>
      </c>
      <c r="E137" s="6" t="s">
        <v>480</v>
      </c>
    </row>
    <row r="138" spans="1:5" ht="15.6" x14ac:dyDescent="0.35">
      <c r="A138" s="16" t="s">
        <v>505</v>
      </c>
      <c r="B138" s="23" t="s">
        <v>506</v>
      </c>
      <c r="C138" s="1">
        <f>B95</f>
        <v>21.122354181147664</v>
      </c>
      <c r="E138" s="6" t="s">
        <v>480</v>
      </c>
    </row>
    <row r="139" spans="1:5" ht="15.6" x14ac:dyDescent="0.35">
      <c r="A139" s="16" t="s">
        <v>507</v>
      </c>
      <c r="B139" s="23" t="s">
        <v>526</v>
      </c>
      <c r="C139" s="1">
        <f>IF(B96="Non Compact",(C131-(C131-0.7*H73*H62/12)*((C136-C137)/(C138-C137))),H62*(0.69*H72)/(C136^2)/12)</f>
        <v>20.060158762121059</v>
      </c>
      <c r="D139" t="s">
        <v>509</v>
      </c>
      <c r="E139" s="6" t="s">
        <v>510</v>
      </c>
    </row>
    <row r="140" spans="1:5" x14ac:dyDescent="0.3">
      <c r="A140" s="5"/>
      <c r="E140" s="6"/>
    </row>
    <row r="141" spans="1:5" x14ac:dyDescent="0.3">
      <c r="A141" s="24" t="s">
        <v>527</v>
      </c>
      <c r="E141" s="6"/>
    </row>
    <row r="142" spans="1:5" ht="15.6" x14ac:dyDescent="0.3">
      <c r="A142" s="16" t="s">
        <v>374</v>
      </c>
      <c r="B142" s="15" t="s">
        <v>372</v>
      </c>
      <c r="C142" s="29">
        <f>D20</f>
        <v>3.3091543387349716</v>
      </c>
      <c r="D142" t="s">
        <v>509</v>
      </c>
      <c r="E142" s="6"/>
    </row>
    <row r="143" spans="1:5" ht="15.6" x14ac:dyDescent="0.35">
      <c r="A143" s="16" t="s">
        <v>512</v>
      </c>
      <c r="B143" s="1" t="s">
        <v>528</v>
      </c>
      <c r="C143" s="1">
        <f>IF(B134="YES",MIN(C131,C139),C131)</f>
        <v>20.060158762121059</v>
      </c>
      <c r="D143" t="s">
        <v>509</v>
      </c>
      <c r="E143" s="6" t="s">
        <v>529</v>
      </c>
    </row>
    <row r="144" spans="1:5" ht="16.2" thickBot="1" x14ac:dyDescent="0.4">
      <c r="A144" s="16" t="s">
        <v>515</v>
      </c>
      <c r="B144" t="s">
        <v>530</v>
      </c>
      <c r="C144" s="1">
        <f>C143/H79</f>
        <v>12.01207111504255</v>
      </c>
      <c r="D144" t="s">
        <v>509</v>
      </c>
      <c r="E144" s="6" t="s">
        <v>531</v>
      </c>
    </row>
    <row r="145" spans="1:10" ht="16.2" thickBot="1" x14ac:dyDescent="0.4">
      <c r="A145" s="25"/>
      <c r="B145" s="27" t="s">
        <v>397</v>
      </c>
      <c r="C145" s="28">
        <f>C142/C144</f>
        <v>0.2754857432196654</v>
      </c>
      <c r="D145" s="8"/>
      <c r="E145" s="9" t="s">
        <v>406</v>
      </c>
    </row>
    <row r="146" spans="1:10" ht="15" thickBot="1" x14ac:dyDescent="0.35"/>
    <row r="147" spans="1:10" ht="15" thickBot="1" x14ac:dyDescent="0.35">
      <c r="A147" s="435" t="s">
        <v>532</v>
      </c>
      <c r="B147" s="436"/>
      <c r="C147" s="436"/>
      <c r="D147" s="436"/>
      <c r="E147" s="437"/>
    </row>
    <row r="148" spans="1:10" ht="15" thickBot="1" x14ac:dyDescent="0.35">
      <c r="A148" s="50"/>
      <c r="B148" s="3"/>
      <c r="C148" s="3"/>
      <c r="D148" s="3"/>
      <c r="E148" s="4"/>
      <c r="G148" s="429" t="s">
        <v>340</v>
      </c>
      <c r="H148" s="430"/>
      <c r="I148" s="430"/>
      <c r="J148" s="431"/>
    </row>
    <row r="149" spans="1:10" ht="16.2" x14ac:dyDescent="0.35">
      <c r="A149" s="16" t="s">
        <v>533</v>
      </c>
      <c r="B149" t="s">
        <v>534</v>
      </c>
      <c r="C149" s="1">
        <f>H51*H52</f>
        <v>0.88107904000000026</v>
      </c>
      <c r="D149" s="21" t="s">
        <v>352</v>
      </c>
      <c r="E149" s="6" t="s">
        <v>535</v>
      </c>
      <c r="G149" s="41" t="s">
        <v>343</v>
      </c>
      <c r="H149" s="52" t="str">
        <f>H48</f>
        <v>W6X20</v>
      </c>
      <c r="I149" s="3"/>
      <c r="J149" s="4"/>
    </row>
    <row r="150" spans="1:10" ht="16.2" x14ac:dyDescent="0.35">
      <c r="A150" s="16" t="s">
        <v>536</v>
      </c>
      <c r="B150" t="s">
        <v>537</v>
      </c>
      <c r="C150" s="1">
        <f>2*H53*H54</f>
        <v>2.9500380800000001</v>
      </c>
      <c r="D150" s="21" t="s">
        <v>352</v>
      </c>
      <c r="E150" s="6" t="s">
        <v>538</v>
      </c>
      <c r="G150" s="16" t="s">
        <v>347</v>
      </c>
      <c r="H150" s="29">
        <f t="shared" ref="H150:H156" si="5">H49</f>
        <v>57.599999999999994</v>
      </c>
      <c r="I150" t="s">
        <v>348</v>
      </c>
      <c r="J150" s="6"/>
    </row>
    <row r="151" spans="1:10" ht="16.8" x14ac:dyDescent="0.35">
      <c r="A151" s="16" t="s">
        <v>539</v>
      </c>
      <c r="B151" s="23" t="s">
        <v>540</v>
      </c>
      <c r="C151" s="1">
        <v>1</v>
      </c>
      <c r="E151" s="6" t="s">
        <v>541</v>
      </c>
      <c r="G151" s="16" t="s">
        <v>351</v>
      </c>
      <c r="H151" s="29">
        <f t="shared" si="5"/>
        <v>3.9122237998991132</v>
      </c>
      <c r="I151" t="s">
        <v>352</v>
      </c>
      <c r="J151" s="6" t="s">
        <v>18</v>
      </c>
    </row>
    <row r="152" spans="1:10" ht="15.6" x14ac:dyDescent="0.35">
      <c r="A152" s="16" t="s">
        <v>542</v>
      </c>
      <c r="B152" s="23" t="s">
        <v>543</v>
      </c>
      <c r="C152" s="1">
        <v>1</v>
      </c>
      <c r="E152" s="6" t="s">
        <v>544</v>
      </c>
      <c r="G152" s="16" t="s">
        <v>353</v>
      </c>
      <c r="H152" s="29">
        <f t="shared" si="5"/>
        <v>6.0848000000000004</v>
      </c>
      <c r="I152" t="s">
        <v>354</v>
      </c>
      <c r="J152" s="6" t="s">
        <v>19</v>
      </c>
    </row>
    <row r="153" spans="1:10" ht="15.6" x14ac:dyDescent="0.35">
      <c r="A153" s="5"/>
      <c r="E153" s="6"/>
      <c r="G153" s="16" t="s">
        <v>357</v>
      </c>
      <c r="H153" s="29">
        <f t="shared" si="5"/>
        <v>0.14480000000000004</v>
      </c>
      <c r="I153" t="s">
        <v>354</v>
      </c>
      <c r="J153" s="6" t="s">
        <v>21</v>
      </c>
    </row>
    <row r="154" spans="1:10" ht="15.6" x14ac:dyDescent="0.35">
      <c r="A154" s="24" t="s">
        <v>545</v>
      </c>
      <c r="E154" s="6"/>
      <c r="G154" s="16" t="s">
        <v>360</v>
      </c>
      <c r="H154" s="29">
        <f t="shared" si="5"/>
        <v>5.9047999999999998</v>
      </c>
      <c r="I154" t="s">
        <v>354</v>
      </c>
      <c r="J154" s="6" t="s">
        <v>22</v>
      </c>
    </row>
    <row r="155" spans="1:10" ht="15.6" x14ac:dyDescent="0.35">
      <c r="A155" s="16" t="s">
        <v>380</v>
      </c>
      <c r="B155" s="15" t="s">
        <v>377</v>
      </c>
      <c r="C155" s="29">
        <f>C22</f>
        <v>1.4143784631468896</v>
      </c>
      <c r="D155" t="s">
        <v>459</v>
      </c>
      <c r="E155" s="6"/>
      <c r="G155" s="16" t="s">
        <v>361</v>
      </c>
      <c r="H155" s="29">
        <f t="shared" si="5"/>
        <v>0.24980000000000002</v>
      </c>
      <c r="I155" t="s">
        <v>354</v>
      </c>
      <c r="J155" s="6" t="s">
        <v>23</v>
      </c>
    </row>
    <row r="156" spans="1:10" ht="15.6" x14ac:dyDescent="0.35">
      <c r="A156" s="16" t="s">
        <v>546</v>
      </c>
      <c r="B156" s="1" t="s">
        <v>547</v>
      </c>
      <c r="C156" s="1">
        <f>0.6*H73*C149*C151</f>
        <v>34.362082560000012</v>
      </c>
      <c r="D156" t="s">
        <v>459</v>
      </c>
      <c r="E156" s="6" t="s">
        <v>548</v>
      </c>
      <c r="G156" s="16" t="s">
        <v>443</v>
      </c>
      <c r="H156" s="29">
        <f t="shared" si="5"/>
        <v>0</v>
      </c>
      <c r="I156" t="s">
        <v>354</v>
      </c>
      <c r="J156" s="6" t="s">
        <v>444</v>
      </c>
    </row>
    <row r="157" spans="1:10" ht="16.2" thickBot="1" x14ac:dyDescent="0.4">
      <c r="A157" s="16" t="s">
        <v>549</v>
      </c>
      <c r="B157" t="s">
        <v>550</v>
      </c>
      <c r="C157" s="1">
        <f>C156/H77</f>
        <v>22.908055040000008</v>
      </c>
      <c r="D157" t="s">
        <v>459</v>
      </c>
      <c r="E157" s="6" t="s">
        <v>551</v>
      </c>
      <c r="G157" s="16"/>
      <c r="H157" s="1"/>
      <c r="J157" s="6"/>
    </row>
    <row r="158" spans="1:10" ht="17.399999999999999" thickBot="1" x14ac:dyDescent="0.4">
      <c r="A158" s="26"/>
      <c r="B158" s="27" t="s">
        <v>397</v>
      </c>
      <c r="C158" s="28">
        <f>C155/C157</f>
        <v>6.174153417552157E-2</v>
      </c>
      <c r="E158" s="6" t="s">
        <v>412</v>
      </c>
      <c r="G158" s="16" t="s">
        <v>366</v>
      </c>
      <c r="H158" s="29">
        <f>H57</f>
        <v>28.327834323618902</v>
      </c>
      <c r="I158" t="s">
        <v>367</v>
      </c>
      <c r="J158" s="6" t="s">
        <v>24</v>
      </c>
    </row>
    <row r="159" spans="1:10" ht="16.8" x14ac:dyDescent="0.35">
      <c r="A159" s="5"/>
      <c r="E159" s="6"/>
      <c r="G159" s="16" t="s">
        <v>369</v>
      </c>
      <c r="H159" s="29">
        <f t="shared" ref="H159:H165" si="6">H58</f>
        <v>9.3110157519126009</v>
      </c>
      <c r="I159" t="s">
        <v>370</v>
      </c>
      <c r="J159" s="6" t="s">
        <v>25</v>
      </c>
    </row>
    <row r="160" spans="1:10" ht="15.6" x14ac:dyDescent="0.35">
      <c r="A160" s="24" t="s">
        <v>552</v>
      </c>
      <c r="E160" s="6"/>
      <c r="G160" s="16" t="s">
        <v>373</v>
      </c>
      <c r="H160" s="29">
        <f t="shared" si="6"/>
        <v>2.6908831642960962</v>
      </c>
      <c r="I160" t="s">
        <v>354</v>
      </c>
      <c r="J160" s="6" t="s">
        <v>26</v>
      </c>
    </row>
    <row r="161" spans="1:10" ht="16.8" x14ac:dyDescent="0.35">
      <c r="A161" s="16" t="s">
        <v>380</v>
      </c>
      <c r="B161" s="15" t="s">
        <v>378</v>
      </c>
      <c r="C161" s="29">
        <f>D22</f>
        <v>0.3751152178776791</v>
      </c>
      <c r="D161" t="s">
        <v>459</v>
      </c>
      <c r="E161" s="6"/>
      <c r="G161" s="16" t="s">
        <v>376</v>
      </c>
      <c r="H161" s="29">
        <f t="shared" si="6"/>
        <v>10.150004827091585</v>
      </c>
      <c r="I161" t="s">
        <v>370</v>
      </c>
      <c r="J161" s="6" t="s">
        <v>27</v>
      </c>
    </row>
    <row r="162" spans="1:10" ht="16.8" x14ac:dyDescent="0.35">
      <c r="A162" s="16" t="s">
        <v>546</v>
      </c>
      <c r="B162" s="1" t="s">
        <v>553</v>
      </c>
      <c r="C162" s="1">
        <f>0.6*H73*C150*C152</f>
        <v>115.05148512000001</v>
      </c>
      <c r="D162" t="s">
        <v>459</v>
      </c>
      <c r="E162" s="6" t="s">
        <v>548</v>
      </c>
      <c r="G162" s="16" t="s">
        <v>379</v>
      </c>
      <c r="H162" s="29">
        <f t="shared" si="6"/>
        <v>8.5771830435046326</v>
      </c>
      <c r="I162" t="s">
        <v>367</v>
      </c>
      <c r="J162" s="6" t="s">
        <v>28</v>
      </c>
    </row>
    <row r="163" spans="1:10" ht="17.399999999999999" thickBot="1" x14ac:dyDescent="0.4">
      <c r="A163" s="16" t="s">
        <v>549</v>
      </c>
      <c r="B163" t="s">
        <v>554</v>
      </c>
      <c r="C163" s="1">
        <f>C162/H78</f>
        <v>68.893104862275464</v>
      </c>
      <c r="D163" t="s">
        <v>459</v>
      </c>
      <c r="E163" s="6" t="s">
        <v>555</v>
      </c>
      <c r="G163" s="16" t="s">
        <v>382</v>
      </c>
      <c r="H163" s="29">
        <f t="shared" si="6"/>
        <v>2.9051561588892536</v>
      </c>
      <c r="I163" t="s">
        <v>370</v>
      </c>
      <c r="J163" s="6" t="s">
        <v>29</v>
      </c>
    </row>
    <row r="164" spans="1:10" ht="16.2" thickBot="1" x14ac:dyDescent="0.4">
      <c r="A164" s="25"/>
      <c r="B164" s="27" t="s">
        <v>397</v>
      </c>
      <c r="C164" s="28">
        <f>C161/C163</f>
        <v>5.4448876796534826E-3</v>
      </c>
      <c r="D164" s="8"/>
      <c r="E164" s="9" t="s">
        <v>416</v>
      </c>
      <c r="G164" s="16" t="s">
        <v>384</v>
      </c>
      <c r="H164" s="29">
        <f t="shared" si="6"/>
        <v>1.4806775572148851</v>
      </c>
      <c r="I164" t="s">
        <v>354</v>
      </c>
      <c r="J164" s="6" t="s">
        <v>30</v>
      </c>
    </row>
    <row r="165" spans="1:10" ht="16.8" x14ac:dyDescent="0.35">
      <c r="G165" s="16" t="s">
        <v>386</v>
      </c>
      <c r="H165" s="29">
        <f t="shared" si="6"/>
        <v>4.3841224916480011</v>
      </c>
      <c r="I165" t="s">
        <v>370</v>
      </c>
      <c r="J165" s="6" t="s">
        <v>31</v>
      </c>
    </row>
    <row r="166" spans="1:10" ht="16.2" thickBot="1" x14ac:dyDescent="0.4">
      <c r="G166" s="16" t="s">
        <v>388</v>
      </c>
      <c r="H166" s="1">
        <f>H65</f>
        <v>1.6393785215672594</v>
      </c>
      <c r="I166" t="s">
        <v>354</v>
      </c>
      <c r="J166" s="6"/>
    </row>
    <row r="167" spans="1:10" ht="16.2" thickBot="1" x14ac:dyDescent="0.4">
      <c r="A167" s="435" t="s">
        <v>556</v>
      </c>
      <c r="B167" s="436"/>
      <c r="C167" s="436"/>
      <c r="D167" s="436"/>
      <c r="E167" s="437"/>
      <c r="G167" s="16" t="s">
        <v>390</v>
      </c>
      <c r="H167" s="1">
        <f>H66</f>
        <v>5.8350000000000009</v>
      </c>
      <c r="I167" t="s">
        <v>354</v>
      </c>
      <c r="J167" s="6" t="s">
        <v>391</v>
      </c>
    </row>
    <row r="168" spans="1:10" ht="16.2" x14ac:dyDescent="0.3">
      <c r="A168" s="50"/>
      <c r="B168" s="3"/>
      <c r="C168" s="3"/>
      <c r="D168" s="3"/>
      <c r="E168" s="4"/>
      <c r="G168" s="16" t="s">
        <v>392</v>
      </c>
      <c r="H168" s="29">
        <f>H67</f>
        <v>6.7013104794440545E-2</v>
      </c>
      <c r="I168" t="s">
        <v>367</v>
      </c>
      <c r="J168" s="6" t="s">
        <v>32</v>
      </c>
    </row>
    <row r="169" spans="1:10" ht="16.8" x14ac:dyDescent="0.35">
      <c r="A169" s="16" t="s">
        <v>557</v>
      </c>
      <c r="B169" t="s">
        <v>558</v>
      </c>
      <c r="C169" s="1">
        <f>H50</f>
        <v>3.9122237998991132</v>
      </c>
      <c r="D169" s="21" t="s">
        <v>352</v>
      </c>
      <c r="E169" s="6" t="s">
        <v>535</v>
      </c>
      <c r="G169" s="16" t="s">
        <v>394</v>
      </c>
      <c r="H169" s="29">
        <f>H68</f>
        <v>73.007320237096778</v>
      </c>
      <c r="I169" t="s">
        <v>395</v>
      </c>
      <c r="J169" s="6" t="s">
        <v>33</v>
      </c>
    </row>
    <row r="170" spans="1:10" ht="16.8" thickBot="1" x14ac:dyDescent="0.4">
      <c r="A170" s="16" t="s">
        <v>559</v>
      </c>
      <c r="B170" t="s">
        <v>560</v>
      </c>
      <c r="C170" s="1">
        <f>H50</f>
        <v>3.9122237998991132</v>
      </c>
      <c r="D170" s="21" t="s">
        <v>352</v>
      </c>
      <c r="E170" s="6" t="s">
        <v>561</v>
      </c>
      <c r="G170" s="5"/>
      <c r="J170" s="6"/>
    </row>
    <row r="171" spans="1:10" ht="15" thickBot="1" x14ac:dyDescent="0.35">
      <c r="A171" s="5"/>
      <c r="E171" s="6"/>
      <c r="G171" s="429" t="s">
        <v>399</v>
      </c>
      <c r="H171" s="430"/>
      <c r="I171" s="430"/>
      <c r="J171" s="431"/>
    </row>
    <row r="172" spans="1:10" x14ac:dyDescent="0.3">
      <c r="A172" s="24" t="s">
        <v>562</v>
      </c>
      <c r="E172" s="6"/>
      <c r="G172" s="16" t="s">
        <v>400</v>
      </c>
      <c r="H172" s="51" t="str">
        <f>H71</f>
        <v>ASTM A992</v>
      </c>
      <c r="J172" s="6"/>
    </row>
    <row r="173" spans="1:10" ht="15.6" x14ac:dyDescent="0.3">
      <c r="A173" s="16" t="s">
        <v>389</v>
      </c>
      <c r="B173" s="15" t="s">
        <v>387</v>
      </c>
      <c r="C173" s="29">
        <f>C26</f>
        <v>0</v>
      </c>
      <c r="D173" t="s">
        <v>459</v>
      </c>
      <c r="E173" s="6"/>
      <c r="G173" s="16" t="s">
        <v>43</v>
      </c>
      <c r="H173" s="51">
        <f>H72</f>
        <v>29000</v>
      </c>
      <c r="I173" t="s">
        <v>44</v>
      </c>
      <c r="J173" s="6" t="s">
        <v>404</v>
      </c>
    </row>
    <row r="174" spans="1:10" ht="15.6" x14ac:dyDescent="0.35">
      <c r="A174" s="16" t="s">
        <v>563</v>
      </c>
      <c r="B174" s="1" t="s">
        <v>564</v>
      </c>
      <c r="C174" s="1">
        <f>C169*H73</f>
        <v>254.29454699344237</v>
      </c>
      <c r="D174" t="s">
        <v>459</v>
      </c>
      <c r="E174" s="6" t="s">
        <v>565</v>
      </c>
      <c r="G174" s="16" t="s">
        <v>409</v>
      </c>
      <c r="H174" s="51">
        <f>H73</f>
        <v>65</v>
      </c>
      <c r="I174" t="s">
        <v>44</v>
      </c>
      <c r="J174" s="6" t="s">
        <v>410</v>
      </c>
    </row>
    <row r="175" spans="1:10" ht="15.6" x14ac:dyDescent="0.35">
      <c r="A175" s="16" t="s">
        <v>566</v>
      </c>
      <c r="B175" s="1" t="s">
        <v>567</v>
      </c>
      <c r="C175" s="1">
        <f>C174/H80</f>
        <v>152.2721838284086</v>
      </c>
      <c r="E175" s="6" t="s">
        <v>568</v>
      </c>
      <c r="G175" s="16" t="s">
        <v>413</v>
      </c>
      <c r="H175" s="51">
        <f>H74</f>
        <v>80</v>
      </c>
      <c r="I175" t="s">
        <v>44</v>
      </c>
      <c r="J175" s="6" t="s">
        <v>414</v>
      </c>
    </row>
    <row r="176" spans="1:10" ht="16.2" thickBot="1" x14ac:dyDescent="0.4">
      <c r="A176" s="16" t="s">
        <v>569</v>
      </c>
      <c r="B176" s="1" t="s">
        <v>570</v>
      </c>
      <c r="C176" s="1">
        <f>C170*H74</f>
        <v>312.97790399192905</v>
      </c>
      <c r="E176" s="6" t="s">
        <v>571</v>
      </c>
      <c r="G176" s="5"/>
      <c r="J176" s="6"/>
    </row>
    <row r="177" spans="1:10" ht="16.2" thickBot="1" x14ac:dyDescent="0.4">
      <c r="A177" s="16" t="s">
        <v>572</v>
      </c>
      <c r="B177" s="1" t="s">
        <v>573</v>
      </c>
      <c r="C177" s="1">
        <f>C176/H81</f>
        <v>156.48895199596453</v>
      </c>
      <c r="E177" s="6" t="s">
        <v>574</v>
      </c>
      <c r="G177" s="429" t="s">
        <v>417</v>
      </c>
      <c r="H177" s="430"/>
      <c r="I177" s="430"/>
      <c r="J177" s="431"/>
    </row>
    <row r="178" spans="1:10" ht="16.2" thickBot="1" x14ac:dyDescent="0.4">
      <c r="A178" s="16" t="s">
        <v>575</v>
      </c>
      <c r="B178" t="s">
        <v>576</v>
      </c>
      <c r="C178" s="1">
        <f>MIN(C175,C177)</f>
        <v>152.2721838284086</v>
      </c>
      <c r="D178" t="s">
        <v>459</v>
      </c>
      <c r="E178" s="6" t="s">
        <v>577</v>
      </c>
      <c r="G178" s="17" t="s">
        <v>420</v>
      </c>
      <c r="H178" s="55">
        <f t="shared" ref="H178:H183" si="7">H77</f>
        <v>1.5</v>
      </c>
      <c r="J178" s="6" t="s">
        <v>421</v>
      </c>
    </row>
    <row r="179" spans="1:10" ht="16.2" thickBot="1" x14ac:dyDescent="0.4">
      <c r="A179" s="25"/>
      <c r="B179" s="27" t="s">
        <v>397</v>
      </c>
      <c r="C179" s="28">
        <f>C173/C178</f>
        <v>0</v>
      </c>
      <c r="D179" s="8"/>
      <c r="E179" s="9" t="s">
        <v>419</v>
      </c>
      <c r="G179" s="17" t="s">
        <v>422</v>
      </c>
      <c r="H179" s="55">
        <f t="shared" si="7"/>
        <v>1.67</v>
      </c>
      <c r="J179" s="6" t="s">
        <v>423</v>
      </c>
    </row>
    <row r="180" spans="1:10" ht="16.2" thickBot="1" x14ac:dyDescent="0.35">
      <c r="G180" s="17" t="s">
        <v>424</v>
      </c>
      <c r="H180" s="55">
        <f t="shared" si="7"/>
        <v>1.67</v>
      </c>
      <c r="J180" s="6" t="s">
        <v>425</v>
      </c>
    </row>
    <row r="181" spans="1:10" ht="16.2" thickBot="1" x14ac:dyDescent="0.35">
      <c r="A181" s="11" t="s">
        <v>578</v>
      </c>
      <c r="B181" s="27" t="s">
        <v>397</v>
      </c>
      <c r="C181" s="28">
        <f>IF(C87&lt;0.2,C87/2+C127+C145,C87+(8/9)*(C127+C145))</f>
        <v>0.65322936875618631</v>
      </c>
      <c r="E181" t="s">
        <v>579</v>
      </c>
      <c r="G181" s="17" t="s">
        <v>426</v>
      </c>
      <c r="H181" s="55">
        <f t="shared" si="7"/>
        <v>1.67</v>
      </c>
      <c r="J181" s="6" t="s">
        <v>427</v>
      </c>
    </row>
    <row r="182" spans="1:10" ht="16.2" thickBot="1" x14ac:dyDescent="0.35">
      <c r="A182" s="11" t="s">
        <v>580</v>
      </c>
      <c r="B182" s="27" t="s">
        <v>397</v>
      </c>
      <c r="C182" s="28">
        <f>IF(C179&lt;0.2,C179/2+C127+C145,C179+(8/9)*(C127+C145))</f>
        <v>0.62485834814724861</v>
      </c>
      <c r="E182" t="s">
        <v>581</v>
      </c>
      <c r="G182" s="17" t="s">
        <v>430</v>
      </c>
      <c r="H182" s="55">
        <f t="shared" si="7"/>
        <v>2</v>
      </c>
      <c r="J182" s="6" t="s">
        <v>431</v>
      </c>
    </row>
    <row r="183" spans="1:10" ht="16.2" thickBot="1" x14ac:dyDescent="0.35">
      <c r="G183" s="18" t="s">
        <v>434</v>
      </c>
      <c r="H183" s="57">
        <f t="shared" si="7"/>
        <v>1.67</v>
      </c>
      <c r="I183" s="8"/>
      <c r="J183" s="9" t="s">
        <v>435</v>
      </c>
    </row>
  </sheetData>
  <mergeCells count="21">
    <mergeCell ref="A46:E46"/>
    <mergeCell ref="A89:E89"/>
    <mergeCell ref="A129:E129"/>
    <mergeCell ref="G47:J47"/>
    <mergeCell ref="A147:E147"/>
    <mergeCell ref="G70:J70"/>
    <mergeCell ref="G76:J76"/>
    <mergeCell ref="G171:J171"/>
    <mergeCell ref="G177:J177"/>
    <mergeCell ref="A167:E167"/>
    <mergeCell ref="G90:J90"/>
    <mergeCell ref="G113:J113"/>
    <mergeCell ref="G119:J119"/>
    <mergeCell ref="G148:J148"/>
    <mergeCell ref="A3:E3"/>
    <mergeCell ref="G37:J37"/>
    <mergeCell ref="G30:J30"/>
    <mergeCell ref="G7:J7"/>
    <mergeCell ref="A5:E5"/>
    <mergeCell ref="A18:E18"/>
    <mergeCell ref="A28:E28"/>
  </mergeCells>
  <dataValidations count="1">
    <dataValidation type="list" allowBlank="1" showInputMessage="1" showErrorMessage="1" sqref="C7" xr:uid="{93106FF0-E4AB-4B4B-B4EE-84C5785DB630}">
      <formula1>"Above Grade, Below Grade"</formula1>
    </dataValidation>
  </dataValidations>
  <pageMargins left="0.7" right="0.7" top="0.75" bottom="0.75" header="0.3" footer="0.3"/>
  <pageSetup scale="46" fitToHeight="0" orientation="landscape" r:id="rId1"/>
  <headerFooter>
    <oddHeader>&amp;L&amp;G&amp;CProject: Polama Solar
Description: Pile Foundation Design Check&amp;RComputed By: SHR 
Date:&amp;"-,Bold" &amp;"-,Regular"&amp;D
Checked By:&amp;"-,Bold" &amp;"-,Regular"MJF
Date: &amp;D</oddHeader>
    <oddFooter>&amp;CPage &amp;P of &amp;N</oddFooter>
  </headerFooter>
  <rowBreaks count="3" manualBreakCount="3">
    <brk id="44" max="10" man="1"/>
    <brk id="87" max="10" man="1"/>
    <brk id="145" max="10" man="1"/>
  </rowBreak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BD86-666F-4C1F-B96A-4FDB9D0E015C}">
  <sheetPr codeName="AMchecks">
    <tabColor rgb="FFAAB3A4"/>
    <pageSetUpPr fitToPage="1"/>
  </sheetPr>
  <dimension ref="A3:M183"/>
  <sheetViews>
    <sheetView view="pageLayout" zoomScaleNormal="100" workbookViewId="0">
      <selection activeCell="H10" sqref="H10"/>
    </sheetView>
  </sheetViews>
  <sheetFormatPr defaultRowHeight="14.4" x14ac:dyDescent="0.3"/>
  <cols>
    <col min="1" max="1" width="59.6640625" customWidth="1"/>
    <col min="2" max="2" width="13.6640625" customWidth="1"/>
    <col min="3" max="3" width="17" bestFit="1" customWidth="1"/>
    <col min="4" max="4" width="12" bestFit="1" customWidth="1"/>
    <col min="5" max="5" width="41" bestFit="1" customWidth="1"/>
    <col min="6" max="6" width="14.5546875" customWidth="1"/>
    <col min="7" max="7" width="13.6640625" bestFit="1" customWidth="1"/>
    <col min="8" max="8" width="24.6640625" bestFit="1" customWidth="1"/>
    <col min="9" max="9" width="12" bestFit="1" customWidth="1"/>
    <col min="10" max="10" width="52.33203125" bestFit="1" customWidth="1"/>
    <col min="11" max="11" width="1.33203125" customWidth="1"/>
  </cols>
  <sheetData>
    <row r="3" spans="1:13" x14ac:dyDescent="0.3">
      <c r="A3" s="428" t="str">
        <f>Dashboard!C2&amp;" - "&amp;Dashboard!D15&amp;" - "&amp;Dashboard!F4&amp;" - "&amp;Dashboard!F7&amp;"mil - "&amp;Dashboard!F5&amp;"ksi, At Maximum Moment"</f>
        <v>Paloma - Interior Column-7.125 ft - W6X20 - 0mil - 65ksi, At Maximum Moment</v>
      </c>
      <c r="B3" s="428"/>
      <c r="C3" s="428"/>
      <c r="D3" s="428"/>
      <c r="E3" s="428"/>
    </row>
    <row r="4" spans="1:13" ht="15" thickBot="1" x14ac:dyDescent="0.35">
      <c r="M4" s="49"/>
    </row>
    <row r="5" spans="1:13" ht="15" thickBot="1" x14ac:dyDescent="0.35">
      <c r="A5" s="435" t="s">
        <v>337</v>
      </c>
      <c r="B5" s="436"/>
      <c r="C5" s="436"/>
      <c r="D5" s="436"/>
      <c r="E5" s="437"/>
    </row>
    <row r="6" spans="1:13" ht="15" thickBot="1" x14ac:dyDescent="0.35">
      <c r="A6" s="5"/>
      <c r="E6" s="6"/>
    </row>
    <row r="7" spans="1:13" ht="15" thickBot="1" x14ac:dyDescent="0.35">
      <c r="A7" s="16" t="s">
        <v>338</v>
      </c>
      <c r="C7" s="61" t="s">
        <v>344</v>
      </c>
      <c r="E7" s="6"/>
      <c r="G7" s="432" t="s">
        <v>340</v>
      </c>
      <c r="H7" s="433"/>
      <c r="I7" s="433"/>
      <c r="J7" s="434"/>
    </row>
    <row r="8" spans="1:13" ht="15.6" x14ac:dyDescent="0.35">
      <c r="A8" s="5"/>
      <c r="C8" t="s">
        <v>341</v>
      </c>
      <c r="D8" t="s">
        <v>342</v>
      </c>
      <c r="E8" s="6"/>
      <c r="G8" s="41" t="s">
        <v>343</v>
      </c>
      <c r="H8" s="52" t="str">
        <f>Dashboard!F4</f>
        <v>W6X20</v>
      </c>
      <c r="I8" s="3"/>
      <c r="J8" s="4"/>
    </row>
    <row r="9" spans="1:13" x14ac:dyDescent="0.3">
      <c r="A9" s="16" t="s">
        <v>345</v>
      </c>
      <c r="C9" s="29">
        <v>0</v>
      </c>
      <c r="D9" s="29">
        <f>C9</f>
        <v>0</v>
      </c>
      <c r="E9" s="6" t="s">
        <v>346</v>
      </c>
      <c r="G9" s="16" t="s">
        <v>347</v>
      </c>
      <c r="H9" s="29">
        <f>Corr.Soil</f>
        <v>57.599999999999994</v>
      </c>
      <c r="I9" t="s">
        <v>348</v>
      </c>
      <c r="J9" s="6"/>
    </row>
    <row r="10" spans="1:13" ht="16.8" x14ac:dyDescent="0.35">
      <c r="A10" s="5"/>
      <c r="C10" t="s">
        <v>349</v>
      </c>
      <c r="D10" t="s">
        <v>350</v>
      </c>
      <c r="E10" s="6"/>
      <c r="G10" s="16" t="s">
        <v>351</v>
      </c>
      <c r="H10" s="29">
        <f>Dashboard!E25</f>
        <v>3.9122237998991132</v>
      </c>
      <c r="I10" t="s">
        <v>352</v>
      </c>
      <c r="J10" s="6" t="s">
        <v>18</v>
      </c>
    </row>
    <row r="11" spans="1:13" x14ac:dyDescent="0.3">
      <c r="A11" s="16" t="s">
        <v>2</v>
      </c>
      <c r="C11" s="29">
        <f>Dashboard!F12</f>
        <v>2.1</v>
      </c>
      <c r="D11" s="29">
        <f>C11</f>
        <v>2.1</v>
      </c>
      <c r="E11" s="6"/>
      <c r="G11" s="16" t="s">
        <v>353</v>
      </c>
      <c r="H11" s="29">
        <f>Dashboard!E26</f>
        <v>6.0848000000000004</v>
      </c>
      <c r="I11" t="s">
        <v>354</v>
      </c>
      <c r="J11" s="6" t="s">
        <v>19</v>
      </c>
    </row>
    <row r="12" spans="1:13" ht="15.6" x14ac:dyDescent="0.35">
      <c r="A12" s="17" t="s">
        <v>355</v>
      </c>
      <c r="B12" s="15" t="s">
        <v>356</v>
      </c>
      <c r="C12" s="29">
        <f>C9</f>
        <v>0</v>
      </c>
      <c r="E12" s="6" t="s">
        <v>346</v>
      </c>
      <c r="G12" s="16" t="s">
        <v>357</v>
      </c>
      <c r="H12" s="29">
        <f>Dashboard!E27</f>
        <v>0.14480000000000004</v>
      </c>
      <c r="I12" t="s">
        <v>354</v>
      </c>
      <c r="J12" s="6" t="s">
        <v>21</v>
      </c>
    </row>
    <row r="13" spans="1:13" ht="15.6" x14ac:dyDescent="0.35">
      <c r="A13" s="17" t="s">
        <v>358</v>
      </c>
      <c r="B13" s="15" t="s">
        <v>359</v>
      </c>
      <c r="C13" s="29">
        <f>C11</f>
        <v>2.1</v>
      </c>
      <c r="E13" s="6"/>
      <c r="G13" s="16" t="s">
        <v>360</v>
      </c>
      <c r="H13" s="29">
        <f>Dashboard!E28</f>
        <v>5.9047999999999998</v>
      </c>
      <c r="I13" t="s">
        <v>354</v>
      </c>
      <c r="J13" s="6" t="s">
        <v>22</v>
      </c>
    </row>
    <row r="14" spans="1:13" ht="15.6" x14ac:dyDescent="0.35">
      <c r="A14" s="5"/>
      <c r="E14" s="6"/>
      <c r="G14" s="16" t="s">
        <v>361</v>
      </c>
      <c r="H14" s="29">
        <f>Dashboard!E29</f>
        <v>0.24980000000000002</v>
      </c>
      <c r="I14" t="s">
        <v>354</v>
      </c>
      <c r="J14" s="6" t="s">
        <v>23</v>
      </c>
    </row>
    <row r="15" spans="1:13" x14ac:dyDescent="0.3">
      <c r="A15" s="16" t="s">
        <v>362</v>
      </c>
      <c r="B15" t="s">
        <v>363</v>
      </c>
      <c r="C15" s="29">
        <v>1.464</v>
      </c>
      <c r="E15" s="6"/>
      <c r="G15" s="16"/>
      <c r="J15" s="6"/>
    </row>
    <row r="16" spans="1:13" ht="16.2" thickBot="1" x14ac:dyDescent="0.4">
      <c r="A16" s="44" t="s">
        <v>364</v>
      </c>
      <c r="B16" s="8" t="s">
        <v>365</v>
      </c>
      <c r="C16" s="56">
        <v>1.464</v>
      </c>
      <c r="D16" s="8"/>
      <c r="E16" s="9"/>
      <c r="G16" s="16"/>
      <c r="H16" s="1"/>
      <c r="J16" s="6"/>
    </row>
    <row r="17" spans="1:10" ht="17.399999999999999" thickBot="1" x14ac:dyDescent="0.4">
      <c r="G17" s="16" t="s">
        <v>366</v>
      </c>
      <c r="H17" s="29">
        <f>Dashboard!E31</f>
        <v>28.327834323618902</v>
      </c>
      <c r="I17" t="s">
        <v>367</v>
      </c>
      <c r="J17" s="6" t="s">
        <v>24</v>
      </c>
    </row>
    <row r="18" spans="1:10" ht="17.399999999999999" thickBot="1" x14ac:dyDescent="0.4">
      <c r="A18" s="435" t="s">
        <v>368</v>
      </c>
      <c r="B18" s="436"/>
      <c r="C18" s="436"/>
      <c r="D18" s="436"/>
      <c r="E18" s="437"/>
      <c r="G18" s="16" t="s">
        <v>369</v>
      </c>
      <c r="H18" s="29">
        <f>Dashboard!E32</f>
        <v>9.3110157519126009</v>
      </c>
      <c r="I18" t="s">
        <v>370</v>
      </c>
      <c r="J18" s="6" t="s">
        <v>25</v>
      </c>
    </row>
    <row r="19" spans="1:10" ht="15.6" x14ac:dyDescent="0.35">
      <c r="A19" s="16"/>
      <c r="C19" s="15" t="s">
        <v>371</v>
      </c>
      <c r="D19" s="15" t="s">
        <v>372</v>
      </c>
      <c r="E19" s="6"/>
      <c r="G19" s="16" t="s">
        <v>373</v>
      </c>
      <c r="H19" s="29">
        <f>Dashboard!E33</f>
        <v>2.6908831642960962</v>
      </c>
      <c r="I19" t="s">
        <v>354</v>
      </c>
      <c r="J19" s="6" t="s">
        <v>26</v>
      </c>
    </row>
    <row r="20" spans="1:10" ht="16.8" x14ac:dyDescent="0.35">
      <c r="A20" s="16" t="s">
        <v>374</v>
      </c>
      <c r="C20" s="29">
        <f>Dashboard!K20/12000</f>
        <v>10.965583333333333</v>
      </c>
      <c r="D20" s="29">
        <f>Dashboard!M20/12000</f>
        <v>3.3959999999999999</v>
      </c>
      <c r="E20" s="6" t="s">
        <v>375</v>
      </c>
      <c r="G20" s="16" t="s">
        <v>376</v>
      </c>
      <c r="H20" s="29">
        <f>Dashboard!E34</f>
        <v>10.150004827091585</v>
      </c>
      <c r="I20" t="s">
        <v>370</v>
      </c>
      <c r="J20" s="6" t="s">
        <v>27</v>
      </c>
    </row>
    <row r="21" spans="1:10" ht="16.8" x14ac:dyDescent="0.35">
      <c r="A21" s="5"/>
      <c r="C21" s="15" t="s">
        <v>377</v>
      </c>
      <c r="D21" s="15" t="s">
        <v>378</v>
      </c>
      <c r="E21" s="6"/>
      <c r="G21" s="16" t="s">
        <v>379</v>
      </c>
      <c r="H21" s="29">
        <f>Dashboard!E35</f>
        <v>8.5771830435046326</v>
      </c>
      <c r="I21" t="s">
        <v>367</v>
      </c>
      <c r="J21" s="6" t="s">
        <v>28</v>
      </c>
    </row>
    <row r="22" spans="1:10" ht="16.8" x14ac:dyDescent="0.35">
      <c r="A22" s="16" t="s">
        <v>380</v>
      </c>
      <c r="C22" s="29">
        <v>0</v>
      </c>
      <c r="D22" s="29">
        <v>0</v>
      </c>
      <c r="E22" s="6" t="s">
        <v>381</v>
      </c>
      <c r="G22" s="16" t="s">
        <v>382</v>
      </c>
      <c r="H22" s="29">
        <f>Dashboard!E36</f>
        <v>2.9051561588892536</v>
      </c>
      <c r="I22" t="s">
        <v>370</v>
      </c>
      <c r="J22" s="6" t="s">
        <v>29</v>
      </c>
    </row>
    <row r="23" spans="1:10" ht="15.6" x14ac:dyDescent="0.35">
      <c r="A23" s="16"/>
      <c r="C23" s="15" t="s">
        <v>383</v>
      </c>
      <c r="E23" s="6"/>
      <c r="G23" s="16" t="s">
        <v>384</v>
      </c>
      <c r="H23" s="29">
        <f>Dashboard!E37</f>
        <v>1.4806775572148851</v>
      </c>
      <c r="I23" t="s">
        <v>354</v>
      </c>
      <c r="J23" s="6" t="s">
        <v>30</v>
      </c>
    </row>
    <row r="24" spans="1:10" ht="16.8" x14ac:dyDescent="0.35">
      <c r="A24" s="16" t="s">
        <v>385</v>
      </c>
      <c r="C24" s="29">
        <f>Dashboard!K21/1000</f>
        <v>1.5485</v>
      </c>
      <c r="E24" s="6" t="s">
        <v>381</v>
      </c>
      <c r="G24" s="16" t="s">
        <v>386</v>
      </c>
      <c r="H24" s="29">
        <f>Dashboard!E38</f>
        <v>4.3841224916480011</v>
      </c>
      <c r="I24" t="s">
        <v>370</v>
      </c>
      <c r="J24" s="6" t="s">
        <v>31</v>
      </c>
    </row>
    <row r="25" spans="1:10" ht="15.6" x14ac:dyDescent="0.35">
      <c r="A25" s="5"/>
      <c r="C25" s="15" t="s">
        <v>387</v>
      </c>
      <c r="E25" s="6"/>
      <c r="G25" s="16" t="s">
        <v>388</v>
      </c>
      <c r="H25" s="58">
        <f>SQRT(SQRT(H21*H28)/H18)</f>
        <v>1.6393785215672594</v>
      </c>
      <c r="I25" t="s">
        <v>354</v>
      </c>
      <c r="J25" s="6"/>
    </row>
    <row r="26" spans="1:10" ht="16.2" thickBot="1" x14ac:dyDescent="0.4">
      <c r="A26" s="44" t="s">
        <v>389</v>
      </c>
      <c r="B26" s="8"/>
      <c r="C26" s="56">
        <f>Dashboard!K22/1000</f>
        <v>0</v>
      </c>
      <c r="D26" s="8"/>
      <c r="E26" s="9" t="s">
        <v>381</v>
      </c>
      <c r="G26" s="16" t="s">
        <v>390</v>
      </c>
      <c r="H26" s="60">
        <f>H11-H14</f>
        <v>5.8350000000000009</v>
      </c>
      <c r="I26" t="s">
        <v>354</v>
      </c>
      <c r="J26" s="6" t="s">
        <v>391</v>
      </c>
    </row>
    <row r="27" spans="1:10" ht="16.8" thickBot="1" x14ac:dyDescent="0.35">
      <c r="G27" s="16" t="s">
        <v>392</v>
      </c>
      <c r="H27" s="29">
        <f>Dashboard!E39</f>
        <v>6.7013104794440545E-2</v>
      </c>
      <c r="I27" t="s">
        <v>367</v>
      </c>
      <c r="J27" s="6" t="s">
        <v>32</v>
      </c>
    </row>
    <row r="28" spans="1:10" ht="17.399999999999999" thickBot="1" x14ac:dyDescent="0.4">
      <c r="A28" s="435" t="s">
        <v>393</v>
      </c>
      <c r="B28" s="436"/>
      <c r="C28" s="436"/>
      <c r="D28" s="436"/>
      <c r="E28" s="437"/>
      <c r="G28" s="16" t="s">
        <v>394</v>
      </c>
      <c r="H28" s="29">
        <f>Dashboard!E40</f>
        <v>73.007320237096778</v>
      </c>
      <c r="I28" t="s">
        <v>395</v>
      </c>
      <c r="J28" s="6" t="s">
        <v>33</v>
      </c>
    </row>
    <row r="29" spans="1:10" ht="15" thickBot="1" x14ac:dyDescent="0.35">
      <c r="A29" s="5"/>
      <c r="E29" s="6"/>
      <c r="G29" s="5"/>
      <c r="J29" s="6"/>
    </row>
    <row r="30" spans="1:10" ht="16.2" thickBot="1" x14ac:dyDescent="0.4">
      <c r="A30" s="16" t="s">
        <v>396</v>
      </c>
      <c r="C30" s="27" t="s">
        <v>397</v>
      </c>
      <c r="D30" s="28">
        <f>C87</f>
        <v>1.016929002440106E-2</v>
      </c>
      <c r="E30" s="59" t="s">
        <v>398</v>
      </c>
      <c r="G30" s="429" t="s">
        <v>399</v>
      </c>
      <c r="H30" s="430"/>
      <c r="I30" s="430"/>
      <c r="J30" s="431"/>
    </row>
    <row r="31" spans="1:10" ht="15" thickBot="1" x14ac:dyDescent="0.35">
      <c r="A31" s="5"/>
      <c r="E31" s="6"/>
      <c r="G31" s="16" t="s">
        <v>400</v>
      </c>
      <c r="H31" s="51" t="s">
        <v>401</v>
      </c>
      <c r="J31" s="6"/>
    </row>
    <row r="32" spans="1:10" ht="16.2" thickBot="1" x14ac:dyDescent="0.4">
      <c r="A32" s="16" t="s">
        <v>402</v>
      </c>
      <c r="C32" s="27" t="s">
        <v>397</v>
      </c>
      <c r="D32" s="28">
        <f>C127</f>
        <v>0.33308099354632814</v>
      </c>
      <c r="E32" s="6" t="s">
        <v>403</v>
      </c>
      <c r="G32" s="16" t="s">
        <v>43</v>
      </c>
      <c r="H32" s="30">
        <v>29000</v>
      </c>
      <c r="I32" t="s">
        <v>44</v>
      </c>
      <c r="J32" s="6" t="s">
        <v>404</v>
      </c>
    </row>
    <row r="33" spans="1:10" ht="16.2" thickBot="1" x14ac:dyDescent="0.4">
      <c r="A33" s="16" t="s">
        <v>405</v>
      </c>
      <c r="C33" s="27" t="s">
        <v>397</v>
      </c>
      <c r="D33" s="28">
        <f>C145</f>
        <v>0.23881926772610512</v>
      </c>
      <c r="E33" s="59" t="s">
        <v>406</v>
      </c>
      <c r="G33" s="16" t="s">
        <v>407</v>
      </c>
      <c r="H33" s="30">
        <v>11500</v>
      </c>
      <c r="I33" t="s">
        <v>44</v>
      </c>
      <c r="J33" s="6" t="s">
        <v>408</v>
      </c>
    </row>
    <row r="34" spans="1:10" ht="16.2" thickBot="1" x14ac:dyDescent="0.4">
      <c r="A34" s="5"/>
      <c r="E34" s="6"/>
      <c r="G34" s="16" t="s">
        <v>409</v>
      </c>
      <c r="H34" s="30">
        <f>Pile.Fy</f>
        <v>65</v>
      </c>
      <c r="I34" t="s">
        <v>44</v>
      </c>
      <c r="J34" s="6" t="s">
        <v>410</v>
      </c>
    </row>
    <row r="35" spans="1:10" ht="16.2" thickBot="1" x14ac:dyDescent="0.4">
      <c r="A35" s="16" t="s">
        <v>411</v>
      </c>
      <c r="C35" s="27" t="s">
        <v>397</v>
      </c>
      <c r="D35" s="28">
        <f>C158</f>
        <v>0</v>
      </c>
      <c r="E35" s="6" t="s">
        <v>412</v>
      </c>
      <c r="G35" s="16" t="s">
        <v>413</v>
      </c>
      <c r="H35" s="30">
        <f>Pile.Fu</f>
        <v>80</v>
      </c>
      <c r="I35" t="s">
        <v>44</v>
      </c>
      <c r="J35" s="6" t="s">
        <v>414</v>
      </c>
    </row>
    <row r="36" spans="1:10" ht="16.2" thickBot="1" x14ac:dyDescent="0.4">
      <c r="A36" s="16" t="s">
        <v>415</v>
      </c>
      <c r="C36" s="27" t="s">
        <v>397</v>
      </c>
      <c r="D36" s="28">
        <f>C164</f>
        <v>0</v>
      </c>
      <c r="E36" s="6" t="s">
        <v>416</v>
      </c>
      <c r="G36" s="5"/>
      <c r="J36" s="6"/>
    </row>
    <row r="37" spans="1:10" ht="15" thickBot="1" x14ac:dyDescent="0.35">
      <c r="A37" s="5"/>
      <c r="E37" s="6"/>
      <c r="G37" s="429" t="s">
        <v>417</v>
      </c>
      <c r="H37" s="430"/>
      <c r="I37" s="430"/>
      <c r="J37" s="431"/>
    </row>
    <row r="38" spans="1:10" ht="16.2" thickBot="1" x14ac:dyDescent="0.4">
      <c r="A38" s="16" t="s">
        <v>418</v>
      </c>
      <c r="C38" s="27" t="s">
        <v>397</v>
      </c>
      <c r="D38" s="28">
        <f>C179</f>
        <v>0</v>
      </c>
      <c r="E38" s="6" t="s">
        <v>419</v>
      </c>
      <c r="G38" s="17" t="s">
        <v>420</v>
      </c>
      <c r="H38" s="55">
        <v>1.5</v>
      </c>
      <c r="J38" s="6" t="s">
        <v>421</v>
      </c>
    </row>
    <row r="39" spans="1:10" ht="15.6" x14ac:dyDescent="0.3">
      <c r="A39" s="5"/>
      <c r="E39" s="6"/>
      <c r="G39" s="17" t="s">
        <v>422</v>
      </c>
      <c r="H39" s="55">
        <v>1.67</v>
      </c>
      <c r="J39" s="6" t="s">
        <v>423</v>
      </c>
    </row>
    <row r="40" spans="1:10" ht="15.6" x14ac:dyDescent="0.3">
      <c r="A40" s="16"/>
      <c r="E40" s="6"/>
      <c r="G40" s="17" t="s">
        <v>424</v>
      </c>
      <c r="H40" s="29">
        <v>1.67</v>
      </c>
      <c r="J40" s="6" t="s">
        <v>425</v>
      </c>
    </row>
    <row r="41" spans="1:10" ht="16.2" thickBot="1" x14ac:dyDescent="0.35">
      <c r="A41" s="5"/>
      <c r="E41" s="6"/>
      <c r="G41" s="17" t="s">
        <v>426</v>
      </c>
      <c r="H41" s="29">
        <v>1.67</v>
      </c>
      <c r="J41" s="6" t="s">
        <v>427</v>
      </c>
    </row>
    <row r="42" spans="1:10" ht="16.2" thickBot="1" x14ac:dyDescent="0.35">
      <c r="A42" s="16" t="s">
        <v>428</v>
      </c>
      <c r="C42" s="27" t="s">
        <v>397</v>
      </c>
      <c r="D42" s="28">
        <f>C181</f>
        <v>0.57698490628463373</v>
      </c>
      <c r="E42" s="6" t="s">
        <v>429</v>
      </c>
      <c r="G42" s="17" t="s">
        <v>430</v>
      </c>
      <c r="H42" s="29">
        <v>2</v>
      </c>
      <c r="J42" s="6" t="s">
        <v>431</v>
      </c>
    </row>
    <row r="43" spans="1:10" ht="16.2" thickBot="1" x14ac:dyDescent="0.35">
      <c r="A43" s="44" t="s">
        <v>432</v>
      </c>
      <c r="B43" s="8"/>
      <c r="C43" s="27" t="s">
        <v>397</v>
      </c>
      <c r="D43" s="28">
        <f>C182</f>
        <v>0.57190026127243332</v>
      </c>
      <c r="E43" s="9" t="s">
        <v>433</v>
      </c>
      <c r="G43" s="18" t="s">
        <v>434</v>
      </c>
      <c r="H43" s="56">
        <v>1.67</v>
      </c>
      <c r="I43" s="8"/>
      <c r="J43" s="9" t="s">
        <v>435</v>
      </c>
    </row>
    <row r="45" spans="1:10" ht="15" thickBot="1" x14ac:dyDescent="0.35"/>
    <row r="46" spans="1:10" ht="15" thickBot="1" x14ac:dyDescent="0.35">
      <c r="A46" s="435" t="s">
        <v>436</v>
      </c>
      <c r="B46" s="436"/>
      <c r="C46" s="436"/>
      <c r="D46" s="436"/>
      <c r="E46" s="437"/>
    </row>
    <row r="47" spans="1:10" ht="15" thickBot="1" x14ac:dyDescent="0.35">
      <c r="A47" s="5"/>
      <c r="E47" s="6"/>
      <c r="G47" s="429" t="s">
        <v>340</v>
      </c>
      <c r="H47" s="430"/>
      <c r="I47" s="430"/>
      <c r="J47" s="431"/>
    </row>
    <row r="48" spans="1:10" x14ac:dyDescent="0.3">
      <c r="A48" s="7" t="s">
        <v>437</v>
      </c>
      <c r="E48" s="6"/>
      <c r="G48" s="41" t="s">
        <v>343</v>
      </c>
      <c r="H48" s="52" t="str">
        <f t="shared" ref="H48:H55" si="0">H8</f>
        <v>W6X20</v>
      </c>
      <c r="I48" s="3"/>
      <c r="J48" s="4"/>
    </row>
    <row r="49" spans="1:10" x14ac:dyDescent="0.3">
      <c r="A49" s="19" t="s">
        <v>438</v>
      </c>
      <c r="E49" s="6"/>
      <c r="G49" s="16" t="s">
        <v>347</v>
      </c>
      <c r="H49" s="29">
        <f t="shared" si="0"/>
        <v>57.599999999999994</v>
      </c>
      <c r="I49" t="s">
        <v>348</v>
      </c>
      <c r="J49" s="6"/>
    </row>
    <row r="50" spans="1:10" ht="16.2" x14ac:dyDescent="0.3">
      <c r="A50" s="16" t="s">
        <v>439</v>
      </c>
      <c r="B50" s="1">
        <f>H53/(2*H54)</f>
        <v>11.819055244195354</v>
      </c>
      <c r="E50" s="6" t="s">
        <v>440</v>
      </c>
      <c r="G50" s="16" t="s">
        <v>351</v>
      </c>
      <c r="H50" s="29">
        <f t="shared" si="0"/>
        <v>3.9122237998991132</v>
      </c>
      <c r="I50" t="s">
        <v>352</v>
      </c>
      <c r="J50" s="6" t="s">
        <v>18</v>
      </c>
    </row>
    <row r="51" spans="1:10" x14ac:dyDescent="0.3">
      <c r="A51" s="16" t="s">
        <v>441</v>
      </c>
      <c r="B51" s="1">
        <f>0.56*SQRT(H72/H73)</f>
        <v>11.828518341442694</v>
      </c>
      <c r="E51" s="6" t="s">
        <v>440</v>
      </c>
      <c r="G51" s="16" t="s">
        <v>353</v>
      </c>
      <c r="H51" s="29">
        <f t="shared" si="0"/>
        <v>6.0848000000000004</v>
      </c>
      <c r="I51" t="s">
        <v>354</v>
      </c>
      <c r="J51" s="6" t="s">
        <v>19</v>
      </c>
    </row>
    <row r="52" spans="1:10" ht="15.6" x14ac:dyDescent="0.35">
      <c r="A52" s="16"/>
      <c r="B52" s="31" t="str">
        <f>IF(C7="Above Grade",IF(B50&lt;B51,"Non Slender","Slender"),"Not Required")</f>
        <v>Not Required</v>
      </c>
      <c r="E52" s="6"/>
      <c r="G52" s="16" t="s">
        <v>357</v>
      </c>
      <c r="H52" s="29">
        <f t="shared" si="0"/>
        <v>0.14480000000000004</v>
      </c>
      <c r="I52" t="s">
        <v>354</v>
      </c>
      <c r="J52" s="6" t="s">
        <v>21</v>
      </c>
    </row>
    <row r="53" spans="1:10" ht="15.6" x14ac:dyDescent="0.35">
      <c r="A53" s="19" t="s">
        <v>442</v>
      </c>
      <c r="E53" s="6"/>
      <c r="G53" s="16" t="s">
        <v>360</v>
      </c>
      <c r="H53" s="29">
        <f t="shared" si="0"/>
        <v>5.9047999999999998</v>
      </c>
      <c r="I53" t="s">
        <v>354</v>
      </c>
      <c r="J53" s="6" t="s">
        <v>22</v>
      </c>
    </row>
    <row r="54" spans="1:10" ht="15.6" x14ac:dyDescent="0.35">
      <c r="A54" s="16" t="s">
        <v>439</v>
      </c>
      <c r="B54" s="1">
        <f>(H51-2*H55)/H52</f>
        <v>42.022099447513803</v>
      </c>
      <c r="E54" s="6" t="s">
        <v>440</v>
      </c>
      <c r="G54" s="16" t="s">
        <v>361</v>
      </c>
      <c r="H54" s="29">
        <f t="shared" si="0"/>
        <v>0.24980000000000002</v>
      </c>
      <c r="I54" t="s">
        <v>354</v>
      </c>
      <c r="J54" s="6" t="s">
        <v>23</v>
      </c>
    </row>
    <row r="55" spans="1:10" ht="15.6" x14ac:dyDescent="0.35">
      <c r="A55" s="16" t="s">
        <v>441</v>
      </c>
      <c r="B55" s="1">
        <f>1.49*SQRT(H72/H73)</f>
        <v>31.472307729910018</v>
      </c>
      <c r="E55" s="6" t="s">
        <v>440</v>
      </c>
      <c r="G55" s="16" t="s">
        <v>443</v>
      </c>
      <c r="H55" s="29">
        <f t="shared" si="0"/>
        <v>0</v>
      </c>
      <c r="I55" t="s">
        <v>354</v>
      </c>
      <c r="J55" s="6" t="s">
        <v>444</v>
      </c>
    </row>
    <row r="56" spans="1:10" x14ac:dyDescent="0.3">
      <c r="A56" s="5"/>
      <c r="B56" s="31" t="str">
        <f>IF(C7="Above Grade",IF(B54&lt;B55,"Non Slender","Slender"),"Not Required")</f>
        <v>Not Required</v>
      </c>
      <c r="E56" s="6"/>
      <c r="G56" s="16"/>
      <c r="H56" s="1"/>
      <c r="J56" s="6"/>
    </row>
    <row r="57" spans="1:10" ht="16.8" x14ac:dyDescent="0.35">
      <c r="A57" s="5"/>
      <c r="E57" s="6"/>
      <c r="G57" s="16" t="s">
        <v>366</v>
      </c>
      <c r="H57" s="29">
        <f t="shared" ref="H57:H64" si="1">H17</f>
        <v>28.327834323618902</v>
      </c>
      <c r="I57" t="s">
        <v>367</v>
      </c>
      <c r="J57" s="6" t="s">
        <v>24</v>
      </c>
    </row>
    <row r="58" spans="1:10" ht="16.8" x14ac:dyDescent="0.35">
      <c r="A58" s="7" t="s">
        <v>445</v>
      </c>
      <c r="E58" s="6"/>
      <c r="G58" s="16" t="s">
        <v>369</v>
      </c>
      <c r="H58" s="29">
        <f t="shared" si="1"/>
        <v>9.3110157519126009</v>
      </c>
      <c r="I58" t="s">
        <v>370</v>
      </c>
      <c r="J58" s="6" t="s">
        <v>25</v>
      </c>
    </row>
    <row r="59" spans="1:10" ht="15.6" x14ac:dyDescent="0.35">
      <c r="A59" s="5"/>
      <c r="B59" s="13" t="s">
        <v>446</v>
      </c>
      <c r="C59" s="13" t="s">
        <v>447</v>
      </c>
      <c r="E59" s="6"/>
      <c r="G59" s="16" t="s">
        <v>373</v>
      </c>
      <c r="H59" s="29">
        <f t="shared" si="1"/>
        <v>2.6908831642960962</v>
      </c>
      <c r="I59" t="s">
        <v>354</v>
      </c>
      <c r="J59" s="6" t="s">
        <v>26</v>
      </c>
    </row>
    <row r="60" spans="1:10" ht="16.8" x14ac:dyDescent="0.35">
      <c r="A60" s="16" t="s">
        <v>448</v>
      </c>
      <c r="B60" s="29">
        <f>IF(C7="Above Grade",C9,0)</f>
        <v>0</v>
      </c>
      <c r="C60" s="29">
        <f>IF(C7="Above Grade",D9,0)</f>
        <v>0</v>
      </c>
      <c r="E60" s="6"/>
      <c r="G60" s="16" t="s">
        <v>376</v>
      </c>
      <c r="H60" s="29">
        <f t="shared" si="1"/>
        <v>10.150004827091585</v>
      </c>
      <c r="I60" t="s">
        <v>370</v>
      </c>
      <c r="J60" s="6" t="s">
        <v>27</v>
      </c>
    </row>
    <row r="61" spans="1:10" ht="16.8" x14ac:dyDescent="0.35">
      <c r="A61" s="16" t="s">
        <v>59</v>
      </c>
      <c r="B61" s="29">
        <f>C11</f>
        <v>2.1</v>
      </c>
      <c r="C61" s="29">
        <f>D11</f>
        <v>2.1</v>
      </c>
      <c r="E61" s="6"/>
      <c r="G61" s="16" t="s">
        <v>379</v>
      </c>
      <c r="H61" s="29">
        <f t="shared" si="1"/>
        <v>8.5771830435046326</v>
      </c>
      <c r="I61" t="s">
        <v>367</v>
      </c>
      <c r="J61" s="6" t="s">
        <v>28</v>
      </c>
    </row>
    <row r="62" spans="1:10" ht="16.8" x14ac:dyDescent="0.35">
      <c r="A62" s="16" t="s">
        <v>449</v>
      </c>
      <c r="B62" s="14">
        <f>(B60*B61*12)/H59</f>
        <v>0</v>
      </c>
      <c r="C62" s="14">
        <f>(C60*C61*12)/H63</f>
        <v>0</v>
      </c>
      <c r="E62" s="6" t="s">
        <v>450</v>
      </c>
      <c r="G62" s="16" t="s">
        <v>382</v>
      </c>
      <c r="H62" s="29">
        <f t="shared" si="1"/>
        <v>2.9051561588892536</v>
      </c>
      <c r="I62" t="s">
        <v>370</v>
      </c>
      <c r="J62" s="6" t="s">
        <v>29</v>
      </c>
    </row>
    <row r="63" spans="1:10" ht="15.6" x14ac:dyDescent="0.35">
      <c r="A63" s="5"/>
      <c r="B63" s="14"/>
      <c r="E63" s="6"/>
      <c r="G63" s="16" t="s">
        <v>384</v>
      </c>
      <c r="H63" s="29">
        <f t="shared" si="1"/>
        <v>1.4806775572148851</v>
      </c>
      <c r="I63" t="s">
        <v>354</v>
      </c>
      <c r="J63" s="6" t="s">
        <v>30</v>
      </c>
    </row>
    <row r="64" spans="1:10" ht="16.8" x14ac:dyDescent="0.35">
      <c r="A64" s="7" t="s">
        <v>451</v>
      </c>
      <c r="E64" s="6"/>
      <c r="G64" s="16" t="s">
        <v>386</v>
      </c>
      <c r="H64" s="29">
        <f t="shared" si="1"/>
        <v>4.3841224916480011</v>
      </c>
      <c r="I64" t="s">
        <v>370</v>
      </c>
      <c r="J64" s="6" t="s">
        <v>31</v>
      </c>
    </row>
    <row r="65" spans="1:10" ht="15.6" x14ac:dyDescent="0.35">
      <c r="A65" s="19" t="s">
        <v>452</v>
      </c>
      <c r="E65" s="6"/>
      <c r="G65" s="16" t="s">
        <v>388</v>
      </c>
      <c r="H65" s="1">
        <f>SQRT(SQRT(H61*H68)/H58)</f>
        <v>1.6393785215672594</v>
      </c>
      <c r="I65" t="s">
        <v>354</v>
      </c>
      <c r="J65" s="6"/>
    </row>
    <row r="66" spans="1:10" ht="15.6" x14ac:dyDescent="0.35">
      <c r="A66" s="16" t="s">
        <v>453</v>
      </c>
      <c r="B66" t="s">
        <v>454</v>
      </c>
      <c r="C66" s="1" t="str">
        <f>IF(B62=0,"N/A",(PI()^2*H$72)/B62^2)</f>
        <v>N/A</v>
      </c>
      <c r="D66" t="s">
        <v>44</v>
      </c>
      <c r="E66" s="6" t="s">
        <v>45</v>
      </c>
      <c r="G66" s="16" t="s">
        <v>390</v>
      </c>
      <c r="H66" s="1">
        <f>H51-H54</f>
        <v>5.8350000000000009</v>
      </c>
      <c r="I66" t="s">
        <v>354</v>
      </c>
      <c r="J66" s="6" t="s">
        <v>391</v>
      </c>
    </row>
    <row r="67" spans="1:10" ht="16.8" x14ac:dyDescent="0.35">
      <c r="A67" s="16" t="s">
        <v>455</v>
      </c>
      <c r="B67" t="s">
        <v>456</v>
      </c>
      <c r="C67" s="1" t="str">
        <f>IF(C66="N/A","N/A",IF(H73/C66&lt;2.25,(0.658^(H$73/C66)*H$73),0.877*C66))</f>
        <v>N/A</v>
      </c>
      <c r="D67" t="s">
        <v>44</v>
      </c>
      <c r="E67" s="6" t="s">
        <v>46</v>
      </c>
      <c r="G67" s="16" t="s">
        <v>392</v>
      </c>
      <c r="H67" s="29">
        <f>H27</f>
        <v>6.7013104794440545E-2</v>
      </c>
      <c r="I67" t="s">
        <v>367</v>
      </c>
      <c r="J67" s="6" t="s">
        <v>32</v>
      </c>
    </row>
    <row r="68" spans="1:10" ht="16.8" x14ac:dyDescent="0.35">
      <c r="A68" s="16" t="s">
        <v>457</v>
      </c>
      <c r="B68" t="s">
        <v>458</v>
      </c>
      <c r="C68" s="1" t="str">
        <f>IF(C67="N/A","N/A",C67*H50)</f>
        <v>N/A</v>
      </c>
      <c r="D68" t="s">
        <v>459</v>
      </c>
      <c r="E68" s="6" t="s">
        <v>47</v>
      </c>
      <c r="G68" s="16" t="s">
        <v>394</v>
      </c>
      <c r="H68" s="29">
        <f>H28</f>
        <v>73.007320237096778</v>
      </c>
      <c r="I68" t="s">
        <v>395</v>
      </c>
      <c r="J68" s="6" t="s">
        <v>33</v>
      </c>
    </row>
    <row r="69" spans="1:10" ht="15" thickBot="1" x14ac:dyDescent="0.35">
      <c r="A69" s="16"/>
      <c r="E69" s="6"/>
      <c r="G69" s="5"/>
      <c r="J69" s="6"/>
    </row>
    <row r="70" spans="1:10" ht="15" thickBot="1" x14ac:dyDescent="0.35">
      <c r="A70" s="19" t="s">
        <v>460</v>
      </c>
      <c r="E70" s="6"/>
      <c r="G70" s="429" t="s">
        <v>399</v>
      </c>
      <c r="H70" s="430"/>
      <c r="I70" s="430"/>
      <c r="J70" s="431"/>
    </row>
    <row r="71" spans="1:10" ht="15.6" x14ac:dyDescent="0.35">
      <c r="A71" s="16" t="s">
        <v>453</v>
      </c>
      <c r="B71" t="s">
        <v>75</v>
      </c>
      <c r="C71" s="1" t="str">
        <f>IF(C62=0,"N/A",(PI()^2*H$72)/C62^2)</f>
        <v>N/A</v>
      </c>
      <c r="D71" t="s">
        <v>44</v>
      </c>
      <c r="E71" s="6" t="s">
        <v>45</v>
      </c>
      <c r="G71" s="16" t="s">
        <v>400</v>
      </c>
      <c r="H71" s="51" t="str">
        <f>H31</f>
        <v>ASTM A992</v>
      </c>
      <c r="J71" s="6"/>
    </row>
    <row r="72" spans="1:10" ht="15.6" x14ac:dyDescent="0.35">
      <c r="A72" s="16" t="s">
        <v>455</v>
      </c>
      <c r="B72" t="s">
        <v>76</v>
      </c>
      <c r="C72" s="1" t="str">
        <f>IF(C71="N/A","N/A",IF(H73/C71&lt;2.25,(0.658^(H$73/C71)*H$73),0.877*C71))</f>
        <v>N/A</v>
      </c>
      <c r="D72" t="s">
        <v>44</v>
      </c>
      <c r="E72" s="6" t="s">
        <v>46</v>
      </c>
      <c r="G72" s="16" t="s">
        <v>43</v>
      </c>
      <c r="H72" s="30">
        <f>H32</f>
        <v>29000</v>
      </c>
      <c r="I72" t="s">
        <v>44</v>
      </c>
      <c r="J72" s="6" t="s">
        <v>404</v>
      </c>
    </row>
    <row r="73" spans="1:10" ht="15.6" x14ac:dyDescent="0.35">
      <c r="A73" s="16" t="s">
        <v>457</v>
      </c>
      <c r="B73" t="s">
        <v>77</v>
      </c>
      <c r="C73" s="1" t="str">
        <f>IF(C72="N/A","N/A",C72*H50)</f>
        <v>N/A</v>
      </c>
      <c r="D73" t="s">
        <v>459</v>
      </c>
      <c r="E73" s="6" t="s">
        <v>47</v>
      </c>
      <c r="G73" s="16" t="s">
        <v>409</v>
      </c>
      <c r="H73" s="30">
        <f>H34</f>
        <v>65</v>
      </c>
      <c r="I73" t="s">
        <v>44</v>
      </c>
      <c r="J73" s="6" t="s">
        <v>410</v>
      </c>
    </row>
    <row r="74" spans="1:10" ht="15.6" x14ac:dyDescent="0.35">
      <c r="A74" s="5"/>
      <c r="E74" s="6"/>
      <c r="G74" s="16" t="s">
        <v>413</v>
      </c>
      <c r="H74" s="30">
        <f>H35</f>
        <v>80</v>
      </c>
      <c r="I74" t="s">
        <v>44</v>
      </c>
      <c r="J74" s="6" t="s">
        <v>414</v>
      </c>
    </row>
    <row r="75" spans="1:10" ht="15" thickBot="1" x14ac:dyDescent="0.35">
      <c r="A75" s="7" t="s">
        <v>461</v>
      </c>
      <c r="E75" s="6"/>
      <c r="G75" s="5"/>
      <c r="J75" s="6"/>
    </row>
    <row r="76" spans="1:10" ht="15" thickBot="1" x14ac:dyDescent="0.35">
      <c r="A76" s="17" t="s">
        <v>462</v>
      </c>
      <c r="B76" s="15" t="s">
        <v>407</v>
      </c>
      <c r="C76" s="30">
        <f>H33</f>
        <v>11500</v>
      </c>
      <c r="D76" t="s">
        <v>44</v>
      </c>
      <c r="E76" s="6"/>
      <c r="G76" s="429" t="s">
        <v>417</v>
      </c>
      <c r="H76" s="430"/>
      <c r="I76" s="430"/>
      <c r="J76" s="431"/>
    </row>
    <row r="77" spans="1:10" ht="15.6" x14ac:dyDescent="0.3">
      <c r="A77" s="17" t="s">
        <v>358</v>
      </c>
      <c r="B77" s="15" t="s">
        <v>359</v>
      </c>
      <c r="C77" s="29">
        <f>C13</f>
        <v>2.1</v>
      </c>
      <c r="E77" s="6"/>
      <c r="G77" s="17" t="s">
        <v>420</v>
      </c>
      <c r="H77" s="55">
        <v>1.5</v>
      </c>
      <c r="J77" s="6" t="s">
        <v>421</v>
      </c>
    </row>
    <row r="78" spans="1:10" ht="15.6" x14ac:dyDescent="0.3">
      <c r="A78" s="17" t="s">
        <v>355</v>
      </c>
      <c r="B78" s="15" t="s">
        <v>356</v>
      </c>
      <c r="C78" s="29">
        <f>IF(C7="Above Grade",C12,0)</f>
        <v>0</v>
      </c>
      <c r="D78" t="s">
        <v>58</v>
      </c>
      <c r="E78" s="6"/>
      <c r="G78" s="17" t="s">
        <v>422</v>
      </c>
      <c r="H78" s="55">
        <v>1.67</v>
      </c>
      <c r="J78" s="6" t="s">
        <v>423</v>
      </c>
    </row>
    <row r="79" spans="1:10" ht="15.6" x14ac:dyDescent="0.3">
      <c r="A79" s="17" t="s">
        <v>463</v>
      </c>
      <c r="B79" s="15" t="s">
        <v>464</v>
      </c>
      <c r="C79" s="1" t="str">
        <f>IF(C78=0,"N/A",(((PI()^2*H72*H68)/(C77*C78*12)^2)+C76*H67)*(1/(H57+H61)))</f>
        <v>N/A</v>
      </c>
      <c r="D79" t="s">
        <v>44</v>
      </c>
      <c r="E79" s="6" t="s">
        <v>465</v>
      </c>
      <c r="G79" s="17" t="s">
        <v>424</v>
      </c>
      <c r="H79" s="29">
        <v>1.67</v>
      </c>
      <c r="J79" s="6" t="s">
        <v>425</v>
      </c>
    </row>
    <row r="80" spans="1:10" ht="15.6" x14ac:dyDescent="0.3">
      <c r="A80" s="17" t="s">
        <v>466</v>
      </c>
      <c r="B80" s="15" t="s">
        <v>467</v>
      </c>
      <c r="C80" s="1" t="str">
        <f>IF(C79="N/A","N/A",IF(H73/C79&lt;2.25,(0.658^(H$73/C79)*H$73),0.877*C79))</f>
        <v>N/A</v>
      </c>
      <c r="D80" t="s">
        <v>44</v>
      </c>
      <c r="E80" s="6" t="s">
        <v>46</v>
      </c>
      <c r="G80" s="17" t="s">
        <v>426</v>
      </c>
      <c r="H80" s="29">
        <v>1.67</v>
      </c>
      <c r="J80" s="6" t="s">
        <v>427</v>
      </c>
    </row>
    <row r="81" spans="1:10" ht="15.6" x14ac:dyDescent="0.3">
      <c r="A81" s="17" t="s">
        <v>468</v>
      </c>
      <c r="B81" s="15" t="s">
        <v>469</v>
      </c>
      <c r="C81" s="1" t="str">
        <f>IF(C80="N/A","N/A",C80*H50)</f>
        <v>N/A</v>
      </c>
      <c r="D81" t="s">
        <v>459</v>
      </c>
      <c r="E81" s="6" t="s">
        <v>470</v>
      </c>
      <c r="G81" s="17" t="s">
        <v>430</v>
      </c>
      <c r="H81" s="29">
        <v>2</v>
      </c>
      <c r="J81" s="6" t="s">
        <v>431</v>
      </c>
    </row>
    <row r="82" spans="1:10" ht="16.2" thickBot="1" x14ac:dyDescent="0.35">
      <c r="A82" s="26"/>
      <c r="E82" s="6"/>
      <c r="G82" s="18" t="s">
        <v>434</v>
      </c>
      <c r="H82" s="56">
        <v>1.67</v>
      </c>
      <c r="I82" s="8"/>
      <c r="J82" s="9" t="s">
        <v>435</v>
      </c>
    </row>
    <row r="83" spans="1:10" x14ac:dyDescent="0.3">
      <c r="A83" s="24" t="s">
        <v>471</v>
      </c>
      <c r="E83" s="6"/>
    </row>
    <row r="84" spans="1:10" ht="15.6" x14ac:dyDescent="0.3">
      <c r="A84" s="16" t="s">
        <v>385</v>
      </c>
      <c r="B84" s="15" t="s">
        <v>383</v>
      </c>
      <c r="C84" s="29">
        <f>C24</f>
        <v>1.5485</v>
      </c>
      <c r="D84" t="s">
        <v>459</v>
      </c>
      <c r="E84" s="6"/>
    </row>
    <row r="85" spans="1:10" ht="15.6" x14ac:dyDescent="0.35">
      <c r="A85" s="16" t="s">
        <v>472</v>
      </c>
      <c r="B85" s="1" t="s">
        <v>473</v>
      </c>
      <c r="C85" s="1">
        <f>IF(AND(C68="N/A",C73="N/A",C81="N/A"),H73*H50,MIN(C68,C73,C81))</f>
        <v>254.29454699344237</v>
      </c>
      <c r="D85" t="s">
        <v>459</v>
      </c>
      <c r="E85" s="6" t="s">
        <v>474</v>
      </c>
    </row>
    <row r="86" spans="1:10" ht="16.2" thickBot="1" x14ac:dyDescent="0.4">
      <c r="A86" s="16" t="s">
        <v>475</v>
      </c>
      <c r="B86" t="s">
        <v>476</v>
      </c>
      <c r="C86" s="1">
        <f>C85/H82</f>
        <v>152.2721838284086</v>
      </c>
      <c r="D86" t="s">
        <v>459</v>
      </c>
      <c r="E86" s="6" t="s">
        <v>477</v>
      </c>
      <c r="G86" s="1"/>
    </row>
    <row r="87" spans="1:10" ht="16.2" thickBot="1" x14ac:dyDescent="0.4">
      <c r="A87" s="25"/>
      <c r="B87" s="27" t="s">
        <v>397</v>
      </c>
      <c r="C87" s="28">
        <f>C84/C86</f>
        <v>1.016929002440106E-2</v>
      </c>
      <c r="D87" s="8"/>
      <c r="E87" s="9" t="s">
        <v>398</v>
      </c>
    </row>
    <row r="88" spans="1:10" ht="15" thickBot="1" x14ac:dyDescent="0.35">
      <c r="A88" s="2"/>
    </row>
    <row r="89" spans="1:10" ht="15" thickBot="1" x14ac:dyDescent="0.35">
      <c r="A89" s="435" t="s">
        <v>478</v>
      </c>
      <c r="B89" s="436"/>
      <c r="C89" s="436"/>
      <c r="D89" s="436"/>
      <c r="E89" s="437"/>
    </row>
    <row r="90" spans="1:10" ht="15" thickBot="1" x14ac:dyDescent="0.35">
      <c r="A90" s="5"/>
      <c r="E90" s="6"/>
      <c r="G90" s="429" t="s">
        <v>340</v>
      </c>
      <c r="H90" s="430"/>
      <c r="I90" s="430"/>
      <c r="J90" s="431"/>
    </row>
    <row r="91" spans="1:10" x14ac:dyDescent="0.3">
      <c r="A91" s="7" t="s">
        <v>479</v>
      </c>
      <c r="E91" s="6"/>
      <c r="G91" s="41" t="s">
        <v>343</v>
      </c>
      <c r="H91" s="52" t="str">
        <f>H48</f>
        <v>W6X20</v>
      </c>
      <c r="I91" s="3"/>
      <c r="J91" s="4"/>
    </row>
    <row r="92" spans="1:10" x14ac:dyDescent="0.3">
      <c r="A92" s="19" t="s">
        <v>438</v>
      </c>
      <c r="E92" s="6"/>
      <c r="G92" s="16" t="s">
        <v>347</v>
      </c>
      <c r="H92" s="29">
        <f>H49</f>
        <v>57.599999999999994</v>
      </c>
      <c r="I92" t="s">
        <v>348</v>
      </c>
      <c r="J92" s="6"/>
    </row>
    <row r="93" spans="1:10" ht="16.2" x14ac:dyDescent="0.3">
      <c r="A93" s="16" t="s">
        <v>439</v>
      </c>
      <c r="B93" s="1">
        <f>H53/(2*H54)</f>
        <v>11.819055244195354</v>
      </c>
      <c r="E93" s="6" t="s">
        <v>480</v>
      </c>
      <c r="G93" s="16" t="s">
        <v>351</v>
      </c>
      <c r="H93" s="29">
        <f t="shared" ref="H93:H98" si="2">H50</f>
        <v>3.9122237998991132</v>
      </c>
      <c r="I93" t="s">
        <v>352</v>
      </c>
      <c r="J93" s="6" t="s">
        <v>18</v>
      </c>
    </row>
    <row r="94" spans="1:10" x14ac:dyDescent="0.3">
      <c r="A94" s="16" t="s">
        <v>481</v>
      </c>
      <c r="B94" s="1">
        <f>0.38*SQRT(H72/H73)</f>
        <v>8.0264945888361119</v>
      </c>
      <c r="E94" s="6" t="s">
        <v>480</v>
      </c>
      <c r="G94" s="16" t="s">
        <v>353</v>
      </c>
      <c r="H94" s="29">
        <f t="shared" si="2"/>
        <v>6.0848000000000004</v>
      </c>
      <c r="I94" t="s">
        <v>354</v>
      </c>
      <c r="J94" s="6" t="s">
        <v>19</v>
      </c>
    </row>
    <row r="95" spans="1:10" ht="15.6" x14ac:dyDescent="0.35">
      <c r="A95" s="16" t="s">
        <v>482</v>
      </c>
      <c r="B95" s="1">
        <f>1*SQRT(H72/H73)</f>
        <v>21.122354181147664</v>
      </c>
      <c r="E95" s="6" t="s">
        <v>480</v>
      </c>
      <c r="G95" s="16" t="s">
        <v>357</v>
      </c>
      <c r="H95" s="29">
        <f t="shared" si="2"/>
        <v>0.14480000000000004</v>
      </c>
      <c r="I95" t="s">
        <v>354</v>
      </c>
      <c r="J95" s="6" t="s">
        <v>21</v>
      </c>
    </row>
    <row r="96" spans="1:10" ht="15.6" x14ac:dyDescent="0.35">
      <c r="A96" s="16"/>
      <c r="B96" s="31" t="str">
        <f>IF(C7="Above Grade",IF(B93&lt;B94,"Compact",IF(B93&lt;B95,"Non Compact","Slender")),"Not Required")</f>
        <v>Not Required</v>
      </c>
      <c r="E96" s="6"/>
      <c r="G96" s="16" t="s">
        <v>360</v>
      </c>
      <c r="H96" s="29">
        <f t="shared" si="2"/>
        <v>5.9047999999999998</v>
      </c>
      <c r="I96" t="s">
        <v>354</v>
      </c>
      <c r="J96" s="6" t="s">
        <v>22</v>
      </c>
    </row>
    <row r="97" spans="1:10" ht="15.6" x14ac:dyDescent="0.35">
      <c r="A97" s="19" t="s">
        <v>442</v>
      </c>
      <c r="G97" s="16" t="s">
        <v>361</v>
      </c>
      <c r="H97" s="29">
        <f t="shared" si="2"/>
        <v>0.24980000000000002</v>
      </c>
      <c r="I97" t="s">
        <v>354</v>
      </c>
      <c r="J97" s="6" t="s">
        <v>23</v>
      </c>
    </row>
    <row r="98" spans="1:10" ht="15.6" x14ac:dyDescent="0.35">
      <c r="A98" s="16" t="s">
        <v>439</v>
      </c>
      <c r="B98" s="1">
        <f>(H51-2*H54)/H52</f>
        <v>38.571823204419879</v>
      </c>
      <c r="E98" s="6" t="s">
        <v>480</v>
      </c>
      <c r="G98" s="16" t="s">
        <v>443</v>
      </c>
      <c r="H98" s="29">
        <f t="shared" si="2"/>
        <v>0</v>
      </c>
      <c r="I98" t="s">
        <v>354</v>
      </c>
      <c r="J98" s="6" t="s">
        <v>444</v>
      </c>
    </row>
    <row r="99" spans="1:10" x14ac:dyDescent="0.3">
      <c r="A99" s="16" t="s">
        <v>481</v>
      </c>
      <c r="B99" s="1">
        <f>3.76*SQRT(H72/H73)</f>
        <v>79.420051721115215</v>
      </c>
      <c r="E99" s="6" t="s">
        <v>480</v>
      </c>
      <c r="G99" s="16"/>
      <c r="H99" s="1"/>
      <c r="J99" s="6"/>
    </row>
    <row r="100" spans="1:10" ht="16.8" x14ac:dyDescent="0.35">
      <c r="A100" s="16" t="s">
        <v>482</v>
      </c>
      <c r="B100" s="1">
        <f>5.7*SQRT(H72/H73)</f>
        <v>120.39741883254169</v>
      </c>
      <c r="E100" s="6" t="s">
        <v>480</v>
      </c>
      <c r="G100" s="16" t="s">
        <v>366</v>
      </c>
      <c r="H100" s="29">
        <f>H57</f>
        <v>28.327834323618902</v>
      </c>
      <c r="I100" t="s">
        <v>367</v>
      </c>
      <c r="J100" s="6" t="s">
        <v>24</v>
      </c>
    </row>
    <row r="101" spans="1:10" ht="16.8" x14ac:dyDescent="0.35">
      <c r="A101" s="5"/>
      <c r="B101" s="31" t="str">
        <f>IF(C7="Above Grade",IF(B98&lt;B99,"Compact",IF(B98&lt;B100,"Non Compact","Slender")),"Not Required")</f>
        <v>Not Required</v>
      </c>
      <c r="E101" s="6"/>
      <c r="G101" s="16" t="s">
        <v>369</v>
      </c>
      <c r="H101" s="29">
        <f t="shared" ref="H101:H107" si="3">H58</f>
        <v>9.3110157519126009</v>
      </c>
      <c r="I101" t="s">
        <v>370</v>
      </c>
      <c r="J101" s="6" t="s">
        <v>25</v>
      </c>
    </row>
    <row r="102" spans="1:10" ht="15.6" x14ac:dyDescent="0.35">
      <c r="A102" s="5"/>
      <c r="E102" s="6"/>
      <c r="G102" s="16" t="s">
        <v>373</v>
      </c>
      <c r="H102" s="29">
        <f t="shared" si="3"/>
        <v>2.6908831642960962</v>
      </c>
      <c r="I102" t="s">
        <v>354</v>
      </c>
      <c r="J102" s="6" t="s">
        <v>26</v>
      </c>
    </row>
    <row r="103" spans="1:10" ht="16.8" x14ac:dyDescent="0.35">
      <c r="A103" s="7" t="s">
        <v>483</v>
      </c>
      <c r="E103" s="6"/>
      <c r="G103" s="16" t="s">
        <v>376</v>
      </c>
      <c r="H103" s="29">
        <f t="shared" si="3"/>
        <v>10.150004827091585</v>
      </c>
      <c r="I103" t="s">
        <v>370</v>
      </c>
      <c r="J103" s="6" t="s">
        <v>27</v>
      </c>
    </row>
    <row r="104" spans="1:10" ht="16.8" x14ac:dyDescent="0.35">
      <c r="A104" s="16" t="s">
        <v>484</v>
      </c>
      <c r="B104" t="s">
        <v>485</v>
      </c>
      <c r="C104" s="1">
        <f>H73*H60/12</f>
        <v>54.979192813412759</v>
      </c>
      <c r="D104" t="s">
        <v>486</v>
      </c>
      <c r="E104" s="6" t="s">
        <v>53</v>
      </c>
      <c r="G104" s="16" t="s">
        <v>379</v>
      </c>
      <c r="H104" s="29">
        <f t="shared" si="3"/>
        <v>8.5771830435046326</v>
      </c>
      <c r="I104" t="s">
        <v>367</v>
      </c>
      <c r="J104" s="6" t="s">
        <v>28</v>
      </c>
    </row>
    <row r="105" spans="1:10" ht="16.8" x14ac:dyDescent="0.35">
      <c r="A105" s="5"/>
      <c r="E105" s="6"/>
      <c r="G105" s="16" t="s">
        <v>382</v>
      </c>
      <c r="H105" s="29">
        <f t="shared" si="3"/>
        <v>2.9051561588892536</v>
      </c>
      <c r="I105" t="s">
        <v>370</v>
      </c>
      <c r="J105" s="6" t="s">
        <v>29</v>
      </c>
    </row>
    <row r="106" spans="1:10" ht="15.6" x14ac:dyDescent="0.35">
      <c r="A106" s="7" t="s">
        <v>487</v>
      </c>
      <c r="E106" s="6"/>
      <c r="G106" s="16" t="s">
        <v>384</v>
      </c>
      <c r="H106" s="29">
        <f t="shared" si="3"/>
        <v>1.4806775572148851</v>
      </c>
      <c r="I106" t="s">
        <v>354</v>
      </c>
      <c r="J106" s="6" t="s">
        <v>30</v>
      </c>
    </row>
    <row r="107" spans="1:10" ht="16.8" x14ac:dyDescent="0.35">
      <c r="A107" s="16" t="s">
        <v>57</v>
      </c>
      <c r="B107" t="s">
        <v>341</v>
      </c>
      <c r="C107" s="29">
        <f>IF(C7="Above Grade",C9*12,0)</f>
        <v>0</v>
      </c>
      <c r="D107" t="s">
        <v>354</v>
      </c>
      <c r="E107" s="6"/>
      <c r="G107" s="16" t="s">
        <v>386</v>
      </c>
      <c r="H107" s="29">
        <f t="shared" si="3"/>
        <v>4.3841224916480011</v>
      </c>
      <c r="I107" t="s">
        <v>370</v>
      </c>
      <c r="J107" s="6" t="s">
        <v>31</v>
      </c>
    </row>
    <row r="108" spans="1:10" ht="15.6" x14ac:dyDescent="0.35">
      <c r="A108" s="16" t="s">
        <v>488</v>
      </c>
      <c r="B108" t="s">
        <v>489</v>
      </c>
      <c r="C108" s="1">
        <f>1.76*H63*SQRT(H72/H73)</f>
        <v>55.04469659316203</v>
      </c>
      <c r="D108" t="s">
        <v>354</v>
      </c>
      <c r="E108" s="6" t="s">
        <v>48</v>
      </c>
      <c r="G108" s="16" t="s">
        <v>388</v>
      </c>
      <c r="H108" s="1">
        <f>H65</f>
        <v>1.6393785215672594</v>
      </c>
      <c r="I108" t="s">
        <v>354</v>
      </c>
      <c r="J108" s="6"/>
    </row>
    <row r="109" spans="1:10" ht="15.6" x14ac:dyDescent="0.35">
      <c r="A109" s="16" t="s">
        <v>362</v>
      </c>
      <c r="B109" t="s">
        <v>363</v>
      </c>
      <c r="C109" s="29">
        <f>C15</f>
        <v>1.464</v>
      </c>
      <c r="E109" s="6" t="s">
        <v>490</v>
      </c>
      <c r="G109" s="16" t="s">
        <v>390</v>
      </c>
      <c r="H109" s="1">
        <f>H66</f>
        <v>5.8350000000000009</v>
      </c>
      <c r="I109" t="s">
        <v>354</v>
      </c>
      <c r="J109" s="6" t="s">
        <v>391</v>
      </c>
    </row>
    <row r="110" spans="1:10" ht="16.8" x14ac:dyDescent="0.35">
      <c r="A110" s="16" t="s">
        <v>491</v>
      </c>
      <c r="B110" t="s">
        <v>492</v>
      </c>
      <c r="C110" s="1">
        <f>(1.95*H65*H72)/(0.7*H73)*SQRT((H67*C109)/(H58*H66)+SQRT(((H67*C109)/(H58*H66))^2+6.76*((0.7*H73)/H72)^2))</f>
        <v>161.29708929480472</v>
      </c>
      <c r="D110" t="s">
        <v>354</v>
      </c>
      <c r="E110" s="6"/>
      <c r="G110" s="16" t="s">
        <v>392</v>
      </c>
      <c r="H110" s="29">
        <f>H67</f>
        <v>6.7013104794440545E-2</v>
      </c>
      <c r="I110" t="s">
        <v>367</v>
      </c>
      <c r="J110" s="6" t="s">
        <v>32</v>
      </c>
    </row>
    <row r="111" spans="1:10" ht="16.8" x14ac:dyDescent="0.35">
      <c r="A111" s="16" t="s">
        <v>364</v>
      </c>
      <c r="B111" t="s">
        <v>365</v>
      </c>
      <c r="C111" s="29">
        <f>C16</f>
        <v>1.464</v>
      </c>
      <c r="E111" s="6"/>
      <c r="G111" s="16" t="s">
        <v>394</v>
      </c>
      <c r="H111" s="29">
        <f>H68</f>
        <v>73.007320237096778</v>
      </c>
      <c r="I111" t="s">
        <v>395</v>
      </c>
      <c r="J111" s="6" t="s">
        <v>33</v>
      </c>
    </row>
    <row r="112" spans="1:10" ht="16.2" thickBot="1" x14ac:dyDescent="0.4">
      <c r="A112" s="16" t="s">
        <v>493</v>
      </c>
      <c r="B112" t="s">
        <v>494</v>
      </c>
      <c r="C112" s="1" t="str">
        <f>IF(AND(C107&lt;C110,C107&gt;C108),C111*(C104-(C104-0.7*H73*H58/12)*((C107-C108)/(C110-C108))),IF(C107&gt;C110,H58*((C111*PI()^2*H72)/(C107/H65)^2)*SQRT(1+0.078*((H67*C109)/(H58*H66))*(C107/H65)^2)/12,"LTB Not Required"))</f>
        <v>LTB Not Required</v>
      </c>
      <c r="D112" t="s">
        <v>486</v>
      </c>
      <c r="E112" s="6" t="s">
        <v>495</v>
      </c>
      <c r="G112" s="5"/>
      <c r="J112" s="6"/>
    </row>
    <row r="113" spans="1:10" ht="15" thickBot="1" x14ac:dyDescent="0.35">
      <c r="A113" s="5"/>
      <c r="E113" s="6"/>
      <c r="G113" s="429" t="s">
        <v>399</v>
      </c>
      <c r="H113" s="430"/>
      <c r="I113" s="430"/>
      <c r="J113" s="431"/>
    </row>
    <row r="114" spans="1:10" x14ac:dyDescent="0.3">
      <c r="A114" s="7" t="s">
        <v>496</v>
      </c>
      <c r="E114" s="6"/>
      <c r="G114" s="16" t="s">
        <v>400</v>
      </c>
      <c r="H114" s="51" t="str">
        <f>H71</f>
        <v>ASTM A992</v>
      </c>
      <c r="J114" s="6"/>
    </row>
    <row r="115" spans="1:10" ht="28.8" x14ac:dyDescent="0.3">
      <c r="A115" s="20" t="s">
        <v>497</v>
      </c>
      <c r="B115" s="32" t="str">
        <f>IF(AND(B101="Compact",OR(B96="Non Compact",B96="Slender")),"YES",IF(B101="Non Compact","SEE CODE - SECTION F4",IF(B101="Slender","SEE CODE - SECTION F5","NO")))</f>
        <v>NO</v>
      </c>
      <c r="C115" s="21"/>
      <c r="D115" s="21"/>
      <c r="E115" s="22" t="s">
        <v>498</v>
      </c>
      <c r="G115" s="16" t="s">
        <v>43</v>
      </c>
      <c r="H115" s="33">
        <f>H72</f>
        <v>29000</v>
      </c>
      <c r="I115" t="s">
        <v>44</v>
      </c>
      <c r="J115" s="6" t="s">
        <v>404</v>
      </c>
    </row>
    <row r="116" spans="1:10" ht="15.6" x14ac:dyDescent="0.35">
      <c r="A116" s="5"/>
      <c r="B116" t="s">
        <v>499</v>
      </c>
      <c r="C116" s="1">
        <f>IF(4/(SQRT((H51-2*H55)/H52))&lt;0.35,0.35,IF(4/(SQRT((H51-2*H55)/H52))&gt;0.76,0.76,4/(SQRT((H51-2*H55)/H52))))</f>
        <v>0.61705108205467363</v>
      </c>
      <c r="E116" s="6"/>
      <c r="G116" s="20" t="s">
        <v>409</v>
      </c>
      <c r="H116" s="53">
        <f>H73</f>
        <v>65</v>
      </c>
      <c r="I116" s="21" t="s">
        <v>44</v>
      </c>
      <c r="J116" s="54" t="s">
        <v>410</v>
      </c>
    </row>
    <row r="117" spans="1:10" ht="15.6" x14ac:dyDescent="0.3">
      <c r="A117" s="5"/>
      <c r="B117" t="s">
        <v>500</v>
      </c>
      <c r="C117" s="1">
        <f>(H51-2*H55)</f>
        <v>6.0848000000000004</v>
      </c>
      <c r="D117" t="s">
        <v>354</v>
      </c>
      <c r="E117" s="6"/>
      <c r="G117" s="20" t="s">
        <v>413</v>
      </c>
      <c r="H117" s="53">
        <f>H74</f>
        <v>80</v>
      </c>
      <c r="I117" s="21" t="s">
        <v>44</v>
      </c>
      <c r="J117" s="54" t="s">
        <v>414</v>
      </c>
    </row>
    <row r="118" spans="1:10" ht="16.2" thickBot="1" x14ac:dyDescent="0.4">
      <c r="A118" s="5"/>
      <c r="B118" s="23" t="s">
        <v>501</v>
      </c>
      <c r="C118" s="1">
        <f>H53/(2*H54)</f>
        <v>11.819055244195354</v>
      </c>
      <c r="E118" s="6" t="s">
        <v>502</v>
      </c>
      <c r="G118" s="5"/>
      <c r="J118" s="6"/>
    </row>
    <row r="119" spans="1:10" ht="16.2" thickBot="1" x14ac:dyDescent="0.4">
      <c r="A119" s="16" t="s">
        <v>503</v>
      </c>
      <c r="B119" s="23" t="s">
        <v>504</v>
      </c>
      <c r="C119" s="1">
        <f>B94</f>
        <v>8.0264945888361119</v>
      </c>
      <c r="E119" s="6" t="s">
        <v>480</v>
      </c>
      <c r="G119" s="429" t="s">
        <v>417</v>
      </c>
      <c r="H119" s="430"/>
      <c r="I119" s="430"/>
      <c r="J119" s="431"/>
    </row>
    <row r="120" spans="1:10" ht="15.6" x14ac:dyDescent="0.35">
      <c r="A120" s="16" t="s">
        <v>505</v>
      </c>
      <c r="B120" s="23" t="s">
        <v>506</v>
      </c>
      <c r="C120" s="1">
        <f>B95</f>
        <v>21.122354181147664</v>
      </c>
      <c r="E120" s="6" t="s">
        <v>480</v>
      </c>
      <c r="G120" s="17" t="s">
        <v>420</v>
      </c>
      <c r="H120" s="55">
        <f t="shared" ref="H120:H125" si="4">H77</f>
        <v>1.5</v>
      </c>
      <c r="J120" s="6" t="s">
        <v>421</v>
      </c>
    </row>
    <row r="121" spans="1:10" ht="15.6" x14ac:dyDescent="0.35">
      <c r="A121" s="16" t="s">
        <v>507</v>
      </c>
      <c r="B121" s="23" t="s">
        <v>508</v>
      </c>
      <c r="C121" s="1">
        <f>IF(B96="Non Compact",(C104-(C104-0.7*H73*H58/12)*((C118-C119)/(C120-C119))),(0.9*H72*C116*H58)/(C118^2*12))</f>
        <v>89.456502743807363</v>
      </c>
      <c r="D121" t="s">
        <v>509</v>
      </c>
      <c r="E121" s="6" t="s">
        <v>510</v>
      </c>
      <c r="G121" s="17" t="s">
        <v>422</v>
      </c>
      <c r="H121" s="55">
        <f t="shared" si="4"/>
        <v>1.67</v>
      </c>
      <c r="J121" s="6" t="s">
        <v>423</v>
      </c>
    </row>
    <row r="122" spans="1:10" ht="15.6" x14ac:dyDescent="0.3">
      <c r="A122" s="5"/>
      <c r="E122" s="6"/>
      <c r="G122" s="17" t="s">
        <v>424</v>
      </c>
      <c r="H122" s="55">
        <f t="shared" si="4"/>
        <v>1.67</v>
      </c>
      <c r="J122" s="6" t="s">
        <v>425</v>
      </c>
    </row>
    <row r="123" spans="1:10" ht="15.6" x14ac:dyDescent="0.3">
      <c r="A123" s="24" t="s">
        <v>511</v>
      </c>
      <c r="E123" s="6"/>
      <c r="G123" s="17" t="s">
        <v>426</v>
      </c>
      <c r="H123" s="55">
        <f t="shared" si="4"/>
        <v>1.67</v>
      </c>
      <c r="J123" s="6" t="s">
        <v>427</v>
      </c>
    </row>
    <row r="124" spans="1:10" ht="15.6" x14ac:dyDescent="0.3">
      <c r="A124" s="16" t="s">
        <v>374</v>
      </c>
      <c r="B124" s="15" t="s">
        <v>371</v>
      </c>
      <c r="C124" s="29">
        <f>C20</f>
        <v>10.965583333333333</v>
      </c>
      <c r="D124" t="s">
        <v>509</v>
      </c>
      <c r="E124" s="6"/>
      <c r="G124" s="17" t="s">
        <v>430</v>
      </c>
      <c r="H124" s="55">
        <f t="shared" si="4"/>
        <v>2</v>
      </c>
      <c r="J124" s="6" t="s">
        <v>431</v>
      </c>
    </row>
    <row r="125" spans="1:10" ht="16.2" thickBot="1" x14ac:dyDescent="0.4">
      <c r="A125" s="16" t="s">
        <v>512</v>
      </c>
      <c r="B125" s="1" t="s">
        <v>513</v>
      </c>
      <c r="C125" s="1">
        <f>IF(B115="YES",MIN(C104,C112,C121),MIN(C112,C104))</f>
        <v>54.979192813412759</v>
      </c>
      <c r="D125" t="s">
        <v>509</v>
      </c>
      <c r="E125" s="6" t="s">
        <v>514</v>
      </c>
      <c r="G125" s="18" t="s">
        <v>434</v>
      </c>
      <c r="H125" s="57">
        <f t="shared" si="4"/>
        <v>1.67</v>
      </c>
      <c r="I125" s="8"/>
      <c r="J125" s="9" t="s">
        <v>435</v>
      </c>
    </row>
    <row r="126" spans="1:10" ht="16.2" thickBot="1" x14ac:dyDescent="0.4">
      <c r="A126" s="16" t="s">
        <v>515</v>
      </c>
      <c r="B126" t="s">
        <v>516</v>
      </c>
      <c r="C126" s="1">
        <f>C125/H79</f>
        <v>32.921672343360932</v>
      </c>
      <c r="D126" t="s">
        <v>509</v>
      </c>
      <c r="E126" s="6" t="s">
        <v>517</v>
      </c>
    </row>
    <row r="127" spans="1:10" ht="16.2" thickBot="1" x14ac:dyDescent="0.4">
      <c r="A127" s="25"/>
      <c r="B127" s="27" t="s">
        <v>397</v>
      </c>
      <c r="C127" s="28">
        <f>C124/C126</f>
        <v>0.33308099354632814</v>
      </c>
      <c r="D127" s="8"/>
      <c r="E127" s="9" t="s">
        <v>403</v>
      </c>
    </row>
    <row r="128" spans="1:10" ht="15" thickBot="1" x14ac:dyDescent="0.35">
      <c r="A128" s="2"/>
    </row>
    <row r="129" spans="1:5" ht="15" thickBot="1" x14ac:dyDescent="0.35">
      <c r="A129" s="435" t="s">
        <v>518</v>
      </c>
      <c r="B129" s="436"/>
      <c r="C129" s="436"/>
      <c r="D129" s="436"/>
      <c r="E129" s="437"/>
    </row>
    <row r="130" spans="1:5" x14ac:dyDescent="0.3">
      <c r="A130" s="7" t="s">
        <v>519</v>
      </c>
      <c r="E130" s="6"/>
    </row>
    <row r="131" spans="1:5" ht="15.6" x14ac:dyDescent="0.35">
      <c r="A131" s="16" t="s">
        <v>520</v>
      </c>
      <c r="B131" t="s">
        <v>521</v>
      </c>
      <c r="C131" s="1">
        <f>MIN(H73*H64,1.6*H73*H62)/12</f>
        <v>23.747330163093338</v>
      </c>
      <c r="D131" t="s">
        <v>486</v>
      </c>
      <c r="E131" s="6" t="s">
        <v>53</v>
      </c>
    </row>
    <row r="132" spans="1:5" x14ac:dyDescent="0.3">
      <c r="A132" s="5"/>
      <c r="E132" s="6"/>
    </row>
    <row r="133" spans="1:5" x14ac:dyDescent="0.3">
      <c r="A133" s="7" t="s">
        <v>522</v>
      </c>
      <c r="E133" s="6"/>
    </row>
    <row r="134" spans="1:5" ht="28.8" x14ac:dyDescent="0.3">
      <c r="A134" s="20" t="s">
        <v>497</v>
      </c>
      <c r="B134" s="32" t="str">
        <f>IF(OR(B96="Non Compact",B96="Slender"),"YES","NO")</f>
        <v>NO</v>
      </c>
      <c r="C134" s="21"/>
      <c r="D134" s="21"/>
      <c r="E134" s="22" t="s">
        <v>523</v>
      </c>
    </row>
    <row r="135" spans="1:5" x14ac:dyDescent="0.3">
      <c r="A135" s="16"/>
      <c r="B135" t="s">
        <v>524</v>
      </c>
      <c r="C135" s="1">
        <f>H53/2</f>
        <v>2.9523999999999999</v>
      </c>
      <c r="D135" t="s">
        <v>354</v>
      </c>
      <c r="E135" s="6"/>
    </row>
    <row r="136" spans="1:5" ht="15.6" x14ac:dyDescent="0.35">
      <c r="A136" s="16"/>
      <c r="B136" s="23" t="s">
        <v>501</v>
      </c>
      <c r="C136" s="1">
        <f>C135/H54</f>
        <v>11.819055244195354</v>
      </c>
      <c r="E136" s="6" t="s">
        <v>525</v>
      </c>
    </row>
    <row r="137" spans="1:5" ht="15.6" x14ac:dyDescent="0.35">
      <c r="A137" s="16" t="s">
        <v>503</v>
      </c>
      <c r="B137" s="23" t="s">
        <v>504</v>
      </c>
      <c r="C137" s="1">
        <f>B94</f>
        <v>8.0264945888361119</v>
      </c>
      <c r="E137" s="6" t="s">
        <v>480</v>
      </c>
    </row>
    <row r="138" spans="1:5" ht="15.6" x14ac:dyDescent="0.35">
      <c r="A138" s="16" t="s">
        <v>505</v>
      </c>
      <c r="B138" s="23" t="s">
        <v>506</v>
      </c>
      <c r="C138" s="1">
        <f>B95</f>
        <v>21.122354181147664</v>
      </c>
      <c r="E138" s="6" t="s">
        <v>480</v>
      </c>
    </row>
    <row r="139" spans="1:5" ht="15.6" x14ac:dyDescent="0.35">
      <c r="A139" s="16" t="s">
        <v>507</v>
      </c>
      <c r="B139" s="23" t="s">
        <v>526</v>
      </c>
      <c r="C139" s="1">
        <f>IF(B96="Non Compact",(C131-(C131-0.7*H73*H62/12)*((C136-C137)/(C138-C137))),H62*(0.69*H72)/(C136^2)/12)</f>
        <v>34.679258186751966</v>
      </c>
      <c r="D139" t="s">
        <v>509</v>
      </c>
      <c r="E139" s="6" t="s">
        <v>510</v>
      </c>
    </row>
    <row r="140" spans="1:5" x14ac:dyDescent="0.3">
      <c r="A140" s="5"/>
      <c r="E140" s="6"/>
    </row>
    <row r="141" spans="1:5" x14ac:dyDescent="0.3">
      <c r="A141" s="24" t="s">
        <v>527</v>
      </c>
      <c r="E141" s="6"/>
    </row>
    <row r="142" spans="1:5" ht="15.6" x14ac:dyDescent="0.3">
      <c r="A142" s="16" t="s">
        <v>374</v>
      </c>
      <c r="B142" s="15" t="s">
        <v>372</v>
      </c>
      <c r="C142" s="29">
        <f>D20</f>
        <v>3.3959999999999999</v>
      </c>
      <c r="D142" t="s">
        <v>509</v>
      </c>
      <c r="E142" s="6"/>
    </row>
    <row r="143" spans="1:5" ht="15.6" x14ac:dyDescent="0.35">
      <c r="A143" s="16" t="s">
        <v>512</v>
      </c>
      <c r="B143" s="1" t="s">
        <v>528</v>
      </c>
      <c r="C143" s="1">
        <f>IF(B134="YES",MIN(C131,C139),C131)</f>
        <v>23.747330163093338</v>
      </c>
      <c r="D143" t="s">
        <v>509</v>
      </c>
      <c r="E143" s="6" t="s">
        <v>529</v>
      </c>
    </row>
    <row r="144" spans="1:5" ht="16.2" thickBot="1" x14ac:dyDescent="0.4">
      <c r="A144" s="16" t="s">
        <v>515</v>
      </c>
      <c r="B144" t="s">
        <v>530</v>
      </c>
      <c r="C144" s="1">
        <f>C143/H79</f>
        <v>14.219958181493018</v>
      </c>
      <c r="D144" t="s">
        <v>509</v>
      </c>
      <c r="E144" s="6" t="s">
        <v>531</v>
      </c>
    </row>
    <row r="145" spans="1:10" ht="16.2" thickBot="1" x14ac:dyDescent="0.4">
      <c r="A145" s="25"/>
      <c r="B145" s="27" t="s">
        <v>397</v>
      </c>
      <c r="C145" s="28">
        <f>C142/C144</f>
        <v>0.23881926772610512</v>
      </c>
      <c r="D145" s="8"/>
      <c r="E145" s="9" t="s">
        <v>406</v>
      </c>
    </row>
    <row r="146" spans="1:10" ht="15" thickBot="1" x14ac:dyDescent="0.35"/>
    <row r="147" spans="1:10" ht="15" thickBot="1" x14ac:dyDescent="0.35">
      <c r="A147" s="435" t="s">
        <v>532</v>
      </c>
      <c r="B147" s="436"/>
      <c r="C147" s="436"/>
      <c r="D147" s="436"/>
      <c r="E147" s="437"/>
    </row>
    <row r="148" spans="1:10" ht="15" thickBot="1" x14ac:dyDescent="0.35">
      <c r="A148" s="50"/>
      <c r="B148" s="3"/>
      <c r="C148" s="3"/>
      <c r="D148" s="3"/>
      <c r="E148" s="4"/>
      <c r="G148" s="429" t="s">
        <v>340</v>
      </c>
      <c r="H148" s="430"/>
      <c r="I148" s="430"/>
      <c r="J148" s="431"/>
    </row>
    <row r="149" spans="1:10" ht="16.2" x14ac:dyDescent="0.35">
      <c r="A149" s="16" t="s">
        <v>533</v>
      </c>
      <c r="B149" t="s">
        <v>534</v>
      </c>
      <c r="C149" s="1">
        <f>H51*H52</f>
        <v>0.88107904000000026</v>
      </c>
      <c r="D149" s="21" t="s">
        <v>352</v>
      </c>
      <c r="E149" s="6" t="s">
        <v>535</v>
      </c>
      <c r="G149" s="41" t="s">
        <v>343</v>
      </c>
      <c r="H149" s="52" t="str">
        <f>H48</f>
        <v>W6X20</v>
      </c>
      <c r="I149" s="3"/>
      <c r="J149" s="4"/>
    </row>
    <row r="150" spans="1:10" ht="16.2" x14ac:dyDescent="0.35">
      <c r="A150" s="16" t="s">
        <v>536</v>
      </c>
      <c r="B150" t="s">
        <v>537</v>
      </c>
      <c r="C150" s="1">
        <f>2*H53*H54</f>
        <v>2.9500380800000001</v>
      </c>
      <c r="D150" s="21" t="s">
        <v>352</v>
      </c>
      <c r="E150" s="6" t="s">
        <v>538</v>
      </c>
      <c r="G150" s="16" t="s">
        <v>347</v>
      </c>
      <c r="H150" s="29">
        <f t="shared" ref="H150:H156" si="5">H49</f>
        <v>57.599999999999994</v>
      </c>
      <c r="I150" t="s">
        <v>348</v>
      </c>
      <c r="J150" s="6"/>
    </row>
    <row r="151" spans="1:10" ht="16.8" x14ac:dyDescent="0.35">
      <c r="A151" s="16" t="s">
        <v>539</v>
      </c>
      <c r="B151" s="23" t="s">
        <v>540</v>
      </c>
      <c r="C151" s="1">
        <v>1</v>
      </c>
      <c r="E151" s="6" t="s">
        <v>541</v>
      </c>
      <c r="G151" s="16" t="s">
        <v>351</v>
      </c>
      <c r="H151" s="29">
        <f t="shared" si="5"/>
        <v>3.9122237998991132</v>
      </c>
      <c r="I151" t="s">
        <v>352</v>
      </c>
      <c r="J151" s="6" t="s">
        <v>18</v>
      </c>
    </row>
    <row r="152" spans="1:10" ht="15.6" x14ac:dyDescent="0.35">
      <c r="A152" s="16" t="s">
        <v>542</v>
      </c>
      <c r="B152" s="23" t="s">
        <v>543</v>
      </c>
      <c r="C152" s="1">
        <v>1</v>
      </c>
      <c r="E152" s="6" t="s">
        <v>544</v>
      </c>
      <c r="G152" s="16" t="s">
        <v>353</v>
      </c>
      <c r="H152" s="29">
        <f t="shared" si="5"/>
        <v>6.0848000000000004</v>
      </c>
      <c r="I152" t="s">
        <v>354</v>
      </c>
      <c r="J152" s="6" t="s">
        <v>19</v>
      </c>
    </row>
    <row r="153" spans="1:10" ht="15.6" x14ac:dyDescent="0.35">
      <c r="A153" s="5"/>
      <c r="E153" s="6"/>
      <c r="G153" s="16" t="s">
        <v>357</v>
      </c>
      <c r="H153" s="29">
        <f t="shared" si="5"/>
        <v>0.14480000000000004</v>
      </c>
      <c r="I153" t="s">
        <v>354</v>
      </c>
      <c r="J153" s="6" t="s">
        <v>21</v>
      </c>
    </row>
    <row r="154" spans="1:10" ht="15.6" x14ac:dyDescent="0.35">
      <c r="A154" s="24" t="s">
        <v>545</v>
      </c>
      <c r="E154" s="6"/>
      <c r="G154" s="16" t="s">
        <v>360</v>
      </c>
      <c r="H154" s="29">
        <f t="shared" si="5"/>
        <v>5.9047999999999998</v>
      </c>
      <c r="I154" t="s">
        <v>354</v>
      </c>
      <c r="J154" s="6" t="s">
        <v>22</v>
      </c>
    </row>
    <row r="155" spans="1:10" ht="15.6" x14ac:dyDescent="0.35">
      <c r="A155" s="16" t="s">
        <v>380</v>
      </c>
      <c r="B155" s="15" t="s">
        <v>377</v>
      </c>
      <c r="C155" s="29">
        <f>C22</f>
        <v>0</v>
      </c>
      <c r="D155" t="s">
        <v>459</v>
      </c>
      <c r="E155" s="6"/>
      <c r="G155" s="16" t="s">
        <v>361</v>
      </c>
      <c r="H155" s="29">
        <f t="shared" si="5"/>
        <v>0.24980000000000002</v>
      </c>
      <c r="I155" t="s">
        <v>354</v>
      </c>
      <c r="J155" s="6" t="s">
        <v>23</v>
      </c>
    </row>
    <row r="156" spans="1:10" ht="15.6" x14ac:dyDescent="0.35">
      <c r="A156" s="16" t="s">
        <v>546</v>
      </c>
      <c r="B156" s="1" t="s">
        <v>547</v>
      </c>
      <c r="C156" s="1">
        <f>0.6*H73*C149*C151</f>
        <v>34.362082560000012</v>
      </c>
      <c r="D156" t="s">
        <v>459</v>
      </c>
      <c r="E156" s="6" t="s">
        <v>548</v>
      </c>
      <c r="G156" s="16" t="s">
        <v>443</v>
      </c>
      <c r="H156" s="29">
        <f t="shared" si="5"/>
        <v>0</v>
      </c>
      <c r="I156" t="s">
        <v>354</v>
      </c>
      <c r="J156" s="6" t="s">
        <v>444</v>
      </c>
    </row>
    <row r="157" spans="1:10" ht="16.2" thickBot="1" x14ac:dyDescent="0.4">
      <c r="A157" s="16" t="s">
        <v>549</v>
      </c>
      <c r="B157" t="s">
        <v>550</v>
      </c>
      <c r="C157" s="1">
        <f>C156/H77</f>
        <v>22.908055040000008</v>
      </c>
      <c r="D157" t="s">
        <v>459</v>
      </c>
      <c r="E157" s="6" t="s">
        <v>551</v>
      </c>
      <c r="G157" s="16"/>
      <c r="H157" s="1"/>
      <c r="J157" s="6"/>
    </row>
    <row r="158" spans="1:10" ht="17.399999999999999" thickBot="1" x14ac:dyDescent="0.4">
      <c r="A158" s="26"/>
      <c r="B158" s="27" t="s">
        <v>397</v>
      </c>
      <c r="C158" s="28">
        <f>C155/C157</f>
        <v>0</v>
      </c>
      <c r="E158" s="6" t="s">
        <v>412</v>
      </c>
      <c r="G158" s="16" t="s">
        <v>366</v>
      </c>
      <c r="H158" s="29">
        <f>H57</f>
        <v>28.327834323618902</v>
      </c>
      <c r="I158" t="s">
        <v>367</v>
      </c>
      <c r="J158" s="6" t="s">
        <v>24</v>
      </c>
    </row>
    <row r="159" spans="1:10" ht="16.8" x14ac:dyDescent="0.35">
      <c r="A159" s="5"/>
      <c r="E159" s="6"/>
      <c r="G159" s="16" t="s">
        <v>369</v>
      </c>
      <c r="H159" s="29">
        <f t="shared" ref="H159:H165" si="6">H58</f>
        <v>9.3110157519126009</v>
      </c>
      <c r="I159" t="s">
        <v>370</v>
      </c>
      <c r="J159" s="6" t="s">
        <v>25</v>
      </c>
    </row>
    <row r="160" spans="1:10" ht="15.6" x14ac:dyDescent="0.35">
      <c r="A160" s="24" t="s">
        <v>552</v>
      </c>
      <c r="E160" s="6"/>
      <c r="G160" s="16" t="s">
        <v>373</v>
      </c>
      <c r="H160" s="29">
        <f t="shared" si="6"/>
        <v>2.6908831642960962</v>
      </c>
      <c r="I160" t="s">
        <v>354</v>
      </c>
      <c r="J160" s="6" t="s">
        <v>26</v>
      </c>
    </row>
    <row r="161" spans="1:10" ht="16.8" x14ac:dyDescent="0.35">
      <c r="A161" s="16" t="s">
        <v>380</v>
      </c>
      <c r="B161" s="15" t="s">
        <v>378</v>
      </c>
      <c r="C161" s="29">
        <f>D22</f>
        <v>0</v>
      </c>
      <c r="D161" t="s">
        <v>459</v>
      </c>
      <c r="E161" s="6"/>
      <c r="G161" s="16" t="s">
        <v>376</v>
      </c>
      <c r="H161" s="29">
        <f t="shared" si="6"/>
        <v>10.150004827091585</v>
      </c>
      <c r="I161" t="s">
        <v>370</v>
      </c>
      <c r="J161" s="6" t="s">
        <v>27</v>
      </c>
    </row>
    <row r="162" spans="1:10" ht="16.8" x14ac:dyDescent="0.35">
      <c r="A162" s="16" t="s">
        <v>546</v>
      </c>
      <c r="B162" s="1" t="s">
        <v>553</v>
      </c>
      <c r="C162" s="1">
        <f>0.6*H73*C150*C152</f>
        <v>115.05148512000001</v>
      </c>
      <c r="D162" t="s">
        <v>459</v>
      </c>
      <c r="E162" s="6" t="s">
        <v>548</v>
      </c>
      <c r="G162" s="16" t="s">
        <v>379</v>
      </c>
      <c r="H162" s="29">
        <f t="shared" si="6"/>
        <v>8.5771830435046326</v>
      </c>
      <c r="I162" t="s">
        <v>367</v>
      </c>
      <c r="J162" s="6" t="s">
        <v>28</v>
      </c>
    </row>
    <row r="163" spans="1:10" ht="17.399999999999999" thickBot="1" x14ac:dyDescent="0.4">
      <c r="A163" s="16" t="s">
        <v>549</v>
      </c>
      <c r="B163" t="s">
        <v>554</v>
      </c>
      <c r="C163" s="1">
        <f>C162/H78</f>
        <v>68.893104862275464</v>
      </c>
      <c r="D163" t="s">
        <v>459</v>
      </c>
      <c r="E163" s="6" t="s">
        <v>555</v>
      </c>
      <c r="G163" s="16" t="s">
        <v>382</v>
      </c>
      <c r="H163" s="29">
        <f t="shared" si="6"/>
        <v>2.9051561588892536</v>
      </c>
      <c r="I163" t="s">
        <v>370</v>
      </c>
      <c r="J163" s="6" t="s">
        <v>29</v>
      </c>
    </row>
    <row r="164" spans="1:10" ht="16.2" thickBot="1" x14ac:dyDescent="0.4">
      <c r="A164" s="25"/>
      <c r="B164" s="27" t="s">
        <v>397</v>
      </c>
      <c r="C164" s="28">
        <f>C161/C163</f>
        <v>0</v>
      </c>
      <c r="D164" s="8"/>
      <c r="E164" s="9" t="s">
        <v>416</v>
      </c>
      <c r="G164" s="16" t="s">
        <v>384</v>
      </c>
      <c r="H164" s="29">
        <f t="shared" si="6"/>
        <v>1.4806775572148851</v>
      </c>
      <c r="I164" t="s">
        <v>354</v>
      </c>
      <c r="J164" s="6" t="s">
        <v>30</v>
      </c>
    </row>
    <row r="165" spans="1:10" ht="16.8" x14ac:dyDescent="0.35">
      <c r="G165" s="16" t="s">
        <v>386</v>
      </c>
      <c r="H165" s="29">
        <f t="shared" si="6"/>
        <v>4.3841224916480011</v>
      </c>
      <c r="I165" t="s">
        <v>370</v>
      </c>
      <c r="J165" s="6" t="s">
        <v>31</v>
      </c>
    </row>
    <row r="166" spans="1:10" ht="16.2" thickBot="1" x14ac:dyDescent="0.4">
      <c r="G166" s="16" t="s">
        <v>388</v>
      </c>
      <c r="H166" s="1">
        <f>H65</f>
        <v>1.6393785215672594</v>
      </c>
      <c r="I166" t="s">
        <v>354</v>
      </c>
      <c r="J166" s="6"/>
    </row>
    <row r="167" spans="1:10" ht="16.2" thickBot="1" x14ac:dyDescent="0.4">
      <c r="A167" s="435" t="s">
        <v>556</v>
      </c>
      <c r="B167" s="436"/>
      <c r="C167" s="436"/>
      <c r="D167" s="436"/>
      <c r="E167" s="437"/>
      <c r="G167" s="16" t="s">
        <v>390</v>
      </c>
      <c r="H167" s="1">
        <f>H66</f>
        <v>5.8350000000000009</v>
      </c>
      <c r="I167" t="s">
        <v>354</v>
      </c>
      <c r="J167" s="6" t="s">
        <v>391</v>
      </c>
    </row>
    <row r="168" spans="1:10" ht="16.2" x14ac:dyDescent="0.3">
      <c r="A168" s="50"/>
      <c r="B168" s="3"/>
      <c r="C168" s="3"/>
      <c r="D168" s="3"/>
      <c r="E168" s="4"/>
      <c r="G168" s="16" t="s">
        <v>392</v>
      </c>
      <c r="H168" s="29">
        <f>H67</f>
        <v>6.7013104794440545E-2</v>
      </c>
      <c r="I168" t="s">
        <v>367</v>
      </c>
      <c r="J168" s="6" t="s">
        <v>32</v>
      </c>
    </row>
    <row r="169" spans="1:10" ht="16.8" x14ac:dyDescent="0.35">
      <c r="A169" s="16" t="s">
        <v>557</v>
      </c>
      <c r="B169" t="s">
        <v>558</v>
      </c>
      <c r="C169" s="1">
        <f>H50</f>
        <v>3.9122237998991132</v>
      </c>
      <c r="D169" s="21" t="s">
        <v>352</v>
      </c>
      <c r="E169" s="6" t="s">
        <v>535</v>
      </c>
      <c r="G169" s="16" t="s">
        <v>394</v>
      </c>
      <c r="H169" s="29">
        <f>H68</f>
        <v>73.007320237096778</v>
      </c>
      <c r="I169" t="s">
        <v>395</v>
      </c>
      <c r="J169" s="6" t="s">
        <v>33</v>
      </c>
    </row>
    <row r="170" spans="1:10" ht="16.8" thickBot="1" x14ac:dyDescent="0.4">
      <c r="A170" s="16" t="s">
        <v>559</v>
      </c>
      <c r="B170" t="s">
        <v>560</v>
      </c>
      <c r="C170" s="1">
        <f>H50</f>
        <v>3.9122237998991132</v>
      </c>
      <c r="D170" s="21" t="s">
        <v>352</v>
      </c>
      <c r="E170" s="6" t="s">
        <v>561</v>
      </c>
      <c r="G170" s="5"/>
      <c r="J170" s="6"/>
    </row>
    <row r="171" spans="1:10" ht="15" thickBot="1" x14ac:dyDescent="0.35">
      <c r="A171" s="5"/>
      <c r="E171" s="6"/>
      <c r="G171" s="429" t="s">
        <v>399</v>
      </c>
      <c r="H171" s="430"/>
      <c r="I171" s="430"/>
      <c r="J171" s="431"/>
    </row>
    <row r="172" spans="1:10" x14ac:dyDescent="0.3">
      <c r="A172" s="24" t="s">
        <v>562</v>
      </c>
      <c r="E172" s="6"/>
      <c r="G172" s="16" t="s">
        <v>400</v>
      </c>
      <c r="H172" s="51" t="str">
        <f>H71</f>
        <v>ASTM A992</v>
      </c>
      <c r="J172" s="6"/>
    </row>
    <row r="173" spans="1:10" ht="15.6" x14ac:dyDescent="0.3">
      <c r="A173" s="16" t="s">
        <v>389</v>
      </c>
      <c r="B173" s="15" t="s">
        <v>387</v>
      </c>
      <c r="C173" s="29">
        <f>C26</f>
        <v>0</v>
      </c>
      <c r="D173" t="s">
        <v>459</v>
      </c>
      <c r="E173" s="6"/>
      <c r="G173" s="16" t="s">
        <v>43</v>
      </c>
      <c r="H173" s="51">
        <f>H72</f>
        <v>29000</v>
      </c>
      <c r="I173" t="s">
        <v>44</v>
      </c>
      <c r="J173" s="6" t="s">
        <v>404</v>
      </c>
    </row>
    <row r="174" spans="1:10" ht="15.6" x14ac:dyDescent="0.35">
      <c r="A174" s="16" t="s">
        <v>563</v>
      </c>
      <c r="B174" s="1" t="s">
        <v>564</v>
      </c>
      <c r="C174" s="1">
        <f>C169*H73</f>
        <v>254.29454699344237</v>
      </c>
      <c r="D174" t="s">
        <v>459</v>
      </c>
      <c r="E174" s="6" t="s">
        <v>565</v>
      </c>
      <c r="G174" s="16" t="s">
        <v>409</v>
      </c>
      <c r="H174" s="51">
        <f>H73</f>
        <v>65</v>
      </c>
      <c r="I174" t="s">
        <v>44</v>
      </c>
      <c r="J174" s="6" t="s">
        <v>410</v>
      </c>
    </row>
    <row r="175" spans="1:10" ht="15.6" x14ac:dyDescent="0.35">
      <c r="A175" s="16" t="s">
        <v>566</v>
      </c>
      <c r="B175" s="1" t="s">
        <v>567</v>
      </c>
      <c r="C175" s="1">
        <f>C174/H80</f>
        <v>152.2721838284086</v>
      </c>
      <c r="E175" s="6" t="s">
        <v>568</v>
      </c>
      <c r="G175" s="16" t="s">
        <v>413</v>
      </c>
      <c r="H175" s="51">
        <f>H74</f>
        <v>80</v>
      </c>
      <c r="I175" t="s">
        <v>44</v>
      </c>
      <c r="J175" s="6" t="s">
        <v>414</v>
      </c>
    </row>
    <row r="176" spans="1:10" ht="16.2" thickBot="1" x14ac:dyDescent="0.4">
      <c r="A176" s="16" t="s">
        <v>569</v>
      </c>
      <c r="B176" s="1" t="s">
        <v>570</v>
      </c>
      <c r="C176" s="1">
        <f>C170*H74</f>
        <v>312.97790399192905</v>
      </c>
      <c r="E176" s="6" t="s">
        <v>571</v>
      </c>
      <c r="G176" s="5"/>
      <c r="J176" s="6"/>
    </row>
    <row r="177" spans="1:10" ht="16.2" thickBot="1" x14ac:dyDescent="0.4">
      <c r="A177" s="16" t="s">
        <v>572</v>
      </c>
      <c r="B177" s="1" t="s">
        <v>573</v>
      </c>
      <c r="C177" s="1">
        <f>C176/H81</f>
        <v>156.48895199596453</v>
      </c>
      <c r="E177" s="6" t="s">
        <v>574</v>
      </c>
      <c r="G177" s="429" t="s">
        <v>417</v>
      </c>
      <c r="H177" s="430"/>
      <c r="I177" s="430"/>
      <c r="J177" s="431"/>
    </row>
    <row r="178" spans="1:10" ht="16.2" thickBot="1" x14ac:dyDescent="0.4">
      <c r="A178" s="16" t="s">
        <v>575</v>
      </c>
      <c r="B178" t="s">
        <v>576</v>
      </c>
      <c r="C178" s="1">
        <f>MIN(C175,C177)</f>
        <v>152.2721838284086</v>
      </c>
      <c r="D178" t="s">
        <v>459</v>
      </c>
      <c r="E178" s="6" t="s">
        <v>577</v>
      </c>
      <c r="G178" s="17" t="s">
        <v>420</v>
      </c>
      <c r="H178" s="55">
        <f t="shared" ref="H178:H183" si="7">H77</f>
        <v>1.5</v>
      </c>
      <c r="J178" s="6" t="s">
        <v>421</v>
      </c>
    </row>
    <row r="179" spans="1:10" ht="16.2" thickBot="1" x14ac:dyDescent="0.4">
      <c r="A179" s="25"/>
      <c r="B179" s="27" t="s">
        <v>397</v>
      </c>
      <c r="C179" s="28">
        <f>C173/C178</f>
        <v>0</v>
      </c>
      <c r="D179" s="8"/>
      <c r="E179" s="9" t="s">
        <v>419</v>
      </c>
      <c r="G179" s="17" t="s">
        <v>422</v>
      </c>
      <c r="H179" s="55">
        <f t="shared" si="7"/>
        <v>1.67</v>
      </c>
      <c r="J179" s="6" t="s">
        <v>423</v>
      </c>
    </row>
    <row r="180" spans="1:10" ht="16.2" thickBot="1" x14ac:dyDescent="0.35">
      <c r="G180" s="17" t="s">
        <v>424</v>
      </c>
      <c r="H180" s="55">
        <f t="shared" si="7"/>
        <v>1.67</v>
      </c>
      <c r="J180" s="6" t="s">
        <v>425</v>
      </c>
    </row>
    <row r="181" spans="1:10" ht="16.2" thickBot="1" x14ac:dyDescent="0.35">
      <c r="A181" s="11" t="s">
        <v>578</v>
      </c>
      <c r="B181" s="27" t="s">
        <v>397</v>
      </c>
      <c r="C181" s="28">
        <f>IF(C87&lt;0.2,C87/2+C127+C145,C87+(8/9)*(C127+C145))</f>
        <v>0.57698490628463373</v>
      </c>
      <c r="E181" t="s">
        <v>579</v>
      </c>
      <c r="G181" s="17" t="s">
        <v>426</v>
      </c>
      <c r="H181" s="55">
        <f t="shared" si="7"/>
        <v>1.67</v>
      </c>
      <c r="J181" s="6" t="s">
        <v>427</v>
      </c>
    </row>
    <row r="182" spans="1:10" ht="16.2" thickBot="1" x14ac:dyDescent="0.35">
      <c r="A182" s="11" t="s">
        <v>580</v>
      </c>
      <c r="B182" s="27" t="s">
        <v>397</v>
      </c>
      <c r="C182" s="28">
        <f>IF(C179&lt;0.2,C179/2+C127+C145,C179+(8/9)*(C127+C145))</f>
        <v>0.57190026127243332</v>
      </c>
      <c r="E182" t="s">
        <v>581</v>
      </c>
      <c r="G182" s="17" t="s">
        <v>430</v>
      </c>
      <c r="H182" s="55">
        <f t="shared" si="7"/>
        <v>2</v>
      </c>
      <c r="J182" s="6" t="s">
        <v>431</v>
      </c>
    </row>
    <row r="183" spans="1:10" ht="16.2" thickBot="1" x14ac:dyDescent="0.35">
      <c r="G183" s="18" t="s">
        <v>434</v>
      </c>
      <c r="H183" s="57">
        <f t="shared" si="7"/>
        <v>1.67</v>
      </c>
      <c r="I183" s="8"/>
      <c r="J183" s="9" t="s">
        <v>435</v>
      </c>
    </row>
  </sheetData>
  <mergeCells count="21">
    <mergeCell ref="A89:E89"/>
    <mergeCell ref="A3:E3"/>
    <mergeCell ref="A5:E5"/>
    <mergeCell ref="G7:J7"/>
    <mergeCell ref="A18:E18"/>
    <mergeCell ref="A28:E28"/>
    <mergeCell ref="G30:J30"/>
    <mergeCell ref="G37:J37"/>
    <mergeCell ref="A46:E46"/>
    <mergeCell ref="G47:J47"/>
    <mergeCell ref="G70:J70"/>
    <mergeCell ref="G76:J76"/>
    <mergeCell ref="A167:E167"/>
    <mergeCell ref="G171:J171"/>
    <mergeCell ref="G177:J177"/>
    <mergeCell ref="G90:J90"/>
    <mergeCell ref="G113:J113"/>
    <mergeCell ref="G119:J119"/>
    <mergeCell ref="A129:E129"/>
    <mergeCell ref="A147:E147"/>
    <mergeCell ref="G148:J148"/>
  </mergeCells>
  <dataValidations count="1">
    <dataValidation type="list" allowBlank="1" showInputMessage="1" showErrorMessage="1" sqref="C7" xr:uid="{372E7211-FD6C-4F30-A674-CD7B953274F2}">
      <formula1>"Above Grade, Below Grade"</formula1>
    </dataValidation>
  </dataValidations>
  <pageMargins left="0.7" right="0.7" top="0.75" bottom="0.75" header="0.3" footer="0.3"/>
  <pageSetup scale="47" fitToHeight="0" orientation="landscape" r:id="rId1"/>
  <headerFooter>
    <oddHeader>&amp;L&amp;G&amp;C&amp;"-,Bold"Project:&amp;"-,Regular" Paloma Solar
&amp;"-,Bold"Description:&amp;"-,Regular" Pile Foundation Design Check&amp;RComputed By: SHR 
Date:&amp;"-,Bold" &amp;"-,Regular"&amp;D
Checked By:&amp;"-,Bold" &amp;"-,Regular"MJF
Date: &amp;D</oddHeader>
    <oddFooter>&amp;CPage &amp;P of &amp;N</oddFooter>
  </headerFooter>
  <rowBreaks count="3" manualBreakCount="3">
    <brk id="44" max="10" man="1"/>
    <brk id="87" max="10" man="1"/>
    <brk id="145" max="10" man="1"/>
  </rowBreaks>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2A2B6-6EEF-4116-968C-D8E115D2EF07}">
  <sheetPr codeName="SoilAxial">
    <tabColor rgb="FFAAB3A4"/>
    <pageSetUpPr fitToPage="1"/>
  </sheetPr>
  <dimension ref="A1:G84"/>
  <sheetViews>
    <sheetView tabSelected="1" view="pageLayout" topLeftCell="A27" zoomScaleNormal="100" workbookViewId="0">
      <selection activeCell="B52" sqref="B52"/>
    </sheetView>
  </sheetViews>
  <sheetFormatPr defaultRowHeight="14.4" x14ac:dyDescent="0.3"/>
  <cols>
    <col min="1" max="1" width="42.44140625" bestFit="1" customWidth="1"/>
    <col min="2" max="2" width="27.5546875" bestFit="1" customWidth="1"/>
    <col min="3" max="3" width="32.6640625" customWidth="1"/>
    <col min="4" max="4" width="35" bestFit="1" customWidth="1"/>
    <col min="5" max="5" width="34.33203125" bestFit="1" customWidth="1"/>
    <col min="6" max="6" width="14.5546875" customWidth="1"/>
    <col min="7" max="7" width="15.5546875" bestFit="1" customWidth="1"/>
    <col min="8" max="8" width="11.44140625" bestFit="1" customWidth="1"/>
    <col min="9" max="9" width="12" bestFit="1" customWidth="1"/>
    <col min="10" max="10" width="40.44140625" bestFit="1" customWidth="1"/>
  </cols>
  <sheetData>
    <row r="1" spans="1:7" ht="15" thickBot="1" x14ac:dyDescent="0.35">
      <c r="A1" s="11"/>
      <c r="F1" s="12"/>
      <c r="G1" s="35"/>
    </row>
    <row r="2" spans="1:7" ht="15" thickBot="1" x14ac:dyDescent="0.35">
      <c r="A2" s="39" t="s">
        <v>582</v>
      </c>
      <c r="B2" s="40">
        <f>Corr.Soil</f>
        <v>57.599999999999994</v>
      </c>
      <c r="C2" s="34" t="s">
        <v>583</v>
      </c>
      <c r="F2" s="12"/>
      <c r="G2" s="35"/>
    </row>
    <row r="3" spans="1:7" ht="15" thickBot="1" x14ac:dyDescent="0.35">
      <c r="A3" s="11"/>
      <c r="F3" s="12"/>
      <c r="G3" s="35"/>
    </row>
    <row r="4" spans="1:7" ht="15" thickBot="1" x14ac:dyDescent="0.35">
      <c r="A4" s="429" t="s">
        <v>340</v>
      </c>
      <c r="B4" s="430"/>
      <c r="C4" s="430"/>
      <c r="D4" s="431"/>
      <c r="E4" s="35"/>
      <c r="F4" s="12"/>
      <c r="G4" s="35"/>
    </row>
    <row r="5" spans="1:7" x14ac:dyDescent="0.3">
      <c r="A5" s="41"/>
      <c r="B5" s="3" t="s">
        <v>584</v>
      </c>
      <c r="D5" s="4"/>
      <c r="E5" s="35"/>
      <c r="F5" s="12"/>
      <c r="G5" s="35"/>
    </row>
    <row r="6" spans="1:7" x14ac:dyDescent="0.3">
      <c r="A6" s="16"/>
      <c r="B6" s="62" t="str">
        <f>Dashboard!F4</f>
        <v>W6X20</v>
      </c>
      <c r="D6" s="6" t="s">
        <v>585</v>
      </c>
      <c r="E6" s="35"/>
      <c r="F6" s="12"/>
      <c r="G6" s="35"/>
    </row>
    <row r="7" spans="1:7" ht="16.2" x14ac:dyDescent="0.3">
      <c r="A7" s="16" t="s">
        <v>351</v>
      </c>
      <c r="B7" s="29">
        <f>CorrMem.Area.BG</f>
        <v>3.9122237998991132</v>
      </c>
      <c r="C7" t="s">
        <v>352</v>
      </c>
      <c r="D7" s="6" t="s">
        <v>18</v>
      </c>
      <c r="E7" s="35"/>
      <c r="F7" s="12"/>
      <c r="G7" s="35"/>
    </row>
    <row r="8" spans="1:7" x14ac:dyDescent="0.3">
      <c r="A8" s="16" t="s">
        <v>353</v>
      </c>
      <c r="B8" s="29">
        <f>CorrMem.Depth.BG</f>
        <v>6.0848000000000004</v>
      </c>
      <c r="C8" t="s">
        <v>354</v>
      </c>
      <c r="D8" s="6" t="s">
        <v>19</v>
      </c>
      <c r="E8" s="35"/>
      <c r="F8" s="12"/>
      <c r="G8" s="35"/>
    </row>
    <row r="9" spans="1:7" ht="15.6" x14ac:dyDescent="0.35">
      <c r="A9" s="16" t="s">
        <v>360</v>
      </c>
      <c r="B9" s="29">
        <f>CorrMem.Width.BG</f>
        <v>5.9047999999999998</v>
      </c>
      <c r="C9" t="s">
        <v>354</v>
      </c>
      <c r="D9" s="6" t="s">
        <v>22</v>
      </c>
      <c r="E9" s="35"/>
      <c r="F9" s="12"/>
      <c r="G9" s="35"/>
    </row>
    <row r="10" spans="1:7" x14ac:dyDescent="0.3">
      <c r="A10" s="16"/>
      <c r="D10" s="6"/>
      <c r="E10" s="35"/>
      <c r="F10" s="12"/>
      <c r="G10" s="35"/>
    </row>
    <row r="11" spans="1:7" x14ac:dyDescent="0.3">
      <c r="A11" s="16" t="s">
        <v>43</v>
      </c>
      <c r="B11" s="30">
        <v>29000</v>
      </c>
      <c r="C11" t="s">
        <v>44</v>
      </c>
      <c r="D11" s="6" t="s">
        <v>404</v>
      </c>
      <c r="E11" s="35"/>
      <c r="F11" s="12"/>
      <c r="G11" s="35"/>
    </row>
    <row r="12" spans="1:7" x14ac:dyDescent="0.3">
      <c r="A12" s="16" t="s">
        <v>586</v>
      </c>
      <c r="B12" s="30">
        <f>AG!H73</f>
        <v>65</v>
      </c>
      <c r="C12" t="s">
        <v>44</v>
      </c>
      <c r="D12" s="6" t="s">
        <v>410</v>
      </c>
      <c r="E12" s="35"/>
      <c r="F12" s="12"/>
      <c r="G12" s="35"/>
    </row>
    <row r="13" spans="1:7" x14ac:dyDescent="0.3">
      <c r="A13" s="16" t="s">
        <v>587</v>
      </c>
      <c r="B13" s="30">
        <f>AG!H74</f>
        <v>80</v>
      </c>
      <c r="C13" t="s">
        <v>44</v>
      </c>
      <c r="D13" s="6" t="s">
        <v>414</v>
      </c>
      <c r="E13" s="35"/>
    </row>
    <row r="14" spans="1:7" ht="15" thickBot="1" x14ac:dyDescent="0.35">
      <c r="A14" s="5"/>
      <c r="D14" s="6"/>
      <c r="E14" s="35"/>
    </row>
    <row r="15" spans="1:7" ht="15" thickBot="1" x14ac:dyDescent="0.35">
      <c r="A15" s="435" t="s">
        <v>436</v>
      </c>
      <c r="B15" s="436"/>
      <c r="C15" s="436"/>
      <c r="D15" s="437"/>
      <c r="E15" s="35"/>
    </row>
    <row r="16" spans="1:7" x14ac:dyDescent="0.3">
      <c r="A16" s="5"/>
      <c r="D16" s="6"/>
      <c r="E16" s="35"/>
    </row>
    <row r="17" spans="1:5" x14ac:dyDescent="0.3">
      <c r="A17" s="16" t="s">
        <v>588</v>
      </c>
      <c r="B17">
        <f>Pile.Embed</f>
        <v>12</v>
      </c>
      <c r="C17" t="s">
        <v>58</v>
      </c>
      <c r="D17" s="6"/>
      <c r="E17" s="35"/>
    </row>
    <row r="18" spans="1:5" ht="16.2" x14ac:dyDescent="0.3">
      <c r="A18" s="16" t="s">
        <v>589</v>
      </c>
      <c r="B18" s="10">
        <f>B8*B9/144</f>
        <v>0.24951060444444448</v>
      </c>
      <c r="C18" t="s">
        <v>590</v>
      </c>
      <c r="D18" s="6"/>
      <c r="E18" s="35"/>
    </row>
    <row r="19" spans="1:5" x14ac:dyDescent="0.3">
      <c r="A19" s="16" t="s">
        <v>591</v>
      </c>
      <c r="B19" s="10">
        <f>(2*B8+2*B9)/12</f>
        <v>1.9982666666666666</v>
      </c>
      <c r="C19" t="s">
        <v>58</v>
      </c>
      <c r="D19" s="6"/>
      <c r="E19" s="35"/>
    </row>
    <row r="20" spans="1:5" x14ac:dyDescent="0.3">
      <c r="A20" s="5"/>
      <c r="D20" s="6"/>
      <c r="E20" s="35"/>
    </row>
    <row r="21" spans="1:5" x14ac:dyDescent="0.3">
      <c r="A21" s="45" t="s">
        <v>592</v>
      </c>
      <c r="D21" s="6"/>
      <c r="E21" s="35"/>
    </row>
    <row r="22" spans="1:5" ht="28.8" x14ac:dyDescent="0.3">
      <c r="A22" s="66" t="s">
        <v>36</v>
      </c>
      <c r="B22" s="64" t="s">
        <v>37</v>
      </c>
      <c r="C22" s="64" t="s">
        <v>38</v>
      </c>
      <c r="D22" s="67" t="s">
        <v>39</v>
      </c>
      <c r="E22" s="35"/>
    </row>
    <row r="23" spans="1:5" x14ac:dyDescent="0.3">
      <c r="A23" s="68">
        <v>1</v>
      </c>
      <c r="B23" s="65" cm="1">
        <f t="array" ref="B23:D32">Dashboard!D55:F64</f>
        <v>4</v>
      </c>
      <c r="C23" s="46">
        <v>0</v>
      </c>
      <c r="D23" s="47">
        <v>0</v>
      </c>
      <c r="E23" s="35"/>
    </row>
    <row r="24" spans="1:5" x14ac:dyDescent="0.3">
      <c r="A24" s="68">
        <v>2</v>
      </c>
      <c r="B24" s="65">
        <v>5</v>
      </c>
      <c r="C24" s="46">
        <v>3500</v>
      </c>
      <c r="D24" s="47">
        <v>650</v>
      </c>
      <c r="E24" s="35"/>
    </row>
    <row r="25" spans="1:5" x14ac:dyDescent="0.3">
      <c r="A25" s="68">
        <v>3</v>
      </c>
      <c r="B25" s="65">
        <v>25</v>
      </c>
      <c r="C25" s="46">
        <v>6500</v>
      </c>
      <c r="D25" s="47">
        <v>750</v>
      </c>
      <c r="E25" s="35"/>
    </row>
    <row r="26" spans="1:5" x14ac:dyDescent="0.3">
      <c r="A26" s="68">
        <v>4</v>
      </c>
      <c r="B26" s="65">
        <v>0</v>
      </c>
      <c r="C26" s="46">
        <v>0</v>
      </c>
      <c r="D26" s="47">
        <v>0</v>
      </c>
      <c r="E26" s="35"/>
    </row>
    <row r="27" spans="1:5" x14ac:dyDescent="0.3">
      <c r="A27" s="68">
        <v>5</v>
      </c>
      <c r="B27" s="65">
        <v>0</v>
      </c>
      <c r="C27" s="46">
        <v>0</v>
      </c>
      <c r="D27" s="47">
        <v>0</v>
      </c>
      <c r="E27" s="35"/>
    </row>
    <row r="28" spans="1:5" hidden="1" x14ac:dyDescent="0.3">
      <c r="A28" s="68">
        <v>6</v>
      </c>
      <c r="B28" s="65">
        <v>0</v>
      </c>
      <c r="C28" s="46">
        <v>0</v>
      </c>
      <c r="D28" s="47">
        <v>0</v>
      </c>
      <c r="E28" s="35"/>
    </row>
    <row r="29" spans="1:5" x14ac:dyDescent="0.3">
      <c r="A29" s="68">
        <v>7</v>
      </c>
      <c r="B29" s="65">
        <v>0</v>
      </c>
      <c r="C29" s="46">
        <v>0</v>
      </c>
      <c r="D29" s="47">
        <v>0</v>
      </c>
      <c r="E29" s="35"/>
    </row>
    <row r="30" spans="1:5" x14ac:dyDescent="0.3">
      <c r="A30" s="68">
        <v>8</v>
      </c>
      <c r="B30" s="65">
        <v>0</v>
      </c>
      <c r="C30" s="46">
        <v>0</v>
      </c>
      <c r="D30" s="47">
        <v>0</v>
      </c>
      <c r="E30" s="35"/>
    </row>
    <row r="31" spans="1:5" x14ac:dyDescent="0.3">
      <c r="A31" s="68">
        <v>9</v>
      </c>
      <c r="B31" s="65">
        <v>0</v>
      </c>
      <c r="C31" s="46">
        <v>0</v>
      </c>
      <c r="D31" s="47">
        <v>0</v>
      </c>
      <c r="E31" s="35"/>
    </row>
    <row r="32" spans="1:5" x14ac:dyDescent="0.3">
      <c r="A32" s="68">
        <v>10</v>
      </c>
      <c r="B32" s="65">
        <v>0</v>
      </c>
      <c r="C32" s="46">
        <v>0</v>
      </c>
      <c r="D32" s="47">
        <v>0</v>
      </c>
      <c r="E32" s="35"/>
    </row>
    <row r="33" spans="1:7" x14ac:dyDescent="0.3">
      <c r="A33" s="36"/>
      <c r="B33" s="38"/>
      <c r="C33" s="37"/>
      <c r="D33" s="43"/>
      <c r="E33" s="35"/>
    </row>
    <row r="34" spans="1:7" ht="20.7" customHeight="1" x14ac:dyDescent="0.3">
      <c r="A34" s="45" t="s">
        <v>593</v>
      </c>
      <c r="B34" s="38"/>
      <c r="C34" s="37"/>
      <c r="D34" s="43"/>
      <c r="E34" s="35"/>
    </row>
    <row r="35" spans="1:7" x14ac:dyDescent="0.3">
      <c r="A35" s="66" t="s">
        <v>36</v>
      </c>
      <c r="B35" s="64" t="s">
        <v>37</v>
      </c>
      <c r="C35" s="64" t="s">
        <v>594</v>
      </c>
      <c r="D35" s="42"/>
      <c r="E35" s="35"/>
    </row>
    <row r="36" spans="1:7" x14ac:dyDescent="0.3">
      <c r="A36" s="68">
        <v>1</v>
      </c>
      <c r="B36" s="65">
        <f>B23</f>
        <v>4</v>
      </c>
      <c r="C36" s="46">
        <f>Dashboard!G55</f>
        <v>0</v>
      </c>
      <c r="D36" s="43"/>
      <c r="E36" s="35"/>
    </row>
    <row r="37" spans="1:7" x14ac:dyDescent="0.3">
      <c r="A37" s="68">
        <v>2</v>
      </c>
      <c r="B37" s="65">
        <f t="shared" ref="B37:B45" si="0">B24</f>
        <v>5</v>
      </c>
      <c r="C37" s="46">
        <f>Dashboard!G56</f>
        <v>650</v>
      </c>
      <c r="D37" s="43"/>
      <c r="E37" s="35"/>
      <c r="G37" s="35"/>
    </row>
    <row r="38" spans="1:7" x14ac:dyDescent="0.3">
      <c r="A38" s="68">
        <v>3</v>
      </c>
      <c r="B38" s="65">
        <f t="shared" si="0"/>
        <v>25</v>
      </c>
      <c r="C38" s="46">
        <f>Dashboard!G57</f>
        <v>750</v>
      </c>
      <c r="D38" s="43"/>
      <c r="E38" s="35"/>
    </row>
    <row r="39" spans="1:7" x14ac:dyDescent="0.3">
      <c r="A39" s="68">
        <v>4</v>
      </c>
      <c r="B39" s="65">
        <f t="shared" si="0"/>
        <v>0</v>
      </c>
      <c r="C39" s="46">
        <f>Dashboard!G58</f>
        <v>0</v>
      </c>
      <c r="D39" s="43"/>
      <c r="E39" s="35"/>
    </row>
    <row r="40" spans="1:7" x14ac:dyDescent="0.3">
      <c r="A40" s="68">
        <v>5</v>
      </c>
      <c r="B40" s="65">
        <f t="shared" si="0"/>
        <v>0</v>
      </c>
      <c r="C40" s="46">
        <f>Dashboard!G59</f>
        <v>0</v>
      </c>
      <c r="D40" s="43"/>
      <c r="E40" s="35"/>
    </row>
    <row r="41" spans="1:7" hidden="1" x14ac:dyDescent="0.3">
      <c r="A41" s="68">
        <v>6</v>
      </c>
      <c r="B41" s="65">
        <f t="shared" si="0"/>
        <v>0</v>
      </c>
      <c r="C41" s="46">
        <f>Dashboard!G60</f>
        <v>0</v>
      </c>
      <c r="D41" s="43"/>
      <c r="E41" s="35"/>
    </row>
    <row r="42" spans="1:7" x14ac:dyDescent="0.3">
      <c r="A42" s="68">
        <v>7</v>
      </c>
      <c r="B42" s="65">
        <f t="shared" si="0"/>
        <v>0</v>
      </c>
      <c r="C42" s="46">
        <f>Dashboard!G61</f>
        <v>0</v>
      </c>
      <c r="D42" s="43"/>
      <c r="E42" s="35"/>
    </row>
    <row r="43" spans="1:7" x14ac:dyDescent="0.3">
      <c r="A43" s="68">
        <v>8</v>
      </c>
      <c r="B43" s="65">
        <f t="shared" si="0"/>
        <v>0</v>
      </c>
      <c r="C43" s="46">
        <f>Dashboard!G62</f>
        <v>0</v>
      </c>
      <c r="D43" s="43"/>
      <c r="E43" s="35"/>
    </row>
    <row r="44" spans="1:7" x14ac:dyDescent="0.3">
      <c r="A44" s="68">
        <v>9</v>
      </c>
      <c r="B44" s="65">
        <f t="shared" si="0"/>
        <v>0</v>
      </c>
      <c r="C44" s="46">
        <f>Dashboard!G63</f>
        <v>0</v>
      </c>
      <c r="D44" s="43"/>
      <c r="E44" s="35"/>
    </row>
    <row r="45" spans="1:7" x14ac:dyDescent="0.3">
      <c r="A45" s="68">
        <v>10</v>
      </c>
      <c r="B45" s="65">
        <f t="shared" si="0"/>
        <v>0</v>
      </c>
      <c r="C45" s="46">
        <f>Dashboard!G64</f>
        <v>0</v>
      </c>
      <c r="D45" s="43"/>
      <c r="E45" s="35"/>
    </row>
    <row r="46" spans="1:7" x14ac:dyDescent="0.3">
      <c r="A46" s="36"/>
      <c r="B46" s="38"/>
      <c r="C46" s="37"/>
      <c r="D46" s="43"/>
      <c r="E46" s="35"/>
    </row>
    <row r="47" spans="1:7" x14ac:dyDescent="0.3">
      <c r="A47" s="7" t="s">
        <v>595</v>
      </c>
      <c r="D47" s="6"/>
      <c r="E47" s="35"/>
    </row>
    <row r="48" spans="1:7" ht="15.6" x14ac:dyDescent="0.35">
      <c r="A48" s="16" t="s">
        <v>596</v>
      </c>
      <c r="B48">
        <f>Dashboard!K21/1000</f>
        <v>1.5485</v>
      </c>
      <c r="C48" t="s">
        <v>459</v>
      </c>
      <c r="D48" s="6"/>
      <c r="E48" s="35"/>
    </row>
    <row r="49" spans="1:5" ht="15.6" x14ac:dyDescent="0.35">
      <c r="A49" s="16" t="s">
        <v>597</v>
      </c>
      <c r="B49" s="10">
        <f>B19*Dashboard!D46*Dashboard!D47*Dashboard!D49/12000</f>
        <v>0</v>
      </c>
      <c r="C49" t="s">
        <v>459</v>
      </c>
      <c r="D49" s="63" t="str">
        <f>"["&amp;Dashboard!C45&amp;" "&amp;Dashboard!D45&amp;"]"</f>
        <v>[ Expansive Soils]</v>
      </c>
      <c r="E49" s="35"/>
    </row>
    <row r="50" spans="1:5" x14ac:dyDescent="0.3">
      <c r="A50" s="16"/>
      <c r="B50" s="1"/>
      <c r="D50" s="6"/>
      <c r="E50" s="35"/>
    </row>
    <row r="51" spans="1:5" x14ac:dyDescent="0.3">
      <c r="A51" s="24" t="s">
        <v>598</v>
      </c>
      <c r="B51" s="1"/>
      <c r="D51" s="6"/>
      <c r="E51" s="35"/>
    </row>
    <row r="52" spans="1:5" x14ac:dyDescent="0.3">
      <c r="A52" s="16" t="s">
        <v>599</v>
      </c>
      <c r="B52" s="1" cm="1">
        <f t="array" ref="B52">B18*INDEX(C23:C32, MATCH(TRUE, Pile.Embed &lt; B23:B32, 0))/1000</f>
        <v>1.6218189288888891</v>
      </c>
      <c r="C52" t="s">
        <v>459</v>
      </c>
      <c r="D52" s="6"/>
      <c r="E52" s="35"/>
    </row>
    <row r="53" spans="1:5" x14ac:dyDescent="0.3">
      <c r="A53" s="19" t="s">
        <v>600</v>
      </c>
      <c r="D53" s="6"/>
      <c r="E53" s="35"/>
    </row>
    <row r="54" spans="1:5" x14ac:dyDescent="0.3">
      <c r="A54" s="16" t="s">
        <v>601</v>
      </c>
      <c r="B54" s="1">
        <f>MAX(IF($B$17&gt;B23,$B$19*D23*B23/1000,$B$19*D23*($B$17)/1000),0)</f>
        <v>0</v>
      </c>
      <c r="C54" t="s">
        <v>459</v>
      </c>
      <c r="D54" s="6"/>
      <c r="E54" s="35"/>
    </row>
    <row r="55" spans="1:5" x14ac:dyDescent="0.3">
      <c r="A55" s="16" t="s">
        <v>602</v>
      </c>
      <c r="B55" s="1">
        <f>MAX(IF($B$17&gt;B24,$B$19*D24*(B24-B23)/1000,$B$19*D24*($B$17-B23)/1000),0)</f>
        <v>1.2988733333333333</v>
      </c>
      <c r="C55" t="s">
        <v>459</v>
      </c>
      <c r="D55" s="6"/>
      <c r="E55" s="35"/>
    </row>
    <row r="56" spans="1:5" x14ac:dyDescent="0.3">
      <c r="A56" s="16" t="s">
        <v>603</v>
      </c>
      <c r="B56" s="1">
        <f>MAX(IF($B$17&gt;B25,$B$19*D25*(B25-B24)/1000,$B$19*D25*($B$17-B24)/1000),0)</f>
        <v>10.4909</v>
      </c>
      <c r="C56" t="s">
        <v>459</v>
      </c>
      <c r="D56" s="6"/>
      <c r="E56" s="35"/>
    </row>
    <row r="57" spans="1:5" x14ac:dyDescent="0.3">
      <c r="A57" s="16" t="s">
        <v>604</v>
      </c>
      <c r="B57" s="1">
        <f>MAX(IF($B$17&gt;B26,$B$19*D26*(B26-B25)/1000,$B$19*D26*($B$17-B25)/1000),0)</f>
        <v>0</v>
      </c>
      <c r="C57" t="s">
        <v>459</v>
      </c>
      <c r="D57" s="6"/>
      <c r="E57" s="35"/>
    </row>
    <row r="58" spans="1:5" x14ac:dyDescent="0.3">
      <c r="A58" s="16" t="s">
        <v>613</v>
      </c>
      <c r="B58" s="1">
        <f t="shared" ref="B58:B63" si="1">MAX(IF($B$17&gt;B27,$B$19*D27*(B27-B26)/1000,$B$19*D27*($B$17-B26)/1000),0)</f>
        <v>0</v>
      </c>
      <c r="C58" t="s">
        <v>459</v>
      </c>
      <c r="D58" s="6"/>
      <c r="E58" s="35"/>
    </row>
    <row r="59" spans="1:5" x14ac:dyDescent="0.3">
      <c r="A59" s="16" t="s">
        <v>617</v>
      </c>
      <c r="B59" s="1">
        <f t="shared" si="1"/>
        <v>0</v>
      </c>
      <c r="C59" t="s">
        <v>459</v>
      </c>
      <c r="D59" s="6"/>
      <c r="E59" s="35"/>
    </row>
    <row r="60" spans="1:5" x14ac:dyDescent="0.3">
      <c r="A60" s="16" t="s">
        <v>992</v>
      </c>
      <c r="B60" s="1">
        <f t="shared" si="1"/>
        <v>0</v>
      </c>
      <c r="C60" t="s">
        <v>459</v>
      </c>
      <c r="D60" s="6"/>
      <c r="E60" s="35"/>
    </row>
    <row r="61" spans="1:5" x14ac:dyDescent="0.3">
      <c r="A61" s="16" t="s">
        <v>993</v>
      </c>
      <c r="B61" s="1">
        <f t="shared" si="1"/>
        <v>0</v>
      </c>
      <c r="C61" t="s">
        <v>459</v>
      </c>
      <c r="D61" s="6"/>
      <c r="E61" s="35"/>
    </row>
    <row r="62" spans="1:5" x14ac:dyDescent="0.3">
      <c r="A62" s="16" t="s">
        <v>994</v>
      </c>
      <c r="B62" s="1">
        <f t="shared" si="1"/>
        <v>0</v>
      </c>
      <c r="C62" t="s">
        <v>459</v>
      </c>
      <c r="D62" s="6"/>
      <c r="E62" s="35"/>
    </row>
    <row r="63" spans="1:5" x14ac:dyDescent="0.3">
      <c r="A63" s="16" t="s">
        <v>995</v>
      </c>
      <c r="B63" s="1">
        <f t="shared" si="1"/>
        <v>0</v>
      </c>
      <c r="C63" t="s">
        <v>459</v>
      </c>
      <c r="D63" s="6"/>
      <c r="E63" s="35"/>
    </row>
    <row r="64" spans="1:5" x14ac:dyDescent="0.3">
      <c r="A64" s="16" t="s">
        <v>617</v>
      </c>
      <c r="B64" s="1">
        <f>MAX(IF($B$17&gt;B28,$B$19*D28*(B28-B27)/1000,$B$19*D28*($B$17-B27)/1000),0)</f>
        <v>0</v>
      </c>
      <c r="C64" t="s">
        <v>459</v>
      </c>
      <c r="D64" s="6"/>
      <c r="E64" s="35"/>
    </row>
    <row r="65" spans="1:5" x14ac:dyDescent="0.3">
      <c r="A65" s="16" t="s">
        <v>605</v>
      </c>
      <c r="B65" s="1">
        <f>SUM(B54:B63)</f>
        <v>11.789773333333333</v>
      </c>
      <c r="C65" t="s">
        <v>459</v>
      </c>
      <c r="D65" s="6"/>
      <c r="E65" s="35"/>
    </row>
    <row r="66" spans="1:5" ht="16.2" thickBot="1" x14ac:dyDescent="0.4">
      <c r="A66" s="16" t="s">
        <v>606</v>
      </c>
      <c r="B66" s="1">
        <f>B52+B65</f>
        <v>13.411592262222221</v>
      </c>
      <c r="C66" t="s">
        <v>459</v>
      </c>
      <c r="D66" s="6" t="s">
        <v>607</v>
      </c>
      <c r="E66" s="35"/>
    </row>
    <row r="67" spans="1:5" ht="16.2" thickBot="1" x14ac:dyDescent="0.4">
      <c r="A67" s="16" t="s">
        <v>397</v>
      </c>
      <c r="B67" s="48">
        <f>B48/B66</f>
        <v>0.11545981787425907</v>
      </c>
      <c r="D67" s="6" t="s">
        <v>608</v>
      </c>
      <c r="E67" s="35"/>
    </row>
    <row r="68" spans="1:5" x14ac:dyDescent="0.3">
      <c r="A68" s="16"/>
      <c r="D68" s="6"/>
      <c r="E68" s="35"/>
    </row>
    <row r="69" spans="1:5" x14ac:dyDescent="0.3">
      <c r="A69" s="7" t="s">
        <v>609</v>
      </c>
      <c r="D69" s="6"/>
      <c r="E69" s="35"/>
    </row>
    <row r="70" spans="1:5" x14ac:dyDescent="0.3">
      <c r="A70" s="19" t="s">
        <v>610</v>
      </c>
      <c r="D70" s="6"/>
      <c r="E70" s="35"/>
    </row>
    <row r="71" spans="1:5" x14ac:dyDescent="0.3">
      <c r="A71" s="16" t="s">
        <v>601</v>
      </c>
      <c r="B71" s="1" cm="1">
        <f t="array" ref="B71:B80">B54:B63</f>
        <v>0</v>
      </c>
      <c r="C71" t="s">
        <v>459</v>
      </c>
      <c r="D71" s="6"/>
      <c r="E71" s="35"/>
    </row>
    <row r="72" spans="1:5" x14ac:dyDescent="0.3">
      <c r="A72" s="16" t="s">
        <v>602</v>
      </c>
      <c r="B72" s="1">
        <v>1.2988733333333333</v>
      </c>
      <c r="C72" t="s">
        <v>459</v>
      </c>
      <c r="D72" s="6"/>
      <c r="E72" s="35"/>
    </row>
    <row r="73" spans="1:5" x14ac:dyDescent="0.3">
      <c r="A73" s="16" t="s">
        <v>603</v>
      </c>
      <c r="B73" s="1">
        <v>10.4909</v>
      </c>
      <c r="C73" t="s">
        <v>459</v>
      </c>
      <c r="D73" s="6"/>
      <c r="E73" s="35"/>
    </row>
    <row r="74" spans="1:5" x14ac:dyDescent="0.3">
      <c r="A74" s="16" t="s">
        <v>604</v>
      </c>
      <c r="B74" s="1">
        <v>0</v>
      </c>
      <c r="C74" t="s">
        <v>459</v>
      </c>
      <c r="D74" s="6"/>
      <c r="E74" s="35"/>
    </row>
    <row r="75" spans="1:5" x14ac:dyDescent="0.3">
      <c r="A75" s="16" t="s">
        <v>613</v>
      </c>
      <c r="B75" s="1">
        <v>0</v>
      </c>
      <c r="C75" t="s">
        <v>459</v>
      </c>
      <c r="D75" s="6"/>
      <c r="E75" s="35"/>
    </row>
    <row r="76" spans="1:5" x14ac:dyDescent="0.3">
      <c r="A76" s="16" t="s">
        <v>617</v>
      </c>
      <c r="B76" s="1">
        <v>0</v>
      </c>
      <c r="C76" t="s">
        <v>459</v>
      </c>
      <c r="D76" s="6"/>
      <c r="E76" s="35"/>
    </row>
    <row r="77" spans="1:5" x14ac:dyDescent="0.3">
      <c r="A77" s="16" t="s">
        <v>992</v>
      </c>
      <c r="B77" s="1">
        <v>0</v>
      </c>
      <c r="C77" t="s">
        <v>459</v>
      </c>
      <c r="D77" s="6"/>
      <c r="E77" s="35"/>
    </row>
    <row r="78" spans="1:5" x14ac:dyDescent="0.3">
      <c r="A78" s="16" t="s">
        <v>993</v>
      </c>
      <c r="B78" s="1">
        <v>0</v>
      </c>
      <c r="C78" t="s">
        <v>459</v>
      </c>
      <c r="D78" s="6"/>
      <c r="E78" s="35"/>
    </row>
    <row r="79" spans="1:5" x14ac:dyDescent="0.3">
      <c r="A79" s="16" t="s">
        <v>994</v>
      </c>
      <c r="B79" s="1">
        <v>0</v>
      </c>
      <c r="C79" t="s">
        <v>459</v>
      </c>
      <c r="D79" s="6"/>
      <c r="E79" s="35"/>
    </row>
    <row r="80" spans="1:5" x14ac:dyDescent="0.3">
      <c r="A80" s="16" t="s">
        <v>995</v>
      </c>
      <c r="B80" s="1">
        <v>0</v>
      </c>
      <c r="C80" t="s">
        <v>459</v>
      </c>
      <c r="D80" s="6"/>
      <c r="E80" s="35"/>
    </row>
    <row r="81" spans="1:5" x14ac:dyDescent="0.3">
      <c r="A81" s="16" t="s">
        <v>617</v>
      </c>
      <c r="B81" s="1">
        <v>0</v>
      </c>
      <c r="C81" t="s">
        <v>459</v>
      </c>
      <c r="D81" s="6"/>
      <c r="E81" s="35"/>
    </row>
    <row r="82" spans="1:5" ht="16.2" thickBot="1" x14ac:dyDescent="0.4">
      <c r="A82" s="16" t="s">
        <v>611</v>
      </c>
      <c r="B82" s="1">
        <f>SUM(B71:B80)</f>
        <v>11.789773333333333</v>
      </c>
      <c r="C82" t="s">
        <v>459</v>
      </c>
      <c r="D82" s="6" t="s">
        <v>996</v>
      </c>
      <c r="E82" s="35"/>
    </row>
    <row r="83" spans="1:5" ht="16.2" thickBot="1" x14ac:dyDescent="0.4">
      <c r="A83" s="44" t="s">
        <v>397</v>
      </c>
      <c r="B83" s="48">
        <f>B49/B82</f>
        <v>0</v>
      </c>
      <c r="C83" s="8"/>
      <c r="D83" s="9" t="s">
        <v>612</v>
      </c>
      <c r="E83" s="35"/>
    </row>
    <row r="84" spans="1:5" x14ac:dyDescent="0.3">
      <c r="E84" s="35"/>
    </row>
  </sheetData>
  <mergeCells count="2">
    <mergeCell ref="A4:D4"/>
    <mergeCell ref="A15:D15"/>
  </mergeCells>
  <phoneticPr fontId="13" type="noConversion"/>
  <pageMargins left="0.7" right="0.7" top="0.75" bottom="0.75" header="0.3" footer="0.3"/>
  <pageSetup scale="56" fitToWidth="0" orientation="portrait" r:id="rId1"/>
  <headerFooter>
    <oddHeader>&amp;L&amp;G&amp;C&amp;"-,Bold"Project: &amp;"-,Regular"Paloma Solar
&amp;"-,Bold"Description: &amp;"-,Regular"Pile Uplift Design Check&amp;R&amp;8Computed By: SHR 
Date: &amp;D
Checked By: MJF
Date: &amp;D</oddHeader>
    <oddFooter>&amp;CPage &amp;P of &amp;N</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E8EF2-18F7-42A5-900A-0C42C42AD7C7}">
  <sheetPr codeName="FixityResults">
    <tabColor rgb="FF687E67"/>
  </sheetPr>
  <dimension ref="A1:L107"/>
  <sheetViews>
    <sheetView workbookViewId="0">
      <selection activeCell="N16" sqref="N16"/>
    </sheetView>
  </sheetViews>
  <sheetFormatPr defaultColWidth="9.109375" defaultRowHeight="13.8" x14ac:dyDescent="0.3"/>
  <cols>
    <col min="1" max="1" width="52.33203125" style="354" customWidth="1"/>
    <col min="2" max="6" width="11.5546875" style="150" customWidth="1"/>
    <col min="7" max="8" width="7.109375" style="292" customWidth="1"/>
    <col min="9" max="10" width="12.5546875" style="293" customWidth="1"/>
    <col min="11" max="11" width="22.109375" style="293" customWidth="1"/>
    <col min="12" max="12" width="15.33203125" style="159" hidden="1" customWidth="1"/>
    <col min="13" max="16384" width="9.109375" style="159"/>
  </cols>
  <sheetData>
    <row r="1" spans="1:12" x14ac:dyDescent="0.3">
      <c r="A1" s="353" t="s">
        <v>1000</v>
      </c>
      <c r="B1" s="156"/>
      <c r="C1" s="156"/>
      <c r="D1" s="156"/>
      <c r="E1" s="156"/>
      <c r="F1" s="156"/>
      <c r="G1" s="277"/>
      <c r="H1" s="277"/>
      <c r="I1" s="278"/>
      <c r="J1" s="278"/>
      <c r="K1" s="278"/>
    </row>
    <row r="2" spans="1:12" x14ac:dyDescent="0.3">
      <c r="A2" s="354" t="s">
        <v>986</v>
      </c>
      <c r="B2" s="156"/>
      <c r="C2" s="156"/>
      <c r="D2" s="156"/>
      <c r="E2" s="156"/>
      <c r="F2" s="156"/>
      <c r="G2" s="277"/>
      <c r="H2" s="277"/>
      <c r="I2" s="278"/>
      <c r="J2" s="278"/>
      <c r="K2" s="278"/>
    </row>
    <row r="3" spans="1:12" x14ac:dyDescent="0.3">
      <c r="A3" s="353"/>
      <c r="B3" s="156"/>
      <c r="C3" s="156"/>
      <c r="D3" s="156"/>
      <c r="E3" s="156"/>
      <c r="F3" s="156"/>
      <c r="G3" s="277"/>
      <c r="H3" s="277"/>
      <c r="I3" s="278"/>
      <c r="J3" s="278"/>
      <c r="K3" s="278"/>
    </row>
    <row r="4" spans="1:12" ht="15" customHeight="1" x14ac:dyDescent="0.3">
      <c r="A4" s="438" t="s">
        <v>1002</v>
      </c>
      <c r="B4" s="396" t="s">
        <v>662</v>
      </c>
      <c r="C4" s="396" t="s">
        <v>663</v>
      </c>
      <c r="D4" s="396" t="s">
        <v>664</v>
      </c>
      <c r="E4" s="396" t="s">
        <v>981</v>
      </c>
      <c r="F4" s="396"/>
      <c r="G4" s="441" t="s">
        <v>669</v>
      </c>
      <c r="H4" s="441"/>
      <c r="I4" s="396" t="s">
        <v>1004</v>
      </c>
      <c r="J4" s="396"/>
      <c r="K4" s="396"/>
    </row>
    <row r="5" spans="1:12" x14ac:dyDescent="0.3">
      <c r="A5" s="438"/>
      <c r="B5" s="396"/>
      <c r="C5" s="396"/>
      <c r="D5" s="396"/>
      <c r="E5" s="396"/>
      <c r="F5" s="396"/>
      <c r="G5" s="441"/>
      <c r="H5" s="441"/>
      <c r="I5" s="396"/>
      <c r="J5" s="396"/>
      <c r="K5" s="396"/>
      <c r="L5" s="439" t="s">
        <v>1034</v>
      </c>
    </row>
    <row r="6" spans="1:12" x14ac:dyDescent="0.3">
      <c r="A6" s="438"/>
      <c r="B6" s="396"/>
      <c r="C6" s="396"/>
      <c r="D6" s="396"/>
      <c r="E6" s="85" t="s">
        <v>671</v>
      </c>
      <c r="F6" s="85" t="s">
        <v>1003</v>
      </c>
      <c r="G6" s="279" t="s">
        <v>648</v>
      </c>
      <c r="H6" s="279" t="s">
        <v>649</v>
      </c>
      <c r="I6" s="280" t="s">
        <v>665</v>
      </c>
      <c r="J6" s="280" t="s">
        <v>666</v>
      </c>
      <c r="K6" s="280" t="s">
        <v>1001</v>
      </c>
      <c r="L6" s="440"/>
    </row>
    <row r="7" spans="1:12" x14ac:dyDescent="0.3">
      <c r="A7" s="355" t="s">
        <v>1215</v>
      </c>
      <c r="B7" s="275">
        <v>25</v>
      </c>
      <c r="C7" s="274">
        <v>5.5</v>
      </c>
      <c r="D7" s="274" t="s">
        <v>977</v>
      </c>
      <c r="E7" s="274" t="s">
        <v>967</v>
      </c>
      <c r="F7" s="276" t="s">
        <v>970</v>
      </c>
      <c r="G7" s="281">
        <v>1.6935762212306429</v>
      </c>
      <c r="H7" s="281">
        <v>2.7874220345030944</v>
      </c>
      <c r="I7" s="282">
        <v>0.82626557377049181</v>
      </c>
      <c r="J7" s="282">
        <v>4.3842999999999996</v>
      </c>
      <c r="K7" s="283">
        <v>4.1866751918158567</v>
      </c>
      <c r="L7" s="284" t="b">
        <f t="shared" ref="L7:L38" si="0">IF(AND(A7&lt;&gt;"",G7&lt;=1,H7&lt;=1,I7&lt;=Settings.GradeDefl,J7&lt;=Settings.HeadDefl),TRUE,FALSE)</f>
        <v>0</v>
      </c>
    </row>
    <row r="8" spans="1:12" x14ac:dyDescent="0.3">
      <c r="A8" s="355" t="s">
        <v>1216</v>
      </c>
      <c r="B8" s="275">
        <v>25</v>
      </c>
      <c r="C8" s="274">
        <v>5.5</v>
      </c>
      <c r="D8" s="274" t="s">
        <v>978</v>
      </c>
      <c r="E8" s="274" t="s">
        <v>967</v>
      </c>
      <c r="F8" s="276" t="s">
        <v>970</v>
      </c>
      <c r="G8" s="281">
        <v>1.0158383020507917</v>
      </c>
      <c r="H8" s="281">
        <v>1.4720940688915309</v>
      </c>
      <c r="I8" s="282">
        <v>0.4779934426229509</v>
      </c>
      <c r="J8" s="282">
        <v>2.5224000000000002</v>
      </c>
      <c r="K8" s="283">
        <v>4.3605401662049861</v>
      </c>
      <c r="L8" s="284" t="b">
        <f t="shared" si="0"/>
        <v>0</v>
      </c>
    </row>
    <row r="9" spans="1:12" x14ac:dyDescent="0.3">
      <c r="A9" s="355" t="s">
        <v>1217</v>
      </c>
      <c r="B9" s="275">
        <v>25</v>
      </c>
      <c r="C9" s="274">
        <v>5.5</v>
      </c>
      <c r="D9" s="274" t="s">
        <v>680</v>
      </c>
      <c r="E9" s="274" t="s">
        <v>967</v>
      </c>
      <c r="F9" s="276" t="s">
        <v>970</v>
      </c>
      <c r="G9" s="281">
        <v>1.2996597575973878</v>
      </c>
      <c r="H9" s="281">
        <v>1.993607634515959</v>
      </c>
      <c r="I9" s="282">
        <v>0.6257983606557378</v>
      </c>
      <c r="J9" s="282">
        <v>3.3245</v>
      </c>
      <c r="K9" s="283">
        <v>4.2548934550989337</v>
      </c>
      <c r="L9" s="284" t="b">
        <f t="shared" si="0"/>
        <v>0</v>
      </c>
    </row>
    <row r="10" spans="1:12" x14ac:dyDescent="0.3">
      <c r="A10" s="355" t="s">
        <v>1218</v>
      </c>
      <c r="B10" s="275">
        <v>25</v>
      </c>
      <c r="C10" s="274">
        <v>5.5</v>
      </c>
      <c r="D10" s="274" t="s">
        <v>681</v>
      </c>
      <c r="E10" s="274" t="s">
        <v>967</v>
      </c>
      <c r="F10" s="276" t="s">
        <v>970</v>
      </c>
      <c r="G10" s="281">
        <v>1.165472497296113</v>
      </c>
      <c r="H10" s="281">
        <v>1.7687836992189045</v>
      </c>
      <c r="I10" s="282">
        <v>0.55741147540983615</v>
      </c>
      <c r="J10" s="282">
        <v>2.9567999999999999</v>
      </c>
      <c r="K10" s="283">
        <v>4.2835455010224948</v>
      </c>
      <c r="L10" s="284" t="b">
        <f t="shared" si="0"/>
        <v>0</v>
      </c>
    </row>
    <row r="11" spans="1:12" x14ac:dyDescent="0.3">
      <c r="A11" s="355" t="s">
        <v>1219</v>
      </c>
      <c r="B11" s="275">
        <v>25</v>
      </c>
      <c r="C11" s="274">
        <v>5.5</v>
      </c>
      <c r="D11" s="274" t="s">
        <v>682</v>
      </c>
      <c r="E11" s="274" t="s">
        <v>967</v>
      </c>
      <c r="F11" s="276" t="s">
        <v>970</v>
      </c>
      <c r="G11" s="281">
        <v>0.68975751809873653</v>
      </c>
      <c r="H11" s="281">
        <v>0.9296897814401095</v>
      </c>
      <c r="I11" s="282">
        <v>0.28341967213114755</v>
      </c>
      <c r="J11" s="282">
        <v>1.5459000000000001</v>
      </c>
      <c r="K11" s="283">
        <v>4.2595175958877025</v>
      </c>
      <c r="L11" s="284" t="b">
        <f t="shared" si="0"/>
        <v>1</v>
      </c>
    </row>
    <row r="12" spans="1:12" x14ac:dyDescent="0.3">
      <c r="A12" s="355" t="s">
        <v>1220</v>
      </c>
      <c r="B12" s="275">
        <v>25</v>
      </c>
      <c r="C12" s="274">
        <v>5.5</v>
      </c>
      <c r="D12" s="274" t="s">
        <v>683</v>
      </c>
      <c r="E12" s="274" t="s">
        <v>967</v>
      </c>
      <c r="F12" s="276" t="s">
        <v>970</v>
      </c>
      <c r="G12" s="281">
        <v>0.86997960486981729</v>
      </c>
      <c r="H12" s="281">
        <v>1.1949385581389003</v>
      </c>
      <c r="I12" s="282">
        <v>0.4020491803278689</v>
      </c>
      <c r="J12" s="282">
        <v>2.1042000000000001</v>
      </c>
      <c r="K12" s="283">
        <v>4.458064024390243</v>
      </c>
      <c r="L12" s="284" t="b">
        <f t="shared" si="0"/>
        <v>0</v>
      </c>
    </row>
    <row r="13" spans="1:12" x14ac:dyDescent="0.3">
      <c r="A13" s="355" t="s">
        <v>1221</v>
      </c>
      <c r="B13" s="275">
        <v>25</v>
      </c>
      <c r="C13" s="274">
        <v>5.5</v>
      </c>
      <c r="D13" s="274" t="s">
        <v>684</v>
      </c>
      <c r="E13" s="274" t="s">
        <v>967</v>
      </c>
      <c r="F13" s="276" t="s">
        <v>970</v>
      </c>
      <c r="G13" s="281">
        <v>0.46880687334551757</v>
      </c>
      <c r="H13" s="281">
        <v>0.61766943628229254</v>
      </c>
      <c r="I13" s="282">
        <v>0.19893770491803281</v>
      </c>
      <c r="J13" s="282">
        <v>1.0595000000000001</v>
      </c>
      <c r="K13" s="283">
        <v>4.4786650185414079</v>
      </c>
      <c r="L13" s="284" t="b">
        <f t="shared" si="0"/>
        <v>1</v>
      </c>
    </row>
    <row r="14" spans="1:12" x14ac:dyDescent="0.3">
      <c r="A14" s="355" t="s">
        <v>1222</v>
      </c>
      <c r="B14" s="275">
        <v>25</v>
      </c>
      <c r="C14" s="274">
        <v>5.5</v>
      </c>
      <c r="D14" s="274" t="s">
        <v>685</v>
      </c>
      <c r="E14" s="274" t="s">
        <v>967</v>
      </c>
      <c r="F14" s="276" t="s">
        <v>970</v>
      </c>
      <c r="G14" s="281">
        <v>0.61584202375996444</v>
      </c>
      <c r="H14" s="281">
        <v>0.78361715648384278</v>
      </c>
      <c r="I14" s="282">
        <v>0.27518360655737711</v>
      </c>
      <c r="J14" s="282">
        <v>1.4098999999999999</v>
      </c>
      <c r="K14" s="283">
        <v>4.5996793002915446</v>
      </c>
      <c r="L14" s="284" t="b">
        <f t="shared" si="0"/>
        <v>1</v>
      </c>
    </row>
    <row r="15" spans="1:12" x14ac:dyDescent="0.3">
      <c r="A15" s="355" t="s">
        <v>1223</v>
      </c>
      <c r="B15" s="275">
        <v>25</v>
      </c>
      <c r="C15" s="274">
        <v>5.5</v>
      </c>
      <c r="D15" s="274" t="s">
        <v>686</v>
      </c>
      <c r="E15" s="274" t="s">
        <v>967</v>
      </c>
      <c r="F15" s="276" t="s">
        <v>970</v>
      </c>
      <c r="G15" s="281">
        <v>0.36892027498721108</v>
      </c>
      <c r="H15" s="281">
        <v>0.46558632487392998</v>
      </c>
      <c r="I15" s="282">
        <v>0.15559016393442626</v>
      </c>
      <c r="J15" s="282">
        <v>0.81510000000000005</v>
      </c>
      <c r="K15" s="283">
        <v>4.564959483954274</v>
      </c>
      <c r="L15" s="284" t="b">
        <f t="shared" si="0"/>
        <v>1</v>
      </c>
    </row>
    <row r="16" spans="1:12" x14ac:dyDescent="0.3">
      <c r="A16" s="355" t="s">
        <v>1224</v>
      </c>
      <c r="B16" s="275">
        <v>25</v>
      </c>
      <c r="C16" s="274">
        <v>5.5</v>
      </c>
      <c r="D16" s="274" t="s">
        <v>687</v>
      </c>
      <c r="E16" s="274" t="s">
        <v>967</v>
      </c>
      <c r="F16" s="276" t="s">
        <v>970</v>
      </c>
      <c r="G16" s="281">
        <v>0.84138509772330938</v>
      </c>
      <c r="H16" s="281">
        <v>1.2633170994978133</v>
      </c>
      <c r="I16" s="282">
        <v>0.33753606557377053</v>
      </c>
      <c r="J16" s="282">
        <v>1.6758</v>
      </c>
      <c r="K16" s="283">
        <v>4.5537187604131955</v>
      </c>
      <c r="L16" s="284" t="b">
        <f t="shared" si="0"/>
        <v>0</v>
      </c>
    </row>
    <row r="17" spans="1:12" x14ac:dyDescent="0.3">
      <c r="A17" s="355" t="s">
        <v>1225</v>
      </c>
      <c r="B17" s="275">
        <v>25</v>
      </c>
      <c r="C17" s="274">
        <v>5.5</v>
      </c>
      <c r="D17" s="274" t="s">
        <v>688</v>
      </c>
      <c r="E17" s="274" t="s">
        <v>967</v>
      </c>
      <c r="F17" s="276" t="s">
        <v>970</v>
      </c>
      <c r="G17" s="281">
        <v>0.30140156874573348</v>
      </c>
      <c r="H17" s="281">
        <v>0.39186561588271518</v>
      </c>
      <c r="I17" s="282">
        <v>0.10835081967213116</v>
      </c>
      <c r="J17" s="282">
        <v>0.54849999999999999</v>
      </c>
      <c r="K17" s="283">
        <v>4.6832566248256615</v>
      </c>
      <c r="L17" s="284" t="b">
        <f t="shared" si="0"/>
        <v>1</v>
      </c>
    </row>
    <row r="18" spans="1:12" x14ac:dyDescent="0.3">
      <c r="A18" s="355" t="s">
        <v>1226</v>
      </c>
      <c r="B18" s="275">
        <v>25</v>
      </c>
      <c r="C18" s="274">
        <v>5.5</v>
      </c>
      <c r="D18" s="274" t="s">
        <v>689</v>
      </c>
      <c r="E18" s="274" t="s">
        <v>967</v>
      </c>
      <c r="F18" s="276" t="s">
        <v>970</v>
      </c>
      <c r="G18" s="281">
        <v>0.64642682789978934</v>
      </c>
      <c r="H18" s="281">
        <v>0.8918279008522122</v>
      </c>
      <c r="I18" s="282">
        <v>0.25261147540983608</v>
      </c>
      <c r="J18" s="282">
        <v>1.2485999999999999</v>
      </c>
      <c r="K18" s="283">
        <v>4.6328390596745024</v>
      </c>
      <c r="L18" s="284" t="b">
        <f t="shared" si="0"/>
        <v>1</v>
      </c>
    </row>
    <row r="19" spans="1:12" x14ac:dyDescent="0.3">
      <c r="A19" s="355" t="s">
        <v>1227</v>
      </c>
      <c r="B19" s="275">
        <v>25</v>
      </c>
      <c r="C19" s="274">
        <v>5.5</v>
      </c>
      <c r="D19" s="274" t="s">
        <v>690</v>
      </c>
      <c r="E19" s="274" t="s">
        <v>967</v>
      </c>
      <c r="F19" s="276" t="s">
        <v>970</v>
      </c>
      <c r="G19" s="281">
        <v>0.22870511838171209</v>
      </c>
      <c r="H19" s="281">
        <v>0.29156143322986272</v>
      </c>
      <c r="I19" s="282">
        <v>7.8338360655737724E-2</v>
      </c>
      <c r="J19" s="282">
        <v>0.40289999999999998</v>
      </c>
      <c r="K19" s="283">
        <v>4.648454724409449</v>
      </c>
      <c r="L19" s="284" t="b">
        <f t="shared" si="0"/>
        <v>1</v>
      </c>
    </row>
    <row r="20" spans="1:12" x14ac:dyDescent="0.3">
      <c r="A20" s="355" t="s">
        <v>1228</v>
      </c>
      <c r="B20" s="275">
        <v>25</v>
      </c>
      <c r="C20" s="274">
        <v>5.5</v>
      </c>
      <c r="D20" s="274" t="s">
        <v>691</v>
      </c>
      <c r="E20" s="274" t="s">
        <v>967</v>
      </c>
      <c r="F20" s="276" t="s">
        <v>970</v>
      </c>
      <c r="G20" s="281">
        <v>0.25676831493890273</v>
      </c>
      <c r="H20" s="281">
        <v>0.32460806915194307</v>
      </c>
      <c r="I20" s="282">
        <v>9.2648360655737713E-2</v>
      </c>
      <c r="J20" s="282">
        <v>0.46239999999999998</v>
      </c>
      <c r="K20" s="283">
        <v>4.7861480362537758</v>
      </c>
      <c r="L20" s="284" t="b">
        <f t="shared" si="0"/>
        <v>1</v>
      </c>
    </row>
    <row r="21" spans="1:12" x14ac:dyDescent="0.3">
      <c r="A21" s="355" t="s">
        <v>1229</v>
      </c>
      <c r="B21" s="275">
        <v>25</v>
      </c>
      <c r="C21" s="274">
        <v>5.5</v>
      </c>
      <c r="D21" s="274" t="s">
        <v>692</v>
      </c>
      <c r="E21" s="274" t="s">
        <v>967</v>
      </c>
      <c r="F21" s="276" t="s">
        <v>970</v>
      </c>
      <c r="G21" s="281">
        <v>0.54012557750963663</v>
      </c>
      <c r="H21" s="281">
        <v>0.71147230242603454</v>
      </c>
      <c r="I21" s="282">
        <v>0.20696721311475411</v>
      </c>
      <c r="J21" s="282">
        <v>1.0106999999999999</v>
      </c>
      <c r="K21" s="283">
        <v>4.7536049631120054</v>
      </c>
      <c r="L21" s="284" t="b">
        <f t="shared" si="0"/>
        <v>1</v>
      </c>
    </row>
    <row r="22" spans="1:12" x14ac:dyDescent="0.3">
      <c r="A22" s="355" t="s">
        <v>1230</v>
      </c>
      <c r="B22" s="275">
        <v>25</v>
      </c>
      <c r="C22" s="274">
        <v>5.5</v>
      </c>
      <c r="D22" s="274" t="s">
        <v>693</v>
      </c>
      <c r="E22" s="274" t="s">
        <v>967</v>
      </c>
      <c r="F22" s="276" t="s">
        <v>970</v>
      </c>
      <c r="G22" s="281">
        <v>0.20030451212167574</v>
      </c>
      <c r="H22" s="281">
        <v>0.25056002428776497</v>
      </c>
      <c r="I22" s="282">
        <v>6.877245901639345E-2</v>
      </c>
      <c r="J22" s="282">
        <v>0.3498</v>
      </c>
      <c r="K22" s="283">
        <v>4.7226260504201676</v>
      </c>
      <c r="L22" s="284" t="b">
        <f t="shared" si="0"/>
        <v>1</v>
      </c>
    </row>
    <row r="23" spans="1:12" x14ac:dyDescent="0.3">
      <c r="A23" s="355" t="s">
        <v>1231</v>
      </c>
      <c r="B23" s="275">
        <v>25</v>
      </c>
      <c r="C23" s="274">
        <v>5.5</v>
      </c>
      <c r="D23" s="274" t="s">
        <v>694</v>
      </c>
      <c r="E23" s="274" t="s">
        <v>967</v>
      </c>
      <c r="F23" s="276" t="s">
        <v>970</v>
      </c>
      <c r="G23" s="281">
        <v>0.41666377643386654</v>
      </c>
      <c r="H23" s="281">
        <v>0.56132468097684274</v>
      </c>
      <c r="I23" s="282">
        <v>0.15382295081967212</v>
      </c>
      <c r="J23" s="282">
        <v>0.76529999999999998</v>
      </c>
      <c r="K23" s="283">
        <v>4.6985308521057778</v>
      </c>
      <c r="L23" s="284" t="b">
        <f t="shared" si="0"/>
        <v>1</v>
      </c>
    </row>
    <row r="24" spans="1:12" x14ac:dyDescent="0.3">
      <c r="A24" s="355" t="s">
        <v>1232</v>
      </c>
      <c r="B24" s="275">
        <v>25</v>
      </c>
      <c r="C24" s="274">
        <v>5.5</v>
      </c>
      <c r="D24" s="274" t="s">
        <v>696</v>
      </c>
      <c r="E24" s="274" t="s">
        <v>967</v>
      </c>
      <c r="F24" s="276" t="s">
        <v>970</v>
      </c>
      <c r="G24" s="281">
        <v>0.34768643831837098</v>
      </c>
      <c r="H24" s="281">
        <v>0.45042599948910417</v>
      </c>
      <c r="I24" s="282">
        <v>0.1275704918032787</v>
      </c>
      <c r="J24" s="282">
        <v>0.625</v>
      </c>
      <c r="K24" s="283">
        <v>4.8191666666666659</v>
      </c>
      <c r="L24" s="284" t="b">
        <f t="shared" si="0"/>
        <v>1</v>
      </c>
    </row>
    <row r="25" spans="1:12" x14ac:dyDescent="0.3">
      <c r="A25" s="355"/>
      <c r="B25" s="275"/>
      <c r="C25" s="274"/>
      <c r="D25" s="274"/>
      <c r="E25" s="274"/>
      <c r="F25" s="276"/>
      <c r="G25" s="281"/>
      <c r="H25" s="281"/>
      <c r="I25" s="282"/>
      <c r="J25" s="282"/>
      <c r="K25" s="283"/>
      <c r="L25" s="284" t="b">
        <f t="shared" si="0"/>
        <v>0</v>
      </c>
    </row>
    <row r="26" spans="1:12" x14ac:dyDescent="0.3">
      <c r="A26" s="355"/>
      <c r="B26" s="275"/>
      <c r="C26" s="274"/>
      <c r="D26" s="274"/>
      <c r="E26" s="274"/>
      <c r="F26" s="276"/>
      <c r="G26" s="281"/>
      <c r="H26" s="281"/>
      <c r="I26" s="282"/>
      <c r="J26" s="282"/>
      <c r="K26" s="283"/>
      <c r="L26" s="284" t="b">
        <f t="shared" si="0"/>
        <v>0</v>
      </c>
    </row>
    <row r="27" spans="1:12" x14ac:dyDescent="0.3">
      <c r="A27" s="355"/>
      <c r="B27" s="275"/>
      <c r="C27" s="274"/>
      <c r="D27" s="274"/>
      <c r="E27" s="274"/>
      <c r="F27" s="276"/>
      <c r="G27" s="281"/>
      <c r="H27" s="281"/>
      <c r="I27" s="282"/>
      <c r="J27" s="282"/>
      <c r="K27" s="283"/>
      <c r="L27" s="284" t="b">
        <f t="shared" si="0"/>
        <v>0</v>
      </c>
    </row>
    <row r="28" spans="1:12" x14ac:dyDescent="0.3">
      <c r="A28" s="355"/>
      <c r="B28" s="275"/>
      <c r="C28" s="274"/>
      <c r="D28" s="274"/>
      <c r="E28" s="274"/>
      <c r="F28" s="276"/>
      <c r="G28" s="281"/>
      <c r="H28" s="281"/>
      <c r="I28" s="282"/>
      <c r="J28" s="282"/>
      <c r="K28" s="283"/>
      <c r="L28" s="284" t="b">
        <f t="shared" si="0"/>
        <v>0</v>
      </c>
    </row>
    <row r="29" spans="1:12" x14ac:dyDescent="0.3">
      <c r="A29" s="355"/>
      <c r="B29" s="275"/>
      <c r="C29" s="274"/>
      <c r="D29" s="274"/>
      <c r="E29" s="274"/>
      <c r="F29" s="276"/>
      <c r="G29" s="281"/>
      <c r="H29" s="281"/>
      <c r="I29" s="282"/>
      <c r="J29" s="282"/>
      <c r="K29" s="283"/>
      <c r="L29" s="284" t="b">
        <f t="shared" si="0"/>
        <v>0</v>
      </c>
    </row>
    <row r="30" spans="1:12" x14ac:dyDescent="0.3">
      <c r="A30" s="355"/>
      <c r="B30" s="275"/>
      <c r="C30" s="274"/>
      <c r="D30" s="274"/>
      <c r="E30" s="274"/>
      <c r="F30" s="276"/>
      <c r="G30" s="281"/>
      <c r="H30" s="281"/>
      <c r="I30" s="282"/>
      <c r="J30" s="282"/>
      <c r="K30" s="283"/>
      <c r="L30" s="284" t="b">
        <f t="shared" si="0"/>
        <v>0</v>
      </c>
    </row>
    <row r="31" spans="1:12" x14ac:dyDescent="0.3">
      <c r="A31" s="355"/>
      <c r="B31" s="275"/>
      <c r="C31" s="274"/>
      <c r="D31" s="274"/>
      <c r="E31" s="274"/>
      <c r="F31" s="276"/>
      <c r="G31" s="281"/>
      <c r="H31" s="281"/>
      <c r="I31" s="282"/>
      <c r="J31" s="282"/>
      <c r="K31" s="283"/>
      <c r="L31" s="284" t="b">
        <f t="shared" si="0"/>
        <v>0</v>
      </c>
    </row>
    <row r="32" spans="1:12" x14ac:dyDescent="0.3">
      <c r="A32" s="355"/>
      <c r="B32" s="275"/>
      <c r="C32" s="274"/>
      <c r="D32" s="274"/>
      <c r="E32" s="274"/>
      <c r="F32" s="276"/>
      <c r="G32" s="281"/>
      <c r="H32" s="281"/>
      <c r="I32" s="282"/>
      <c r="J32" s="282"/>
      <c r="K32" s="283"/>
      <c r="L32" s="284" t="b">
        <f t="shared" si="0"/>
        <v>0</v>
      </c>
    </row>
    <row r="33" spans="1:12" x14ac:dyDescent="0.3">
      <c r="A33" s="355"/>
      <c r="B33" s="275"/>
      <c r="C33" s="274"/>
      <c r="D33" s="274"/>
      <c r="E33" s="274"/>
      <c r="F33" s="276"/>
      <c r="G33" s="281"/>
      <c r="H33" s="281"/>
      <c r="I33" s="282"/>
      <c r="J33" s="282"/>
      <c r="K33" s="283"/>
      <c r="L33" s="284" t="b">
        <f t="shared" si="0"/>
        <v>0</v>
      </c>
    </row>
    <row r="34" spans="1:12" x14ac:dyDescent="0.3">
      <c r="A34" s="355"/>
      <c r="B34" s="275"/>
      <c r="C34" s="274"/>
      <c r="D34" s="274"/>
      <c r="E34" s="274"/>
      <c r="F34" s="276"/>
      <c r="G34" s="281"/>
      <c r="H34" s="281"/>
      <c r="I34" s="282"/>
      <c r="J34" s="282"/>
      <c r="K34" s="283"/>
      <c r="L34" s="284" t="b">
        <f t="shared" si="0"/>
        <v>0</v>
      </c>
    </row>
    <row r="35" spans="1:12" x14ac:dyDescent="0.3">
      <c r="A35" s="355"/>
      <c r="B35" s="275"/>
      <c r="C35" s="274"/>
      <c r="D35" s="274"/>
      <c r="E35" s="274"/>
      <c r="F35" s="276"/>
      <c r="G35" s="281"/>
      <c r="H35" s="281"/>
      <c r="I35" s="282"/>
      <c r="J35" s="282"/>
      <c r="K35" s="283"/>
      <c r="L35" s="284" t="b">
        <f t="shared" si="0"/>
        <v>0</v>
      </c>
    </row>
    <row r="36" spans="1:12" x14ac:dyDescent="0.3">
      <c r="A36" s="355"/>
      <c r="B36" s="275"/>
      <c r="C36" s="274"/>
      <c r="D36" s="274"/>
      <c r="E36" s="274"/>
      <c r="F36" s="276"/>
      <c r="G36" s="281"/>
      <c r="H36" s="281"/>
      <c r="I36" s="282"/>
      <c r="J36" s="282"/>
      <c r="K36" s="283"/>
      <c r="L36" s="284" t="b">
        <f t="shared" si="0"/>
        <v>0</v>
      </c>
    </row>
    <row r="37" spans="1:12" x14ac:dyDescent="0.3">
      <c r="A37" s="355"/>
      <c r="B37" s="275"/>
      <c r="C37" s="274"/>
      <c r="D37" s="274"/>
      <c r="E37" s="274"/>
      <c r="F37" s="276"/>
      <c r="G37" s="281"/>
      <c r="H37" s="281"/>
      <c r="I37" s="282"/>
      <c r="J37" s="282"/>
      <c r="K37" s="283"/>
      <c r="L37" s="284" t="b">
        <f t="shared" si="0"/>
        <v>0</v>
      </c>
    </row>
    <row r="38" spans="1:12" x14ac:dyDescent="0.3">
      <c r="A38" s="355"/>
      <c r="B38" s="275"/>
      <c r="C38" s="274"/>
      <c r="D38" s="274"/>
      <c r="E38" s="274"/>
      <c r="F38" s="276"/>
      <c r="G38" s="281"/>
      <c r="H38" s="281"/>
      <c r="I38" s="282"/>
      <c r="J38" s="282"/>
      <c r="K38" s="283"/>
      <c r="L38" s="284" t="b">
        <f t="shared" si="0"/>
        <v>0</v>
      </c>
    </row>
    <row r="39" spans="1:12" x14ac:dyDescent="0.3">
      <c r="A39" s="355"/>
      <c r="B39" s="275"/>
      <c r="C39" s="274"/>
      <c r="D39" s="274"/>
      <c r="E39" s="274"/>
      <c r="F39" s="276"/>
      <c r="G39" s="281"/>
      <c r="H39" s="281"/>
      <c r="I39" s="282"/>
      <c r="J39" s="282"/>
      <c r="K39" s="283"/>
      <c r="L39" s="284" t="b">
        <f t="shared" ref="L39:L70" si="1">IF(AND(A39&lt;&gt;"",G39&lt;=1,H39&lt;=1,I39&lt;=Settings.GradeDefl,J39&lt;=Settings.HeadDefl),TRUE,FALSE)</f>
        <v>0</v>
      </c>
    </row>
    <row r="40" spans="1:12" x14ac:dyDescent="0.3">
      <c r="A40" s="355"/>
      <c r="B40" s="275"/>
      <c r="C40" s="274"/>
      <c r="D40" s="274"/>
      <c r="E40" s="274"/>
      <c r="F40" s="276"/>
      <c r="G40" s="281"/>
      <c r="H40" s="281"/>
      <c r="I40" s="282"/>
      <c r="J40" s="282"/>
      <c r="K40" s="283"/>
      <c r="L40" s="284" t="b">
        <f t="shared" si="1"/>
        <v>0</v>
      </c>
    </row>
    <row r="41" spans="1:12" x14ac:dyDescent="0.3">
      <c r="A41" s="355"/>
      <c r="B41" s="275"/>
      <c r="C41" s="274"/>
      <c r="D41" s="274"/>
      <c r="E41" s="274"/>
      <c r="F41" s="276"/>
      <c r="G41" s="281"/>
      <c r="H41" s="281"/>
      <c r="I41" s="282"/>
      <c r="J41" s="282"/>
      <c r="K41" s="283"/>
      <c r="L41" s="284" t="b">
        <f t="shared" si="1"/>
        <v>0</v>
      </c>
    </row>
    <row r="42" spans="1:12" x14ac:dyDescent="0.3">
      <c r="A42" s="355"/>
      <c r="B42" s="275"/>
      <c r="C42" s="274"/>
      <c r="D42" s="274"/>
      <c r="E42" s="274"/>
      <c r="F42" s="276"/>
      <c r="G42" s="281"/>
      <c r="H42" s="281"/>
      <c r="I42" s="282"/>
      <c r="J42" s="282"/>
      <c r="K42" s="283"/>
      <c r="L42" s="284" t="b">
        <f t="shared" si="1"/>
        <v>0</v>
      </c>
    </row>
    <row r="43" spans="1:12" x14ac:dyDescent="0.3">
      <c r="A43" s="355"/>
      <c r="B43" s="275"/>
      <c r="C43" s="274"/>
      <c r="D43" s="274"/>
      <c r="E43" s="274"/>
      <c r="F43" s="276"/>
      <c r="G43" s="281"/>
      <c r="H43" s="281"/>
      <c r="I43" s="282"/>
      <c r="J43" s="282"/>
      <c r="K43" s="283"/>
      <c r="L43" s="284" t="b">
        <f t="shared" si="1"/>
        <v>0</v>
      </c>
    </row>
    <row r="44" spans="1:12" x14ac:dyDescent="0.3">
      <c r="A44" s="355"/>
      <c r="B44" s="275"/>
      <c r="C44" s="274"/>
      <c r="D44" s="274"/>
      <c r="E44" s="274"/>
      <c r="F44" s="276"/>
      <c r="G44" s="281"/>
      <c r="H44" s="281"/>
      <c r="I44" s="282"/>
      <c r="J44" s="282"/>
      <c r="K44" s="283"/>
      <c r="L44" s="284" t="b">
        <f t="shared" si="1"/>
        <v>0</v>
      </c>
    </row>
    <row r="45" spans="1:12" x14ac:dyDescent="0.3">
      <c r="A45" s="355"/>
      <c r="B45" s="275"/>
      <c r="C45" s="274"/>
      <c r="D45" s="274"/>
      <c r="E45" s="274"/>
      <c r="F45" s="276"/>
      <c r="G45" s="281"/>
      <c r="H45" s="281"/>
      <c r="I45" s="282"/>
      <c r="J45" s="282"/>
      <c r="K45" s="283"/>
      <c r="L45" s="284" t="b">
        <f t="shared" si="1"/>
        <v>0</v>
      </c>
    </row>
    <row r="46" spans="1:12" x14ac:dyDescent="0.3">
      <c r="A46" s="355"/>
      <c r="B46" s="275"/>
      <c r="C46" s="274"/>
      <c r="D46" s="274"/>
      <c r="E46" s="274"/>
      <c r="F46" s="276"/>
      <c r="G46" s="281"/>
      <c r="H46" s="281"/>
      <c r="I46" s="282"/>
      <c r="J46" s="282"/>
      <c r="K46" s="283"/>
      <c r="L46" s="284" t="b">
        <f t="shared" si="1"/>
        <v>0</v>
      </c>
    </row>
    <row r="47" spans="1:12" x14ac:dyDescent="0.3">
      <c r="A47" s="355"/>
      <c r="B47" s="275"/>
      <c r="C47" s="274"/>
      <c r="D47" s="274"/>
      <c r="E47" s="274"/>
      <c r="F47" s="276"/>
      <c r="G47" s="281"/>
      <c r="H47" s="281"/>
      <c r="I47" s="282"/>
      <c r="J47" s="282"/>
      <c r="K47" s="283"/>
      <c r="L47" s="284" t="b">
        <f t="shared" si="1"/>
        <v>0</v>
      </c>
    </row>
    <row r="48" spans="1:12" x14ac:dyDescent="0.3">
      <c r="A48" s="355"/>
      <c r="B48" s="275"/>
      <c r="C48" s="274"/>
      <c r="D48" s="274"/>
      <c r="E48" s="274"/>
      <c r="F48" s="276"/>
      <c r="G48" s="281"/>
      <c r="H48" s="281"/>
      <c r="I48" s="282"/>
      <c r="J48" s="282"/>
      <c r="K48" s="283"/>
      <c r="L48" s="284" t="b">
        <f t="shared" si="1"/>
        <v>0</v>
      </c>
    </row>
    <row r="49" spans="1:12" x14ac:dyDescent="0.3">
      <c r="A49" s="355"/>
      <c r="B49" s="275"/>
      <c r="C49" s="274"/>
      <c r="D49" s="274"/>
      <c r="E49" s="274"/>
      <c r="F49" s="276"/>
      <c r="G49" s="281"/>
      <c r="H49" s="281"/>
      <c r="I49" s="282"/>
      <c r="J49" s="282"/>
      <c r="K49" s="283"/>
      <c r="L49" s="284" t="b">
        <f t="shared" si="1"/>
        <v>0</v>
      </c>
    </row>
    <row r="50" spans="1:12" x14ac:dyDescent="0.3">
      <c r="A50" s="355"/>
      <c r="B50" s="275"/>
      <c r="C50" s="274"/>
      <c r="D50" s="274"/>
      <c r="E50" s="274"/>
      <c r="F50" s="276"/>
      <c r="G50" s="281"/>
      <c r="H50" s="281"/>
      <c r="I50" s="282"/>
      <c r="J50" s="282"/>
      <c r="K50" s="283"/>
      <c r="L50" s="284" t="b">
        <f t="shared" si="1"/>
        <v>0</v>
      </c>
    </row>
    <row r="51" spans="1:12" x14ac:dyDescent="0.3">
      <c r="A51" s="355"/>
      <c r="B51" s="275"/>
      <c r="C51" s="274"/>
      <c r="D51" s="274"/>
      <c r="E51" s="274"/>
      <c r="F51" s="276"/>
      <c r="G51" s="281"/>
      <c r="H51" s="281"/>
      <c r="I51" s="282"/>
      <c r="J51" s="282"/>
      <c r="K51" s="283"/>
      <c r="L51" s="284" t="b">
        <f t="shared" si="1"/>
        <v>0</v>
      </c>
    </row>
    <row r="52" spans="1:12" x14ac:dyDescent="0.3">
      <c r="A52" s="355"/>
      <c r="B52" s="275"/>
      <c r="C52" s="274"/>
      <c r="D52" s="274"/>
      <c r="E52" s="274"/>
      <c r="F52" s="276"/>
      <c r="G52" s="281"/>
      <c r="H52" s="281"/>
      <c r="I52" s="282"/>
      <c r="J52" s="282"/>
      <c r="K52" s="283"/>
      <c r="L52" s="284" t="b">
        <f t="shared" si="1"/>
        <v>0</v>
      </c>
    </row>
    <row r="53" spans="1:12" x14ac:dyDescent="0.3">
      <c r="A53" s="355"/>
      <c r="B53" s="275"/>
      <c r="C53" s="274"/>
      <c r="D53" s="274"/>
      <c r="E53" s="274"/>
      <c r="F53" s="276"/>
      <c r="G53" s="281"/>
      <c r="H53" s="281"/>
      <c r="I53" s="282"/>
      <c r="J53" s="282"/>
      <c r="K53" s="283"/>
      <c r="L53" s="284" t="b">
        <f t="shared" si="1"/>
        <v>0</v>
      </c>
    </row>
    <row r="54" spans="1:12" x14ac:dyDescent="0.3">
      <c r="A54" s="355"/>
      <c r="B54" s="275"/>
      <c r="C54" s="274"/>
      <c r="D54" s="274"/>
      <c r="E54" s="274"/>
      <c r="F54" s="276"/>
      <c r="G54" s="281"/>
      <c r="H54" s="281"/>
      <c r="I54" s="282"/>
      <c r="J54" s="282"/>
      <c r="K54" s="283"/>
      <c r="L54" s="284" t="b">
        <f t="shared" si="1"/>
        <v>0</v>
      </c>
    </row>
    <row r="55" spans="1:12" x14ac:dyDescent="0.3">
      <c r="A55" s="355"/>
      <c r="B55" s="275"/>
      <c r="C55" s="274"/>
      <c r="D55" s="274"/>
      <c r="E55" s="274"/>
      <c r="F55" s="276"/>
      <c r="G55" s="281"/>
      <c r="H55" s="281"/>
      <c r="I55" s="282"/>
      <c r="J55" s="282"/>
      <c r="K55" s="283"/>
      <c r="L55" s="284" t="b">
        <f t="shared" si="1"/>
        <v>0</v>
      </c>
    </row>
    <row r="56" spans="1:12" x14ac:dyDescent="0.3">
      <c r="A56" s="355"/>
      <c r="B56" s="275"/>
      <c r="C56" s="274"/>
      <c r="D56" s="274"/>
      <c r="E56" s="274"/>
      <c r="F56" s="276"/>
      <c r="G56" s="281"/>
      <c r="H56" s="281"/>
      <c r="I56" s="282"/>
      <c r="J56" s="282"/>
      <c r="K56" s="283"/>
      <c r="L56" s="284" t="b">
        <f t="shared" si="1"/>
        <v>0</v>
      </c>
    </row>
    <row r="57" spans="1:12" x14ac:dyDescent="0.3">
      <c r="A57" s="355"/>
      <c r="B57" s="275"/>
      <c r="C57" s="274"/>
      <c r="D57" s="274"/>
      <c r="E57" s="274"/>
      <c r="F57" s="276"/>
      <c r="G57" s="281"/>
      <c r="H57" s="281"/>
      <c r="I57" s="282"/>
      <c r="J57" s="282"/>
      <c r="K57" s="283"/>
      <c r="L57" s="284" t="b">
        <f t="shared" si="1"/>
        <v>0</v>
      </c>
    </row>
    <row r="58" spans="1:12" x14ac:dyDescent="0.3">
      <c r="A58" s="355"/>
      <c r="B58" s="275"/>
      <c r="C58" s="274"/>
      <c r="D58" s="274"/>
      <c r="E58" s="274"/>
      <c r="F58" s="276"/>
      <c r="G58" s="281"/>
      <c r="H58" s="281"/>
      <c r="I58" s="282"/>
      <c r="J58" s="282"/>
      <c r="K58" s="283"/>
      <c r="L58" s="284" t="b">
        <f t="shared" si="1"/>
        <v>0</v>
      </c>
    </row>
    <row r="59" spans="1:12" x14ac:dyDescent="0.3">
      <c r="A59" s="355"/>
      <c r="B59" s="275"/>
      <c r="C59" s="274"/>
      <c r="D59" s="274"/>
      <c r="E59" s="274"/>
      <c r="F59" s="276"/>
      <c r="G59" s="281"/>
      <c r="H59" s="281"/>
      <c r="I59" s="282"/>
      <c r="J59" s="282"/>
      <c r="K59" s="283"/>
      <c r="L59" s="284" t="b">
        <f t="shared" si="1"/>
        <v>0</v>
      </c>
    </row>
    <row r="60" spans="1:12" x14ac:dyDescent="0.3">
      <c r="A60" s="355"/>
      <c r="B60" s="275"/>
      <c r="C60" s="274"/>
      <c r="D60" s="274"/>
      <c r="E60" s="274"/>
      <c r="F60" s="276"/>
      <c r="G60" s="281"/>
      <c r="H60" s="281"/>
      <c r="I60" s="282"/>
      <c r="J60" s="282"/>
      <c r="K60" s="283"/>
      <c r="L60" s="284" t="b">
        <f t="shared" si="1"/>
        <v>0</v>
      </c>
    </row>
    <row r="61" spans="1:12" x14ac:dyDescent="0.3">
      <c r="A61" s="355"/>
      <c r="B61" s="275"/>
      <c r="C61" s="274"/>
      <c r="D61" s="274"/>
      <c r="E61" s="274"/>
      <c r="F61" s="276"/>
      <c r="G61" s="281"/>
      <c r="H61" s="281"/>
      <c r="I61" s="282"/>
      <c r="J61" s="282"/>
      <c r="K61" s="283"/>
      <c r="L61" s="284" t="b">
        <f t="shared" si="1"/>
        <v>0</v>
      </c>
    </row>
    <row r="62" spans="1:12" x14ac:dyDescent="0.3">
      <c r="A62" s="355"/>
      <c r="B62" s="275"/>
      <c r="C62" s="274"/>
      <c r="D62" s="274"/>
      <c r="E62" s="274"/>
      <c r="F62" s="276"/>
      <c r="G62" s="281"/>
      <c r="H62" s="281"/>
      <c r="I62" s="282"/>
      <c r="J62" s="282"/>
      <c r="K62" s="283"/>
      <c r="L62" s="284" t="b">
        <f t="shared" si="1"/>
        <v>0</v>
      </c>
    </row>
    <row r="63" spans="1:12" x14ac:dyDescent="0.3">
      <c r="A63" s="355"/>
      <c r="B63" s="275"/>
      <c r="C63" s="274"/>
      <c r="D63" s="274"/>
      <c r="E63" s="274"/>
      <c r="F63" s="276"/>
      <c r="G63" s="281"/>
      <c r="H63" s="281"/>
      <c r="I63" s="282"/>
      <c r="J63" s="282"/>
      <c r="K63" s="283"/>
      <c r="L63" s="284" t="b">
        <f t="shared" si="1"/>
        <v>0</v>
      </c>
    </row>
    <row r="64" spans="1:12" x14ac:dyDescent="0.3">
      <c r="A64" s="355"/>
      <c r="B64" s="275"/>
      <c r="C64" s="274"/>
      <c r="D64" s="274"/>
      <c r="E64" s="274"/>
      <c r="F64" s="276"/>
      <c r="G64" s="281"/>
      <c r="H64" s="281"/>
      <c r="I64" s="282"/>
      <c r="J64" s="282"/>
      <c r="K64" s="283"/>
      <c r="L64" s="284" t="b">
        <f t="shared" si="1"/>
        <v>0</v>
      </c>
    </row>
    <row r="65" spans="1:12" x14ac:dyDescent="0.3">
      <c r="A65" s="355"/>
      <c r="B65" s="275"/>
      <c r="C65" s="274"/>
      <c r="D65" s="274"/>
      <c r="E65" s="274"/>
      <c r="F65" s="276"/>
      <c r="G65" s="281"/>
      <c r="H65" s="281"/>
      <c r="I65" s="282"/>
      <c r="J65" s="282"/>
      <c r="K65" s="283"/>
      <c r="L65" s="284" t="b">
        <f t="shared" si="1"/>
        <v>0</v>
      </c>
    </row>
    <row r="66" spans="1:12" x14ac:dyDescent="0.3">
      <c r="A66" s="355"/>
      <c r="B66" s="275"/>
      <c r="C66" s="274"/>
      <c r="D66" s="274"/>
      <c r="E66" s="274"/>
      <c r="F66" s="276"/>
      <c r="G66" s="281"/>
      <c r="H66" s="281"/>
      <c r="I66" s="282"/>
      <c r="J66" s="282"/>
      <c r="K66" s="283"/>
      <c r="L66" s="284" t="b">
        <f t="shared" si="1"/>
        <v>0</v>
      </c>
    </row>
    <row r="67" spans="1:12" x14ac:dyDescent="0.3">
      <c r="A67" s="355"/>
      <c r="B67" s="275"/>
      <c r="C67" s="274"/>
      <c r="D67" s="274"/>
      <c r="E67" s="274"/>
      <c r="F67" s="276"/>
      <c r="G67" s="281"/>
      <c r="H67" s="281"/>
      <c r="I67" s="282"/>
      <c r="J67" s="282"/>
      <c r="K67" s="283"/>
      <c r="L67" s="284" t="b">
        <f t="shared" si="1"/>
        <v>0</v>
      </c>
    </row>
    <row r="68" spans="1:12" x14ac:dyDescent="0.3">
      <c r="A68" s="355"/>
      <c r="B68" s="275"/>
      <c r="C68" s="274"/>
      <c r="D68" s="274"/>
      <c r="E68" s="274"/>
      <c r="F68" s="276"/>
      <c r="G68" s="281"/>
      <c r="H68" s="281"/>
      <c r="I68" s="282"/>
      <c r="J68" s="282"/>
      <c r="K68" s="283"/>
      <c r="L68" s="284" t="b">
        <f t="shared" si="1"/>
        <v>0</v>
      </c>
    </row>
    <row r="69" spans="1:12" x14ac:dyDescent="0.3">
      <c r="A69" s="355"/>
      <c r="B69" s="275"/>
      <c r="C69" s="274"/>
      <c r="D69" s="274"/>
      <c r="E69" s="274"/>
      <c r="F69" s="276"/>
      <c r="G69" s="281"/>
      <c r="H69" s="281"/>
      <c r="I69" s="282"/>
      <c r="J69" s="282"/>
      <c r="K69" s="283"/>
      <c r="L69" s="284" t="b">
        <f t="shared" si="1"/>
        <v>0</v>
      </c>
    </row>
    <row r="70" spans="1:12" x14ac:dyDescent="0.3">
      <c r="A70" s="355"/>
      <c r="B70" s="275"/>
      <c r="C70" s="274"/>
      <c r="D70" s="274"/>
      <c r="E70" s="274"/>
      <c r="F70" s="276"/>
      <c r="G70" s="281"/>
      <c r="H70" s="281"/>
      <c r="I70" s="282"/>
      <c r="J70" s="282"/>
      <c r="K70" s="283"/>
      <c r="L70" s="284" t="b">
        <f t="shared" si="1"/>
        <v>0</v>
      </c>
    </row>
    <row r="71" spans="1:12" x14ac:dyDescent="0.3">
      <c r="A71" s="355"/>
      <c r="B71" s="275"/>
      <c r="C71" s="274"/>
      <c r="D71" s="274"/>
      <c r="E71" s="274"/>
      <c r="F71" s="276"/>
      <c r="G71" s="281"/>
      <c r="H71" s="281"/>
      <c r="I71" s="282"/>
      <c r="J71" s="282"/>
      <c r="K71" s="283"/>
      <c r="L71" s="284" t="b">
        <f t="shared" ref="L71:L107" si="2">IF(AND(A71&lt;&gt;"",G71&lt;=1,H71&lt;=1,I71&lt;=Settings.GradeDefl,J71&lt;=Settings.HeadDefl),TRUE,FALSE)</f>
        <v>0</v>
      </c>
    </row>
    <row r="72" spans="1:12" x14ac:dyDescent="0.3">
      <c r="A72" s="355"/>
      <c r="B72" s="275"/>
      <c r="C72" s="274"/>
      <c r="D72" s="274"/>
      <c r="E72" s="274"/>
      <c r="F72" s="276"/>
      <c r="G72" s="281"/>
      <c r="H72" s="281"/>
      <c r="I72" s="282"/>
      <c r="J72" s="282"/>
      <c r="K72" s="283"/>
      <c r="L72" s="284" t="b">
        <f t="shared" si="2"/>
        <v>0</v>
      </c>
    </row>
    <row r="73" spans="1:12" x14ac:dyDescent="0.3">
      <c r="A73" s="355"/>
      <c r="B73" s="275"/>
      <c r="C73" s="274"/>
      <c r="D73" s="274"/>
      <c r="E73" s="274"/>
      <c r="F73" s="276"/>
      <c r="G73" s="281"/>
      <c r="H73" s="281"/>
      <c r="I73" s="282"/>
      <c r="J73" s="282"/>
      <c r="K73" s="283"/>
      <c r="L73" s="284" t="b">
        <f t="shared" si="2"/>
        <v>0</v>
      </c>
    </row>
    <row r="74" spans="1:12" x14ac:dyDescent="0.3">
      <c r="A74" s="355"/>
      <c r="B74" s="275"/>
      <c r="C74" s="274"/>
      <c r="D74" s="274"/>
      <c r="E74" s="274"/>
      <c r="F74" s="276"/>
      <c r="G74" s="281"/>
      <c r="H74" s="281"/>
      <c r="I74" s="282"/>
      <c r="J74" s="282"/>
      <c r="K74" s="283"/>
      <c r="L74" s="284" t="b">
        <f t="shared" si="2"/>
        <v>0</v>
      </c>
    </row>
    <row r="75" spans="1:12" x14ac:dyDescent="0.3">
      <c r="A75" s="355"/>
      <c r="B75" s="275"/>
      <c r="C75" s="274"/>
      <c r="D75" s="274"/>
      <c r="E75" s="274"/>
      <c r="F75" s="276"/>
      <c r="G75" s="281"/>
      <c r="H75" s="281"/>
      <c r="I75" s="282"/>
      <c r="J75" s="282"/>
      <c r="K75" s="283"/>
      <c r="L75" s="284" t="b">
        <f t="shared" si="2"/>
        <v>0</v>
      </c>
    </row>
    <row r="76" spans="1:12" x14ac:dyDescent="0.3">
      <c r="A76" s="355"/>
      <c r="B76" s="275"/>
      <c r="C76" s="274"/>
      <c r="D76" s="274"/>
      <c r="E76" s="274"/>
      <c r="F76" s="276"/>
      <c r="G76" s="281"/>
      <c r="H76" s="281"/>
      <c r="I76" s="282"/>
      <c r="J76" s="282"/>
      <c r="K76" s="283"/>
      <c r="L76" s="284" t="b">
        <f t="shared" si="2"/>
        <v>0</v>
      </c>
    </row>
    <row r="77" spans="1:12" x14ac:dyDescent="0.3">
      <c r="A77" s="355"/>
      <c r="B77" s="275"/>
      <c r="C77" s="274"/>
      <c r="D77" s="274"/>
      <c r="E77" s="274"/>
      <c r="F77" s="276"/>
      <c r="G77" s="281"/>
      <c r="H77" s="281"/>
      <c r="I77" s="282"/>
      <c r="J77" s="282"/>
      <c r="K77" s="283"/>
      <c r="L77" s="284" t="b">
        <f t="shared" si="2"/>
        <v>0</v>
      </c>
    </row>
    <row r="78" spans="1:12" x14ac:dyDescent="0.3">
      <c r="A78" s="355"/>
      <c r="B78" s="275"/>
      <c r="C78" s="274"/>
      <c r="D78" s="274"/>
      <c r="E78" s="274"/>
      <c r="F78" s="276"/>
      <c r="G78" s="281"/>
      <c r="H78" s="281"/>
      <c r="I78" s="282"/>
      <c r="J78" s="282"/>
      <c r="K78" s="283"/>
      <c r="L78" s="284" t="b">
        <f t="shared" si="2"/>
        <v>0</v>
      </c>
    </row>
    <row r="79" spans="1:12" x14ac:dyDescent="0.3">
      <c r="A79" s="355"/>
      <c r="B79" s="275"/>
      <c r="C79" s="274"/>
      <c r="D79" s="274"/>
      <c r="E79" s="274"/>
      <c r="F79" s="276"/>
      <c r="G79" s="281"/>
      <c r="H79" s="281"/>
      <c r="I79" s="282"/>
      <c r="J79" s="282"/>
      <c r="K79" s="283"/>
      <c r="L79" s="284" t="b">
        <f t="shared" si="2"/>
        <v>0</v>
      </c>
    </row>
    <row r="80" spans="1:12" x14ac:dyDescent="0.3">
      <c r="A80" s="355"/>
      <c r="B80" s="275"/>
      <c r="C80" s="274"/>
      <c r="D80" s="274"/>
      <c r="E80" s="274"/>
      <c r="F80" s="276"/>
      <c r="G80" s="281"/>
      <c r="H80" s="281"/>
      <c r="I80" s="282"/>
      <c r="J80" s="282"/>
      <c r="K80" s="283"/>
      <c r="L80" s="284" t="b">
        <f t="shared" si="2"/>
        <v>0</v>
      </c>
    </row>
    <row r="81" spans="1:12" x14ac:dyDescent="0.3">
      <c r="A81" s="355"/>
      <c r="B81" s="275"/>
      <c r="C81" s="274"/>
      <c r="D81" s="274"/>
      <c r="E81" s="274"/>
      <c r="F81" s="276"/>
      <c r="G81" s="281"/>
      <c r="H81" s="281"/>
      <c r="I81" s="282"/>
      <c r="J81" s="282"/>
      <c r="K81" s="283"/>
      <c r="L81" s="284" t="b">
        <f t="shared" si="2"/>
        <v>0</v>
      </c>
    </row>
    <row r="82" spans="1:12" x14ac:dyDescent="0.3">
      <c r="A82" s="355"/>
      <c r="B82" s="275"/>
      <c r="C82" s="274"/>
      <c r="D82" s="274"/>
      <c r="E82" s="274"/>
      <c r="F82" s="276"/>
      <c r="G82" s="281"/>
      <c r="H82" s="281"/>
      <c r="I82" s="282"/>
      <c r="J82" s="282"/>
      <c r="K82" s="283"/>
      <c r="L82" s="284" t="b">
        <f t="shared" si="2"/>
        <v>0</v>
      </c>
    </row>
    <row r="83" spans="1:12" x14ac:dyDescent="0.3">
      <c r="A83" s="355"/>
      <c r="B83" s="275"/>
      <c r="C83" s="274"/>
      <c r="D83" s="274"/>
      <c r="E83" s="274"/>
      <c r="F83" s="276"/>
      <c r="G83" s="281"/>
      <c r="H83" s="281"/>
      <c r="I83" s="282"/>
      <c r="J83" s="282"/>
      <c r="K83" s="283"/>
      <c r="L83" s="284" t="b">
        <f t="shared" si="2"/>
        <v>0</v>
      </c>
    </row>
    <row r="84" spans="1:12" x14ac:dyDescent="0.3">
      <c r="A84" s="355"/>
      <c r="B84" s="275"/>
      <c r="C84" s="274"/>
      <c r="D84" s="274"/>
      <c r="E84" s="274"/>
      <c r="F84" s="276"/>
      <c r="G84" s="281"/>
      <c r="H84" s="281"/>
      <c r="I84" s="282"/>
      <c r="J84" s="282"/>
      <c r="K84" s="283"/>
      <c r="L84" s="284" t="b">
        <f t="shared" si="2"/>
        <v>0</v>
      </c>
    </row>
    <row r="85" spans="1:12" x14ac:dyDescent="0.3">
      <c r="A85" s="355"/>
      <c r="B85" s="275"/>
      <c r="C85" s="274"/>
      <c r="D85" s="274"/>
      <c r="E85" s="274"/>
      <c r="F85" s="276"/>
      <c r="G85" s="281"/>
      <c r="H85" s="281"/>
      <c r="I85" s="282"/>
      <c r="J85" s="282"/>
      <c r="K85" s="283"/>
      <c r="L85" s="284" t="b">
        <f t="shared" si="2"/>
        <v>0</v>
      </c>
    </row>
    <row r="86" spans="1:12" x14ac:dyDescent="0.3">
      <c r="A86" s="355"/>
      <c r="B86" s="275"/>
      <c r="C86" s="274"/>
      <c r="D86" s="274"/>
      <c r="E86" s="274"/>
      <c r="F86" s="276"/>
      <c r="G86" s="281"/>
      <c r="H86" s="281"/>
      <c r="I86" s="282"/>
      <c r="J86" s="282"/>
      <c r="K86" s="283"/>
      <c r="L86" s="284" t="b">
        <f t="shared" si="2"/>
        <v>0</v>
      </c>
    </row>
    <row r="87" spans="1:12" x14ac:dyDescent="0.3">
      <c r="A87" s="355"/>
      <c r="B87" s="275"/>
      <c r="C87" s="274"/>
      <c r="D87" s="274"/>
      <c r="E87" s="274"/>
      <c r="F87" s="276"/>
      <c r="G87" s="281"/>
      <c r="H87" s="281"/>
      <c r="I87" s="282"/>
      <c r="J87" s="282"/>
      <c r="K87" s="283"/>
      <c r="L87" s="284" t="b">
        <f t="shared" si="2"/>
        <v>0</v>
      </c>
    </row>
    <row r="88" spans="1:12" x14ac:dyDescent="0.3">
      <c r="A88" s="355"/>
      <c r="B88" s="275"/>
      <c r="C88" s="274"/>
      <c r="D88" s="274"/>
      <c r="E88" s="274"/>
      <c r="F88" s="276"/>
      <c r="G88" s="281"/>
      <c r="H88" s="281"/>
      <c r="I88" s="282"/>
      <c r="J88" s="282"/>
      <c r="K88" s="283"/>
      <c r="L88" s="284" t="b">
        <f t="shared" si="2"/>
        <v>0</v>
      </c>
    </row>
    <row r="89" spans="1:12" x14ac:dyDescent="0.3">
      <c r="A89" s="355"/>
      <c r="B89" s="275"/>
      <c r="C89" s="274"/>
      <c r="D89" s="274"/>
      <c r="E89" s="274"/>
      <c r="F89" s="276"/>
      <c r="G89" s="281"/>
      <c r="H89" s="281"/>
      <c r="I89" s="282"/>
      <c r="J89" s="282"/>
      <c r="K89" s="283"/>
      <c r="L89" s="284" t="b">
        <f t="shared" si="2"/>
        <v>0</v>
      </c>
    </row>
    <row r="90" spans="1:12" x14ac:dyDescent="0.3">
      <c r="A90" s="355"/>
      <c r="B90" s="275"/>
      <c r="C90" s="274"/>
      <c r="D90" s="274"/>
      <c r="E90" s="274"/>
      <c r="F90" s="276"/>
      <c r="G90" s="281"/>
      <c r="H90" s="281"/>
      <c r="I90" s="282"/>
      <c r="J90" s="282"/>
      <c r="K90" s="283"/>
      <c r="L90" s="284" t="b">
        <f t="shared" si="2"/>
        <v>0</v>
      </c>
    </row>
    <row r="91" spans="1:12" x14ac:dyDescent="0.3">
      <c r="A91" s="355"/>
      <c r="B91" s="275"/>
      <c r="C91" s="274"/>
      <c r="D91" s="274"/>
      <c r="E91" s="274"/>
      <c r="F91" s="276"/>
      <c r="G91" s="281"/>
      <c r="H91" s="281"/>
      <c r="I91" s="282"/>
      <c r="J91" s="282"/>
      <c r="K91" s="283"/>
      <c r="L91" s="284" t="b">
        <f t="shared" si="2"/>
        <v>0</v>
      </c>
    </row>
    <row r="92" spans="1:12" x14ac:dyDescent="0.3">
      <c r="A92" s="355"/>
      <c r="B92" s="275"/>
      <c r="C92" s="274"/>
      <c r="D92" s="274"/>
      <c r="E92" s="274"/>
      <c r="F92" s="276"/>
      <c r="G92" s="281"/>
      <c r="H92" s="281"/>
      <c r="I92" s="282"/>
      <c r="J92" s="282"/>
      <c r="K92" s="283"/>
      <c r="L92" s="284" t="b">
        <f t="shared" si="2"/>
        <v>0</v>
      </c>
    </row>
    <row r="93" spans="1:12" x14ac:dyDescent="0.3">
      <c r="A93" s="355"/>
      <c r="B93" s="275"/>
      <c r="C93" s="274"/>
      <c r="D93" s="274"/>
      <c r="E93" s="274"/>
      <c r="F93" s="276"/>
      <c r="G93" s="281"/>
      <c r="H93" s="281"/>
      <c r="I93" s="282"/>
      <c r="J93" s="282"/>
      <c r="K93" s="283"/>
      <c r="L93" s="284" t="b">
        <f t="shared" si="2"/>
        <v>0</v>
      </c>
    </row>
    <row r="94" spans="1:12" x14ac:dyDescent="0.3">
      <c r="A94" s="355"/>
      <c r="B94" s="275"/>
      <c r="C94" s="274"/>
      <c r="D94" s="274"/>
      <c r="E94" s="274"/>
      <c r="F94" s="276"/>
      <c r="G94" s="281"/>
      <c r="H94" s="281"/>
      <c r="I94" s="282"/>
      <c r="J94" s="282"/>
      <c r="K94" s="283"/>
      <c r="L94" s="284" t="b">
        <f t="shared" si="2"/>
        <v>0</v>
      </c>
    </row>
    <row r="95" spans="1:12" x14ac:dyDescent="0.3">
      <c r="A95" s="355"/>
      <c r="B95" s="275"/>
      <c r="C95" s="274"/>
      <c r="D95" s="274"/>
      <c r="E95" s="274"/>
      <c r="F95" s="276"/>
      <c r="G95" s="281"/>
      <c r="H95" s="281"/>
      <c r="I95" s="282"/>
      <c r="J95" s="282"/>
      <c r="K95" s="283"/>
      <c r="L95" s="284" t="b">
        <f t="shared" si="2"/>
        <v>0</v>
      </c>
    </row>
    <row r="96" spans="1:12" x14ac:dyDescent="0.3">
      <c r="A96" s="355"/>
      <c r="B96" s="275"/>
      <c r="C96" s="274"/>
      <c r="D96" s="274"/>
      <c r="E96" s="274"/>
      <c r="F96" s="276"/>
      <c r="G96" s="281"/>
      <c r="H96" s="281"/>
      <c r="I96" s="282"/>
      <c r="J96" s="282"/>
      <c r="K96" s="283"/>
      <c r="L96" s="284" t="b">
        <f t="shared" si="2"/>
        <v>0</v>
      </c>
    </row>
    <row r="97" spans="1:12" x14ac:dyDescent="0.3">
      <c r="A97" s="355"/>
      <c r="B97" s="275"/>
      <c r="C97" s="274"/>
      <c r="D97" s="274"/>
      <c r="E97" s="274"/>
      <c r="F97" s="276"/>
      <c r="G97" s="281"/>
      <c r="H97" s="281"/>
      <c r="I97" s="282"/>
      <c r="J97" s="282"/>
      <c r="K97" s="283"/>
      <c r="L97" s="284" t="b">
        <f t="shared" si="2"/>
        <v>0</v>
      </c>
    </row>
    <row r="98" spans="1:12" x14ac:dyDescent="0.3">
      <c r="A98" s="355"/>
      <c r="B98" s="275"/>
      <c r="C98" s="274"/>
      <c r="D98" s="274"/>
      <c r="E98" s="274"/>
      <c r="F98" s="276"/>
      <c r="G98" s="281"/>
      <c r="H98" s="281"/>
      <c r="I98" s="282"/>
      <c r="J98" s="282"/>
      <c r="K98" s="283"/>
      <c r="L98" s="284" t="b">
        <f t="shared" si="2"/>
        <v>0</v>
      </c>
    </row>
    <row r="99" spans="1:12" x14ac:dyDescent="0.3">
      <c r="A99" s="355"/>
      <c r="B99" s="275"/>
      <c r="C99" s="274"/>
      <c r="D99" s="274"/>
      <c r="E99" s="274"/>
      <c r="F99" s="276"/>
      <c r="G99" s="281"/>
      <c r="H99" s="281"/>
      <c r="I99" s="282"/>
      <c r="J99" s="282"/>
      <c r="K99" s="283"/>
      <c r="L99" s="284" t="b">
        <f t="shared" si="2"/>
        <v>0</v>
      </c>
    </row>
    <row r="100" spans="1:12" x14ac:dyDescent="0.3">
      <c r="A100" s="355"/>
      <c r="B100" s="275"/>
      <c r="C100" s="274"/>
      <c r="D100" s="274"/>
      <c r="E100" s="274"/>
      <c r="F100" s="276"/>
      <c r="G100" s="281"/>
      <c r="H100" s="281"/>
      <c r="I100" s="282"/>
      <c r="J100" s="282"/>
      <c r="K100" s="283"/>
      <c r="L100" s="284" t="b">
        <f t="shared" si="2"/>
        <v>0</v>
      </c>
    </row>
    <row r="101" spans="1:12" x14ac:dyDescent="0.3">
      <c r="A101" s="355"/>
      <c r="B101" s="275"/>
      <c r="C101" s="274"/>
      <c r="D101" s="274"/>
      <c r="E101" s="274"/>
      <c r="F101" s="276"/>
      <c r="G101" s="281"/>
      <c r="H101" s="281"/>
      <c r="I101" s="282"/>
      <c r="J101" s="282"/>
      <c r="K101" s="283"/>
      <c r="L101" s="284" t="b">
        <f t="shared" si="2"/>
        <v>0</v>
      </c>
    </row>
    <row r="102" spans="1:12" x14ac:dyDescent="0.3">
      <c r="A102" s="355"/>
      <c r="B102" s="275"/>
      <c r="C102" s="274"/>
      <c r="D102" s="274"/>
      <c r="E102" s="274"/>
      <c r="F102" s="276"/>
      <c r="G102" s="281"/>
      <c r="H102" s="281"/>
      <c r="I102" s="282"/>
      <c r="J102" s="282"/>
      <c r="K102" s="283"/>
      <c r="L102" s="284" t="b">
        <f t="shared" si="2"/>
        <v>0</v>
      </c>
    </row>
    <row r="103" spans="1:12" x14ac:dyDescent="0.3">
      <c r="A103" s="355"/>
      <c r="B103" s="275"/>
      <c r="C103" s="274"/>
      <c r="D103" s="274"/>
      <c r="E103" s="274"/>
      <c r="F103" s="276"/>
      <c r="G103" s="281"/>
      <c r="H103" s="281"/>
      <c r="I103" s="282"/>
      <c r="J103" s="282"/>
      <c r="K103" s="283"/>
      <c r="L103" s="284" t="b">
        <f t="shared" si="2"/>
        <v>0</v>
      </c>
    </row>
    <row r="104" spans="1:12" x14ac:dyDescent="0.3">
      <c r="A104" s="355"/>
      <c r="B104" s="275"/>
      <c r="C104" s="274"/>
      <c r="D104" s="274"/>
      <c r="E104" s="274"/>
      <c r="F104" s="276"/>
      <c r="G104" s="281"/>
      <c r="H104" s="281"/>
      <c r="I104" s="282"/>
      <c r="J104" s="282"/>
      <c r="K104" s="283"/>
      <c r="L104" s="284" t="b">
        <f t="shared" si="2"/>
        <v>0</v>
      </c>
    </row>
    <row r="105" spans="1:12" x14ac:dyDescent="0.3">
      <c r="A105" s="355"/>
      <c r="B105" s="275"/>
      <c r="C105" s="274"/>
      <c r="D105" s="274"/>
      <c r="E105" s="274"/>
      <c r="F105" s="276"/>
      <c r="G105" s="281"/>
      <c r="H105" s="281"/>
      <c r="I105" s="282"/>
      <c r="J105" s="282"/>
      <c r="K105" s="283"/>
      <c r="L105" s="284" t="b">
        <f t="shared" si="2"/>
        <v>0</v>
      </c>
    </row>
    <row r="106" spans="1:12" x14ac:dyDescent="0.3">
      <c r="A106" s="355"/>
      <c r="B106" s="275"/>
      <c r="C106" s="274"/>
      <c r="D106" s="274"/>
      <c r="E106" s="274"/>
      <c r="F106" s="276"/>
      <c r="G106" s="281"/>
      <c r="H106" s="281"/>
      <c r="I106" s="282"/>
      <c r="J106" s="282"/>
      <c r="K106" s="283"/>
      <c r="L106" s="284" t="b">
        <f t="shared" si="2"/>
        <v>0</v>
      </c>
    </row>
    <row r="107" spans="1:12" x14ac:dyDescent="0.3">
      <c r="A107" s="356"/>
      <c r="B107" s="285"/>
      <c r="C107" s="286"/>
      <c r="D107" s="286"/>
      <c r="E107" s="286"/>
      <c r="F107" s="287"/>
      <c r="G107" s="288"/>
      <c r="H107" s="288"/>
      <c r="I107" s="289"/>
      <c r="J107" s="289"/>
      <c r="K107" s="290"/>
      <c r="L107" s="291" t="b">
        <f t="shared" si="2"/>
        <v>0</v>
      </c>
    </row>
  </sheetData>
  <mergeCells count="8">
    <mergeCell ref="B4:B6"/>
    <mergeCell ref="A4:A6"/>
    <mergeCell ref="L5:L6"/>
    <mergeCell ref="G4:H5"/>
    <mergeCell ref="I4:K5"/>
    <mergeCell ref="E4:F5"/>
    <mergeCell ref="D4:D6"/>
    <mergeCell ref="C4:C6"/>
  </mergeCells>
  <conditionalFormatting sqref="L7:L107">
    <cfRule type="cellIs" dxfId="62" priority="1" operator="equal">
      <formula>FALSE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10" operator="greaterThan" id="{9A33AC17-C362-4AB5-A48D-8AC29D393157}">
            <xm:f>Settings!$B$7</xm:f>
            <x14:dxf>
              <font>
                <color rgb="FF9C0006"/>
              </font>
            </x14:dxf>
          </x14:cfRule>
          <xm:sqref>G7:I107</xm:sqref>
        </x14:conditionalFormatting>
        <x14:conditionalFormatting xmlns:xm="http://schemas.microsoft.com/office/excel/2006/main">
          <x14:cfRule type="cellIs" priority="11" operator="greaterThan" id="{91B95170-EBFB-4A2A-A793-A170779B4056}">
            <xm:f>Settings!$B$8</xm:f>
            <x14:dxf>
              <font>
                <color rgb="FF9C0006"/>
              </font>
            </x14:dxf>
          </x14:cfRule>
          <xm:sqref>J7:J107</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2C903-809D-4CE3-8393-CA6ABAC003F6}">
  <sheetPr codeName="BatchResults">
    <tabColor rgb="FF687E67"/>
  </sheetPr>
  <dimension ref="A1:AE482"/>
  <sheetViews>
    <sheetView topLeftCell="I1" zoomScale="112" zoomScaleNormal="112" workbookViewId="0">
      <selection activeCell="Z7" sqref="Z7"/>
    </sheetView>
  </sheetViews>
  <sheetFormatPr defaultColWidth="9.109375" defaultRowHeight="13.8" x14ac:dyDescent="0.3"/>
  <cols>
    <col min="1" max="1" width="30" style="355" customWidth="1"/>
    <col min="2" max="2" width="11.33203125" style="274" customWidth="1"/>
    <col min="3" max="3" width="18.33203125" style="274" customWidth="1"/>
    <col min="4" max="4" width="10.6640625" style="275" customWidth="1"/>
    <col min="5" max="8" width="9.6640625" style="274" customWidth="1"/>
    <col min="9" max="9" width="9.6640625" style="276" customWidth="1"/>
    <col min="10" max="11" width="13.6640625" style="282" customWidth="1"/>
    <col min="12" max="13" width="13.6640625" style="274" customWidth="1"/>
    <col min="14" max="16" width="12.6640625" style="347" customWidth="1"/>
    <col min="17" max="17" width="12.6640625" style="276" customWidth="1"/>
    <col min="18" max="18" width="11.6640625" style="275" customWidth="1"/>
    <col min="19" max="22" width="11.6640625" style="274" customWidth="1"/>
    <col min="23" max="23" width="11.6640625" style="276" customWidth="1"/>
    <col min="24" max="25" width="76.33203125" style="273" customWidth="1"/>
    <col min="26" max="31" width="9.77734375" style="69" customWidth="1"/>
    <col min="32" max="16384" width="9.109375" style="69"/>
  </cols>
  <sheetData>
    <row r="1" spans="1:31" x14ac:dyDescent="0.3">
      <c r="A1" s="353" t="s">
        <v>980</v>
      </c>
      <c r="B1" s="150"/>
      <c r="C1" s="91" t="s">
        <v>1022</v>
      </c>
      <c r="D1" s="274" t="b">
        <v>1</v>
      </c>
      <c r="E1" s="150"/>
      <c r="F1" s="150"/>
      <c r="G1" s="150"/>
      <c r="H1" s="150"/>
      <c r="I1" s="150"/>
      <c r="J1" s="150"/>
      <c r="K1" s="150"/>
      <c r="L1" s="150"/>
      <c r="M1" s="150"/>
      <c r="N1" s="346"/>
      <c r="O1" s="346"/>
      <c r="P1" s="346"/>
      <c r="Q1" s="150"/>
      <c r="R1" s="150"/>
      <c r="S1" s="150"/>
      <c r="T1" s="150"/>
      <c r="U1" s="150"/>
      <c r="V1" s="150"/>
      <c r="W1" s="150"/>
      <c r="X1" s="69"/>
      <c r="Y1" s="69"/>
    </row>
    <row r="2" spans="1:31" x14ac:dyDescent="0.3">
      <c r="A2" s="354" t="s">
        <v>1183</v>
      </c>
      <c r="B2" s="150"/>
      <c r="C2" s="150"/>
      <c r="D2" s="150"/>
      <c r="E2" s="150"/>
      <c r="F2" s="150"/>
      <c r="G2" s="150"/>
      <c r="H2" s="150"/>
      <c r="I2" s="150"/>
      <c r="J2" s="150"/>
      <c r="K2" s="150"/>
      <c r="L2" s="150"/>
      <c r="M2" s="150"/>
      <c r="N2" s="346"/>
      <c r="O2" s="346"/>
      <c r="P2" s="346"/>
      <c r="Q2" s="150"/>
      <c r="R2" s="150"/>
      <c r="S2" s="150"/>
      <c r="T2" s="150"/>
      <c r="U2" s="150"/>
      <c r="V2" s="150"/>
      <c r="W2" s="150"/>
      <c r="X2" s="69"/>
      <c r="Y2" s="69"/>
    </row>
    <row r="3" spans="1:31" x14ac:dyDescent="0.3">
      <c r="A3" s="354"/>
      <c r="B3" s="150"/>
      <c r="C3" s="150"/>
      <c r="D3" s="150"/>
      <c r="E3" s="150"/>
      <c r="F3" s="150"/>
      <c r="G3" s="150"/>
      <c r="H3" s="150"/>
      <c r="I3" s="150"/>
      <c r="J3" s="150"/>
      <c r="K3" s="150"/>
      <c r="L3" s="150"/>
      <c r="M3" s="150"/>
      <c r="N3" s="346"/>
      <c r="O3" s="346"/>
      <c r="P3" s="346"/>
      <c r="Q3" s="150"/>
      <c r="R3" s="150"/>
      <c r="S3" s="150"/>
      <c r="T3" s="150"/>
      <c r="U3" s="150"/>
      <c r="V3" s="150"/>
      <c r="W3" s="150"/>
      <c r="X3" s="69"/>
      <c r="Y3" s="69"/>
    </row>
    <row r="4" spans="1:31" x14ac:dyDescent="0.3">
      <c r="A4" s="445" t="s">
        <v>627</v>
      </c>
      <c r="B4" s="424" t="s">
        <v>990</v>
      </c>
      <c r="C4" s="424" t="s">
        <v>1176</v>
      </c>
      <c r="D4" s="424" t="s">
        <v>664</v>
      </c>
      <c r="E4" s="424" t="s">
        <v>1175</v>
      </c>
      <c r="F4" s="424" t="s">
        <v>1021</v>
      </c>
      <c r="G4" s="424" t="s">
        <v>1174</v>
      </c>
      <c r="H4" s="409" t="s">
        <v>981</v>
      </c>
      <c r="I4" s="411"/>
      <c r="J4" s="396" t="s">
        <v>991</v>
      </c>
      <c r="K4" s="396"/>
      <c r="L4" s="396"/>
      <c r="M4" s="396"/>
      <c r="N4" s="396"/>
      <c r="O4" s="396"/>
      <c r="P4" s="396"/>
      <c r="Q4" s="396"/>
      <c r="R4" s="396" t="s">
        <v>983</v>
      </c>
      <c r="S4" s="396"/>
      <c r="T4" s="396"/>
      <c r="U4" s="396"/>
      <c r="V4" s="396"/>
      <c r="W4" s="396"/>
      <c r="X4" s="442" t="s">
        <v>1213</v>
      </c>
      <c r="Y4" s="442" t="s">
        <v>1214</v>
      </c>
      <c r="Z4" s="396" t="s">
        <v>1422</v>
      </c>
      <c r="AA4" s="396"/>
      <c r="AB4" s="396"/>
      <c r="AC4" s="396"/>
      <c r="AD4" s="396"/>
      <c r="AE4" s="396"/>
    </row>
    <row r="5" spans="1:31" x14ac:dyDescent="0.3">
      <c r="A5" s="446"/>
      <c r="B5" s="448"/>
      <c r="C5" s="448"/>
      <c r="D5" s="448"/>
      <c r="E5" s="448"/>
      <c r="F5" s="448"/>
      <c r="G5" s="448"/>
      <c r="H5" s="449"/>
      <c r="I5" s="450"/>
      <c r="J5" s="414" t="s">
        <v>659</v>
      </c>
      <c r="K5" s="415"/>
      <c r="L5" s="414" t="s">
        <v>658</v>
      </c>
      <c r="M5" s="415"/>
      <c r="N5" s="451" t="s">
        <v>667</v>
      </c>
      <c r="O5" s="451" t="s">
        <v>1168</v>
      </c>
      <c r="P5" s="451" t="s">
        <v>1171</v>
      </c>
      <c r="Q5" s="401" t="s">
        <v>982</v>
      </c>
      <c r="R5" s="414" t="s">
        <v>659</v>
      </c>
      <c r="S5" s="415"/>
      <c r="T5" s="414" t="s">
        <v>658</v>
      </c>
      <c r="U5" s="415"/>
      <c r="V5" s="414" t="s">
        <v>1024</v>
      </c>
      <c r="W5" s="415"/>
      <c r="X5" s="443"/>
      <c r="Y5" s="443"/>
      <c r="Z5" s="414" t="s">
        <v>659</v>
      </c>
      <c r="AA5" s="410"/>
      <c r="AB5" s="415"/>
      <c r="AC5" s="414" t="s">
        <v>658</v>
      </c>
      <c r="AD5" s="410"/>
      <c r="AE5" s="415"/>
    </row>
    <row r="6" spans="1:31" s="122" customFormat="1" ht="27.6" x14ac:dyDescent="0.3">
      <c r="A6" s="447"/>
      <c r="B6" s="425"/>
      <c r="C6" s="425"/>
      <c r="D6" s="425"/>
      <c r="E6" s="425"/>
      <c r="F6" s="425"/>
      <c r="G6" s="425"/>
      <c r="H6" s="345" t="s">
        <v>1173</v>
      </c>
      <c r="I6" s="345" t="s">
        <v>1003</v>
      </c>
      <c r="J6" s="345" t="s">
        <v>665</v>
      </c>
      <c r="K6" s="345" t="s">
        <v>666</v>
      </c>
      <c r="L6" s="345" t="s">
        <v>665</v>
      </c>
      <c r="M6" s="345" t="s">
        <v>666</v>
      </c>
      <c r="N6" s="451"/>
      <c r="O6" s="451"/>
      <c r="P6" s="451"/>
      <c r="Q6" s="401"/>
      <c r="R6" s="345" t="s">
        <v>987</v>
      </c>
      <c r="S6" s="345" t="s">
        <v>423</v>
      </c>
      <c r="T6" s="345" t="s">
        <v>987</v>
      </c>
      <c r="U6" s="345" t="s">
        <v>423</v>
      </c>
      <c r="V6" s="345" t="s">
        <v>988</v>
      </c>
      <c r="W6" s="345" t="s">
        <v>989</v>
      </c>
      <c r="X6" s="444"/>
      <c r="Y6" s="444"/>
      <c r="Z6" s="345" t="s">
        <v>1423</v>
      </c>
      <c r="AA6" s="345" t="s">
        <v>1424</v>
      </c>
      <c r="AB6" s="345" t="s">
        <v>1425</v>
      </c>
      <c r="AC6" s="345" t="s">
        <v>1423</v>
      </c>
      <c r="AD6" s="345" t="s">
        <v>1424</v>
      </c>
      <c r="AE6" s="345" t="s">
        <v>1425</v>
      </c>
    </row>
    <row r="7" spans="1:31" x14ac:dyDescent="0.3">
      <c r="A7" s="355" t="s">
        <v>1235</v>
      </c>
      <c r="B7" s="274" t="s">
        <v>1420</v>
      </c>
      <c r="C7" s="274" t="s">
        <v>1419</v>
      </c>
      <c r="D7" s="296" t="s">
        <v>684</v>
      </c>
      <c r="E7" s="297">
        <v>0</v>
      </c>
      <c r="F7" s="297">
        <v>5.125</v>
      </c>
      <c r="G7" s="297">
        <v>12</v>
      </c>
      <c r="H7" s="297" t="s">
        <v>967</v>
      </c>
      <c r="I7" s="298" t="s">
        <v>970</v>
      </c>
      <c r="J7" s="282">
        <v>0.11648566</v>
      </c>
      <c r="K7" s="282">
        <v>0.59701170000000003</v>
      </c>
      <c r="L7" s="274">
        <v>3.1870040000000002E-2</v>
      </c>
      <c r="M7" s="274">
        <v>0.32600755999999997</v>
      </c>
      <c r="N7" s="347">
        <v>0.12000812196875686</v>
      </c>
      <c r="O7" s="347">
        <v>0.43710615691947047</v>
      </c>
      <c r="P7" s="347">
        <v>0.52219623869618104</v>
      </c>
      <c r="Q7" s="276">
        <v>342.5</v>
      </c>
      <c r="R7" s="275">
        <v>-16785.000000000007</v>
      </c>
      <c r="S7" s="274">
        <v>1865.9999999999998</v>
      </c>
      <c r="T7" s="274">
        <v>1</v>
      </c>
      <c r="U7" s="274">
        <v>461.697</v>
      </c>
      <c r="V7" s="274">
        <v>1609.5000000000002</v>
      </c>
      <c r="W7" s="276">
        <v>89.999999999999972</v>
      </c>
      <c r="X7" s="337" t="s">
        <v>1250</v>
      </c>
      <c r="Y7" s="337" t="s">
        <v>1251</v>
      </c>
      <c r="Z7" s="69">
        <v>112446.31717289719</v>
      </c>
      <c r="AA7" s="69">
        <v>-2117.8890186915892</v>
      </c>
      <c r="AB7" s="69">
        <v>126072</v>
      </c>
      <c r="AC7" s="69">
        <v>13145.356308411216</v>
      </c>
      <c r="AD7" s="69">
        <v>-1545.8329439252336</v>
      </c>
      <c r="AE7" s="69">
        <v>33785</v>
      </c>
    </row>
    <row r="8" spans="1:31" x14ac:dyDescent="0.3">
      <c r="A8" s="355" t="s">
        <v>1235</v>
      </c>
      <c r="B8" s="274" t="s">
        <v>1420</v>
      </c>
      <c r="C8" s="274" t="s">
        <v>1419</v>
      </c>
      <c r="D8" s="275" t="s">
        <v>684</v>
      </c>
      <c r="E8" s="274">
        <v>0</v>
      </c>
      <c r="F8" s="274">
        <v>5.125</v>
      </c>
      <c r="G8" s="274">
        <v>12.5</v>
      </c>
      <c r="H8" s="274" t="s">
        <v>967</v>
      </c>
      <c r="I8" s="276" t="s">
        <v>970</v>
      </c>
      <c r="J8" s="282">
        <v>0.12662520999999999</v>
      </c>
      <c r="K8" s="282">
        <v>0.62099543000000001</v>
      </c>
      <c r="L8" s="274">
        <v>3.7074740000000002E-2</v>
      </c>
      <c r="M8" s="274">
        <v>0.34250169000000003</v>
      </c>
      <c r="N8" s="347">
        <v>0.11365769100646185</v>
      </c>
      <c r="O8" s="347">
        <v>0.47017377714115499</v>
      </c>
      <c r="P8" s="347">
        <v>0.53416241095650063</v>
      </c>
      <c r="Q8" s="276">
        <v>352.5</v>
      </c>
      <c r="R8" s="275">
        <v>-16785.000000000007</v>
      </c>
      <c r="S8" s="274">
        <v>1865.9999999999998</v>
      </c>
      <c r="T8" s="274">
        <v>1</v>
      </c>
      <c r="U8" s="274">
        <v>461.697</v>
      </c>
      <c r="V8" s="274">
        <v>1609.5000000000002</v>
      </c>
      <c r="W8" s="276">
        <v>89.999999999999972</v>
      </c>
      <c r="X8" s="337" t="s">
        <v>1253</v>
      </c>
      <c r="Y8" s="337" t="s">
        <v>1254</v>
      </c>
      <c r="Z8" s="69">
        <v>117529.46625070901</v>
      </c>
      <c r="AA8" s="69">
        <v>-1969.1701644923428</v>
      </c>
      <c r="AB8" s="69">
        <v>128975</v>
      </c>
      <c r="AC8" s="69">
        <v>15842.768009075438</v>
      </c>
      <c r="AD8" s="69">
        <v>-1647.6687464549063</v>
      </c>
      <c r="AE8" s="69">
        <v>34573</v>
      </c>
    </row>
    <row r="9" spans="1:31" x14ac:dyDescent="0.3">
      <c r="A9" s="355" t="s">
        <v>1235</v>
      </c>
      <c r="B9" s="274" t="s">
        <v>1420</v>
      </c>
      <c r="C9" s="274" t="s">
        <v>1419</v>
      </c>
      <c r="D9" s="275" t="s">
        <v>684</v>
      </c>
      <c r="E9" s="274">
        <v>0</v>
      </c>
      <c r="F9" s="274">
        <v>5.125</v>
      </c>
      <c r="G9" s="274">
        <v>13</v>
      </c>
      <c r="H9" s="274" t="s">
        <v>967</v>
      </c>
      <c r="I9" s="276" t="s">
        <v>970</v>
      </c>
      <c r="J9" s="282">
        <v>0.12412027</v>
      </c>
      <c r="K9" s="282">
        <v>0.61520268</v>
      </c>
      <c r="L9" s="274">
        <v>3.5989849999999997E-2</v>
      </c>
      <c r="M9" s="274">
        <v>0.33890004000000001</v>
      </c>
      <c r="N9" s="347">
        <v>0.10794557019368049</v>
      </c>
      <c r="O9" s="347">
        <v>0.46210613490683689</v>
      </c>
      <c r="P9" s="347">
        <v>0.53148647513735858</v>
      </c>
      <c r="Q9" s="276">
        <v>362.5</v>
      </c>
      <c r="R9" s="275">
        <v>-16785.000000000007</v>
      </c>
      <c r="S9" s="274">
        <v>1865.9999999999998</v>
      </c>
      <c r="T9" s="274">
        <v>1</v>
      </c>
      <c r="U9" s="274">
        <v>461.697</v>
      </c>
      <c r="V9" s="274">
        <v>1609.5000000000002</v>
      </c>
      <c r="W9" s="276">
        <v>89.999999999999972</v>
      </c>
      <c r="X9" s="337" t="s">
        <v>1255</v>
      </c>
      <c r="Y9" s="337" t="s">
        <v>1256</v>
      </c>
      <c r="Z9" s="69">
        <v>116402.2134583563</v>
      </c>
      <c r="AA9" s="69">
        <v>-2002.1715388858249</v>
      </c>
      <c r="AB9" s="69">
        <v>128323</v>
      </c>
      <c r="AC9" s="69">
        <v>15138.711527854381</v>
      </c>
      <c r="AD9" s="69">
        <v>-1624.1831218974073</v>
      </c>
      <c r="AE9" s="69">
        <v>34398</v>
      </c>
    </row>
    <row r="10" spans="1:31" x14ac:dyDescent="0.3">
      <c r="A10" s="355" t="s">
        <v>1235</v>
      </c>
      <c r="B10" s="274" t="s">
        <v>1420</v>
      </c>
      <c r="C10" s="274" t="s">
        <v>1419</v>
      </c>
      <c r="D10" s="275" t="s">
        <v>686</v>
      </c>
      <c r="E10" s="274">
        <v>0</v>
      </c>
      <c r="F10" s="274">
        <v>5.125</v>
      </c>
      <c r="G10" s="274">
        <v>12</v>
      </c>
      <c r="H10" s="274" t="s">
        <v>967</v>
      </c>
      <c r="I10" s="276" t="s">
        <v>970</v>
      </c>
      <c r="J10" s="282">
        <v>8.9502230000000002E-2</v>
      </c>
      <c r="K10" s="282">
        <v>0.44948536</v>
      </c>
      <c r="L10" s="274">
        <v>2.412332E-2</v>
      </c>
      <c r="M10" s="274">
        <v>0.24430888000000001</v>
      </c>
      <c r="N10" s="347">
        <v>0.11737435061950763</v>
      </c>
      <c r="O10" s="347">
        <v>0.29674553757073829</v>
      </c>
      <c r="P10" s="347">
        <v>0.37752966121052089</v>
      </c>
      <c r="Q10" s="276">
        <v>428.125</v>
      </c>
      <c r="R10" s="275">
        <v>-16785.000000000007</v>
      </c>
      <c r="S10" s="274">
        <v>1865.9999999999998</v>
      </c>
      <c r="T10" s="274">
        <v>1</v>
      </c>
      <c r="U10" s="274">
        <v>461.697</v>
      </c>
      <c r="V10" s="274">
        <v>1609.5000000000002</v>
      </c>
      <c r="W10" s="276">
        <v>89.999999999999972</v>
      </c>
      <c r="X10" s="337" t="s">
        <v>1257</v>
      </c>
      <c r="Y10" s="337" t="s">
        <v>1258</v>
      </c>
      <c r="Z10" s="69">
        <v>114824.08703271027</v>
      </c>
      <c r="AA10" s="69">
        <v>-1915.0146028037384</v>
      </c>
      <c r="AB10" s="69">
        <v>126518</v>
      </c>
      <c r="AC10" s="69">
        <v>14176.653621495327</v>
      </c>
      <c r="AD10" s="69">
        <v>-1532.6390186915887</v>
      </c>
      <c r="AE10" s="69">
        <v>33725</v>
      </c>
    </row>
    <row r="11" spans="1:31" x14ac:dyDescent="0.3">
      <c r="A11" s="355" t="s">
        <v>1235</v>
      </c>
      <c r="B11" s="274" t="s">
        <v>1420</v>
      </c>
      <c r="C11" s="274" t="s">
        <v>1419</v>
      </c>
      <c r="D11" s="275" t="s">
        <v>686</v>
      </c>
      <c r="E11" s="274">
        <v>0</v>
      </c>
      <c r="F11" s="274">
        <v>5.125</v>
      </c>
      <c r="G11" s="274">
        <v>12.5</v>
      </c>
      <c r="H11" s="274" t="s">
        <v>967</v>
      </c>
      <c r="I11" s="276" t="s">
        <v>970</v>
      </c>
      <c r="J11" s="282">
        <v>9.686169E-2</v>
      </c>
      <c r="K11" s="282">
        <v>0.46735711000000002</v>
      </c>
      <c r="L11" s="274">
        <v>2.776437E-2</v>
      </c>
      <c r="M11" s="274">
        <v>0.25642741000000002</v>
      </c>
      <c r="N11" s="347">
        <v>0.11117722470881763</v>
      </c>
      <c r="O11" s="347">
        <v>0.31779714820378979</v>
      </c>
      <c r="P11" s="347">
        <v>0.38594566749484099</v>
      </c>
      <c r="Q11" s="276">
        <v>440.625</v>
      </c>
      <c r="R11" s="275">
        <v>-16785.000000000007</v>
      </c>
      <c r="S11" s="274">
        <v>1865.9999999999998</v>
      </c>
      <c r="T11" s="274">
        <v>1</v>
      </c>
      <c r="U11" s="274">
        <v>461.697</v>
      </c>
      <c r="V11" s="274">
        <v>1609.5000000000002</v>
      </c>
      <c r="W11" s="276">
        <v>89.999999999999972</v>
      </c>
      <c r="X11" s="337" t="s">
        <v>1259</v>
      </c>
      <c r="Y11" s="337" t="s">
        <v>1260</v>
      </c>
      <c r="Z11" s="69">
        <v>119678.5422575156</v>
      </c>
      <c r="AA11" s="69">
        <v>-1767.3635847986388</v>
      </c>
      <c r="AB11" s="69">
        <v>129351</v>
      </c>
      <c r="AC11" s="69">
        <v>16931.364719228586</v>
      </c>
      <c r="AD11" s="69">
        <v>-1627.6409529211569</v>
      </c>
      <c r="AE11" s="69">
        <v>34491</v>
      </c>
    </row>
    <row r="12" spans="1:31" x14ac:dyDescent="0.3">
      <c r="A12" s="355" t="s">
        <v>1235</v>
      </c>
      <c r="B12" s="274" t="s">
        <v>1420</v>
      </c>
      <c r="C12" s="274" t="s">
        <v>1419</v>
      </c>
      <c r="D12" s="275" t="s">
        <v>686</v>
      </c>
      <c r="E12" s="274">
        <v>0</v>
      </c>
      <c r="F12" s="274">
        <v>5.125</v>
      </c>
      <c r="G12" s="274">
        <v>13</v>
      </c>
      <c r="H12" s="274" t="s">
        <v>967</v>
      </c>
      <c r="I12" s="276" t="s">
        <v>970</v>
      </c>
      <c r="J12" s="282">
        <v>9.5342869999999996E-2</v>
      </c>
      <c r="K12" s="282">
        <v>0.46350727000000003</v>
      </c>
      <c r="L12" s="274">
        <v>2.698484E-2</v>
      </c>
      <c r="M12" s="274">
        <v>0.25375796</v>
      </c>
      <c r="N12" s="347">
        <v>0.10560167216815305</v>
      </c>
      <c r="O12" s="347">
        <v>0.31280284011317239</v>
      </c>
      <c r="P12" s="347">
        <v>0.38398404477467307</v>
      </c>
      <c r="Q12" s="276">
        <v>453.125</v>
      </c>
      <c r="R12" s="275">
        <v>-16785.000000000007</v>
      </c>
      <c r="S12" s="274">
        <v>1865.9999999999998</v>
      </c>
      <c r="T12" s="274">
        <v>1</v>
      </c>
      <c r="U12" s="274">
        <v>461.697</v>
      </c>
      <c r="V12" s="274">
        <v>1609.5000000000002</v>
      </c>
      <c r="W12" s="276">
        <v>89.999999999999972</v>
      </c>
      <c r="X12" s="337" t="s">
        <v>1261</v>
      </c>
      <c r="Y12" s="337" t="s">
        <v>1262</v>
      </c>
      <c r="Z12" s="69">
        <v>118550.36458907886</v>
      </c>
      <c r="AA12" s="69">
        <v>-1805.8240485383346</v>
      </c>
      <c r="AB12" s="69">
        <v>128717</v>
      </c>
      <c r="AC12" s="69">
        <v>16267.70601213458</v>
      </c>
      <c r="AD12" s="69">
        <v>-1604.1941533370104</v>
      </c>
      <c r="AE12" s="69">
        <v>34301</v>
      </c>
    </row>
    <row r="13" spans="1:31" x14ac:dyDescent="0.3">
      <c r="A13" s="355" t="s">
        <v>1236</v>
      </c>
      <c r="B13" s="274" t="s">
        <v>1420</v>
      </c>
      <c r="C13" s="274" t="s">
        <v>1419</v>
      </c>
      <c r="D13" s="275" t="s">
        <v>684</v>
      </c>
      <c r="E13" s="274">
        <v>0</v>
      </c>
      <c r="F13" s="274">
        <v>5.125</v>
      </c>
      <c r="G13" s="274">
        <v>12</v>
      </c>
      <c r="H13" s="274" t="s">
        <v>967</v>
      </c>
      <c r="I13" s="276" t="s">
        <v>970</v>
      </c>
      <c r="J13" s="282">
        <v>0.21070098000000001</v>
      </c>
      <c r="K13" s="282">
        <v>0.96003256000000003</v>
      </c>
      <c r="L13" s="274">
        <v>2.6054130000000002E-2</v>
      </c>
      <c r="M13" s="274">
        <v>0.28034977999999999</v>
      </c>
      <c r="N13" s="347">
        <v>0.10379080818919512</v>
      </c>
      <c r="O13" s="347">
        <v>0.58012584798328337</v>
      </c>
      <c r="P13" s="347">
        <v>0.63851456407240004</v>
      </c>
      <c r="Q13" s="276">
        <v>342.5</v>
      </c>
      <c r="R13" s="275">
        <v>-22707.000000000007</v>
      </c>
      <c r="S13" s="274">
        <v>2622</v>
      </c>
      <c r="T13" s="274">
        <v>1</v>
      </c>
      <c r="U13" s="274">
        <v>410.10699999999997</v>
      </c>
      <c r="V13" s="274">
        <v>1392</v>
      </c>
      <c r="W13" s="276">
        <v>335.99999999999994</v>
      </c>
      <c r="X13" s="337" t="s">
        <v>1263</v>
      </c>
      <c r="Y13" s="337" t="s">
        <v>1264</v>
      </c>
      <c r="Z13" s="69">
        <v>169934.03738317758</v>
      </c>
      <c r="AA13" s="69">
        <v>-2119.3469626168226</v>
      </c>
      <c r="AB13" s="69">
        <v>181084</v>
      </c>
      <c r="AC13" s="69">
        <v>10360.308995327103</v>
      </c>
      <c r="AD13" s="69">
        <v>-1348.410046728972</v>
      </c>
      <c r="AE13" s="69">
        <v>29872</v>
      </c>
    </row>
    <row r="14" spans="1:31" x14ac:dyDescent="0.3">
      <c r="A14" s="355" t="s">
        <v>1236</v>
      </c>
      <c r="B14" s="274" t="s">
        <v>1420</v>
      </c>
      <c r="C14" s="274" t="s">
        <v>1419</v>
      </c>
      <c r="D14" s="275" t="s">
        <v>684</v>
      </c>
      <c r="E14" s="274">
        <v>0</v>
      </c>
      <c r="F14" s="274">
        <v>5.125</v>
      </c>
      <c r="G14" s="274">
        <v>12.5</v>
      </c>
      <c r="H14" s="274" t="s">
        <v>967</v>
      </c>
      <c r="I14" s="276" t="s">
        <v>970</v>
      </c>
      <c r="J14" s="282">
        <v>0.22636555</v>
      </c>
      <c r="K14" s="282">
        <v>0.99537472000000005</v>
      </c>
      <c r="L14" s="274">
        <v>3.0440390000000001E-2</v>
      </c>
      <c r="M14" s="274">
        <v>0.29456907999999998</v>
      </c>
      <c r="N14" s="347">
        <v>9.8298543573156177E-2</v>
      </c>
      <c r="O14" s="347">
        <v>0.61325026969897201</v>
      </c>
      <c r="P14" s="347">
        <v>0.65294107262554191</v>
      </c>
      <c r="Q14" s="276">
        <v>352.5</v>
      </c>
      <c r="R14" s="275">
        <v>-22707.000000000007</v>
      </c>
      <c r="S14" s="274">
        <v>2622</v>
      </c>
      <c r="T14" s="274">
        <v>1</v>
      </c>
      <c r="U14" s="274">
        <v>410.10699999999997</v>
      </c>
      <c r="V14" s="274">
        <v>1392</v>
      </c>
      <c r="W14" s="276">
        <v>335.99999999999994</v>
      </c>
      <c r="X14" s="337" t="s">
        <v>1265</v>
      </c>
      <c r="Y14" s="337" t="s">
        <v>1266</v>
      </c>
      <c r="Z14" s="69">
        <v>176033.05161656268</v>
      </c>
      <c r="AA14" s="69">
        <v>-1925.6284741917186</v>
      </c>
      <c r="AB14" s="69">
        <v>185084</v>
      </c>
      <c r="AC14" s="69">
        <v>12652.396483267159</v>
      </c>
      <c r="AD14" s="69">
        <v>-1470.5473624503686</v>
      </c>
      <c r="AE14" s="69">
        <v>30606</v>
      </c>
    </row>
    <row r="15" spans="1:31" x14ac:dyDescent="0.3">
      <c r="A15" s="355" t="s">
        <v>1236</v>
      </c>
      <c r="B15" s="274" t="s">
        <v>1420</v>
      </c>
      <c r="C15" s="274" t="s">
        <v>1419</v>
      </c>
      <c r="D15" s="275" t="s">
        <v>684</v>
      </c>
      <c r="E15" s="274">
        <v>0</v>
      </c>
      <c r="F15" s="274">
        <v>5.125</v>
      </c>
      <c r="G15" s="274">
        <v>13</v>
      </c>
      <c r="H15" s="274" t="s">
        <v>967</v>
      </c>
      <c r="I15" s="276" t="s">
        <v>970</v>
      </c>
      <c r="J15" s="282">
        <v>0.22278925999999999</v>
      </c>
      <c r="K15" s="282">
        <v>0.98721340999999996</v>
      </c>
      <c r="L15" s="274">
        <v>2.9309559999999998E-2</v>
      </c>
      <c r="M15" s="274">
        <v>0.29103242000000001</v>
      </c>
      <c r="N15" s="347">
        <v>9.3358330978318249E-2</v>
      </c>
      <c r="O15" s="347">
        <v>0.60573454734218302</v>
      </c>
      <c r="P15" s="347">
        <v>0.64975712158695398</v>
      </c>
      <c r="Q15" s="276">
        <v>362.5</v>
      </c>
      <c r="R15" s="275">
        <v>-22707.000000000007</v>
      </c>
      <c r="S15" s="274">
        <v>2622</v>
      </c>
      <c r="T15" s="274">
        <v>1</v>
      </c>
      <c r="U15" s="274">
        <v>410.10699999999997</v>
      </c>
      <c r="V15" s="274">
        <v>1392</v>
      </c>
      <c r="W15" s="276">
        <v>335.99999999999994</v>
      </c>
      <c r="X15" s="337" t="s">
        <v>1267</v>
      </c>
      <c r="Y15" s="337" t="s">
        <v>1268</v>
      </c>
      <c r="Z15" s="69">
        <v>174649.39271924985</v>
      </c>
      <c r="AA15" s="69">
        <v>-1972.2564809707671</v>
      </c>
      <c r="AB15" s="69">
        <v>184185</v>
      </c>
      <c r="AC15" s="69">
        <v>12132.267512410366</v>
      </c>
      <c r="AD15" s="69">
        <v>-1458.6618863761721</v>
      </c>
      <c r="AE15" s="69">
        <v>30451</v>
      </c>
    </row>
    <row r="16" spans="1:31" x14ac:dyDescent="0.3">
      <c r="A16" s="355" t="s">
        <v>1236</v>
      </c>
      <c r="B16" s="274" t="s">
        <v>1420</v>
      </c>
      <c r="C16" s="274" t="s">
        <v>1419</v>
      </c>
      <c r="D16" s="275" t="s">
        <v>686</v>
      </c>
      <c r="E16" s="274">
        <v>0</v>
      </c>
      <c r="F16" s="274">
        <v>5.125</v>
      </c>
      <c r="G16" s="274">
        <v>12</v>
      </c>
      <c r="H16" s="274" t="s">
        <v>967</v>
      </c>
      <c r="I16" s="276" t="s">
        <v>970</v>
      </c>
      <c r="J16" s="282">
        <v>0.16218109999999999</v>
      </c>
      <c r="K16" s="282">
        <v>0.72341774999999997</v>
      </c>
      <c r="L16" s="274">
        <v>1.9608069999999998E-2</v>
      </c>
      <c r="M16" s="274">
        <v>0.21002185000000001</v>
      </c>
      <c r="N16" s="347">
        <v>0.10151295188714173</v>
      </c>
      <c r="O16" s="347">
        <v>0.39244513721577501</v>
      </c>
      <c r="P16" s="347">
        <v>0.46265491127334352</v>
      </c>
      <c r="Q16" s="276">
        <v>428.125</v>
      </c>
      <c r="R16" s="275">
        <v>-22707.000000000007</v>
      </c>
      <c r="S16" s="274">
        <v>2622</v>
      </c>
      <c r="T16" s="274">
        <v>1</v>
      </c>
      <c r="U16" s="274">
        <v>410.10699999999997</v>
      </c>
      <c r="V16" s="274">
        <v>1392</v>
      </c>
      <c r="W16" s="276">
        <v>335.99999999999994</v>
      </c>
      <c r="X16" s="337" t="s">
        <v>1269</v>
      </c>
      <c r="Y16" s="337" t="s">
        <v>1270</v>
      </c>
      <c r="Z16" s="69">
        <v>172694.0823598131</v>
      </c>
      <c r="AA16" s="69">
        <v>-1874.8382009345794</v>
      </c>
      <c r="AB16" s="69">
        <v>181927</v>
      </c>
      <c r="AC16" s="69">
        <v>11268.954439252337</v>
      </c>
      <c r="AD16" s="69">
        <v>-1362.2844626168223</v>
      </c>
      <c r="AE16" s="69">
        <v>29826</v>
      </c>
    </row>
    <row r="17" spans="1:31" x14ac:dyDescent="0.3">
      <c r="A17" s="355" t="s">
        <v>1236</v>
      </c>
      <c r="B17" s="274" t="s">
        <v>1420</v>
      </c>
      <c r="C17" s="274" t="s">
        <v>1419</v>
      </c>
      <c r="D17" s="275" t="s">
        <v>686</v>
      </c>
      <c r="E17" s="274">
        <v>0</v>
      </c>
      <c r="F17" s="274">
        <v>5.125</v>
      </c>
      <c r="G17" s="274">
        <v>12.5</v>
      </c>
      <c r="H17" s="274" t="s">
        <v>967</v>
      </c>
      <c r="I17" s="276" t="s">
        <v>970</v>
      </c>
      <c r="J17" s="282">
        <v>0.17385312</v>
      </c>
      <c r="K17" s="282">
        <v>0.75020255999999996</v>
      </c>
      <c r="L17" s="274">
        <v>2.2903179999999999E-2</v>
      </c>
      <c r="M17" s="274">
        <v>0.22100549</v>
      </c>
      <c r="N17" s="347">
        <v>9.6153275423842263E-2</v>
      </c>
      <c r="O17" s="347">
        <v>0.41348132836559282</v>
      </c>
      <c r="P17" s="347">
        <v>0.47263179858532994</v>
      </c>
      <c r="Q17" s="276">
        <v>440.625</v>
      </c>
      <c r="R17" s="275">
        <v>-22707.000000000007</v>
      </c>
      <c r="S17" s="274">
        <v>2622</v>
      </c>
      <c r="T17" s="274">
        <v>1</v>
      </c>
      <c r="U17" s="274">
        <v>410.10699999999997</v>
      </c>
      <c r="V17" s="274">
        <v>1392</v>
      </c>
      <c r="W17" s="276">
        <v>335.99999999999994</v>
      </c>
      <c r="X17" s="337" t="s">
        <v>1271</v>
      </c>
      <c r="Y17" s="337" t="s">
        <v>1272</v>
      </c>
      <c r="Z17" s="69">
        <v>178476.60805445263</v>
      </c>
      <c r="AA17" s="69">
        <v>-1688.5456608054453</v>
      </c>
      <c r="AB17" s="69">
        <v>185745</v>
      </c>
      <c r="AC17" s="69">
        <v>13620.120249574589</v>
      </c>
      <c r="AD17" s="69">
        <v>-1454.8400453771978</v>
      </c>
      <c r="AE17" s="69">
        <v>30534</v>
      </c>
    </row>
    <row r="18" spans="1:31" x14ac:dyDescent="0.3">
      <c r="A18" s="355" t="s">
        <v>1236</v>
      </c>
      <c r="B18" s="274" t="s">
        <v>1420</v>
      </c>
      <c r="C18" s="274" t="s">
        <v>1419</v>
      </c>
      <c r="D18" s="275" t="s">
        <v>686</v>
      </c>
      <c r="E18" s="274">
        <v>0</v>
      </c>
      <c r="F18" s="274">
        <v>5.125</v>
      </c>
      <c r="G18" s="274">
        <v>13</v>
      </c>
      <c r="H18" s="274" t="s">
        <v>967</v>
      </c>
      <c r="I18" s="276" t="s">
        <v>970</v>
      </c>
      <c r="J18" s="282">
        <v>0.170847</v>
      </c>
      <c r="K18" s="282">
        <v>0.74350552999999997</v>
      </c>
      <c r="L18" s="274">
        <v>2.216624E-2</v>
      </c>
      <c r="M18" s="274">
        <v>0.21849625</v>
      </c>
      <c r="N18" s="347">
        <v>9.1331175929213443E-2</v>
      </c>
      <c r="O18" s="347">
        <v>0.40850273397595271</v>
      </c>
      <c r="P18" s="347">
        <v>0.47044238627720392</v>
      </c>
      <c r="Q18" s="276">
        <v>453.125</v>
      </c>
      <c r="R18" s="275">
        <v>-22707.000000000007</v>
      </c>
      <c r="S18" s="274">
        <v>2622</v>
      </c>
      <c r="T18" s="274">
        <v>1</v>
      </c>
      <c r="U18" s="274">
        <v>410.10699999999997</v>
      </c>
      <c r="V18" s="274">
        <v>1392</v>
      </c>
      <c r="W18" s="276">
        <v>335.99999999999994</v>
      </c>
      <c r="X18" s="337" t="s">
        <v>1273</v>
      </c>
      <c r="Y18" s="337" t="s">
        <v>1274</v>
      </c>
      <c r="Z18" s="69">
        <v>177202.52895752896</v>
      </c>
      <c r="AA18" s="69">
        <v>-1729.356315499173</v>
      </c>
      <c r="AB18" s="69">
        <v>184904</v>
      </c>
      <c r="AC18" s="69">
        <v>13022.962493105348</v>
      </c>
      <c r="AD18" s="69">
        <v>-1438.1147269718697</v>
      </c>
      <c r="AE18" s="69">
        <v>30380</v>
      </c>
    </row>
    <row r="19" spans="1:31" x14ac:dyDescent="0.3">
      <c r="A19" s="355" t="s">
        <v>1237</v>
      </c>
      <c r="B19" s="274" t="s">
        <v>1420</v>
      </c>
      <c r="C19" s="274" t="s">
        <v>1419</v>
      </c>
      <c r="D19" s="275" t="s">
        <v>684</v>
      </c>
      <c r="E19" s="274">
        <v>0</v>
      </c>
      <c r="F19" s="274">
        <v>5.125</v>
      </c>
      <c r="G19" s="274">
        <v>12</v>
      </c>
      <c r="H19" s="274" t="s">
        <v>967</v>
      </c>
      <c r="I19" s="276" t="s">
        <v>970</v>
      </c>
      <c r="J19" s="282">
        <v>7.5365550000000003E-2</v>
      </c>
      <c r="K19" s="282">
        <v>0.42321798999999999</v>
      </c>
      <c r="L19" s="274">
        <v>2.603579E-2</v>
      </c>
      <c r="M19" s="274">
        <v>0.28023156999999999</v>
      </c>
      <c r="N19" s="347">
        <v>0.11531069314984932</v>
      </c>
      <c r="O19" s="347">
        <v>0.33113234466050218</v>
      </c>
      <c r="P19" s="347">
        <v>0.42485886111977877</v>
      </c>
      <c r="Q19" s="276">
        <v>342.5</v>
      </c>
      <c r="R19" s="275">
        <v>-12311.999999999998</v>
      </c>
      <c r="S19" s="274">
        <v>1440</v>
      </c>
      <c r="T19" s="274">
        <v>1</v>
      </c>
      <c r="U19" s="274">
        <v>409.447</v>
      </c>
      <c r="V19" s="274">
        <v>1546.5</v>
      </c>
      <c r="W19" s="276">
        <v>5.9999999999999503</v>
      </c>
      <c r="X19" s="337" t="s">
        <v>1275</v>
      </c>
      <c r="Y19" s="337" t="s">
        <v>1276</v>
      </c>
      <c r="Z19" s="69">
        <v>81785.158294392517</v>
      </c>
      <c r="AA19" s="69">
        <v>-2055.9970794392525</v>
      </c>
      <c r="AB19" s="69">
        <v>96698</v>
      </c>
      <c r="AC19" s="69">
        <v>10350.520443925234</v>
      </c>
      <c r="AD19" s="69">
        <v>-1347.410046728972</v>
      </c>
      <c r="AE19" s="69">
        <v>29863</v>
      </c>
    </row>
    <row r="20" spans="1:31" x14ac:dyDescent="0.3">
      <c r="A20" s="355" t="s">
        <v>1237</v>
      </c>
      <c r="B20" s="274" t="s">
        <v>1420</v>
      </c>
      <c r="C20" s="274" t="s">
        <v>1419</v>
      </c>
      <c r="D20" s="275" t="s">
        <v>684</v>
      </c>
      <c r="E20" s="274">
        <v>0</v>
      </c>
      <c r="F20" s="274">
        <v>5.125</v>
      </c>
      <c r="G20" s="274">
        <v>12.5</v>
      </c>
      <c r="H20" s="274" t="s">
        <v>967</v>
      </c>
      <c r="I20" s="276" t="s">
        <v>970</v>
      </c>
      <c r="J20" s="282">
        <v>8.2367019999999999E-2</v>
      </c>
      <c r="K20" s="282">
        <v>0.44066935000000002</v>
      </c>
      <c r="L20" s="274">
        <v>3.041959E-2</v>
      </c>
      <c r="M20" s="274">
        <v>0.29445689000000003</v>
      </c>
      <c r="N20" s="347">
        <v>0.10920883450853883</v>
      </c>
      <c r="O20" s="347">
        <v>0.35971499818634534</v>
      </c>
      <c r="P20" s="347">
        <v>0.43491041560342047</v>
      </c>
      <c r="Q20" s="276">
        <v>352.5</v>
      </c>
      <c r="R20" s="275">
        <v>-12311.999999999998</v>
      </c>
      <c r="S20" s="274">
        <v>1440</v>
      </c>
      <c r="T20" s="274">
        <v>1</v>
      </c>
      <c r="U20" s="274">
        <v>409.447</v>
      </c>
      <c r="V20" s="274">
        <v>1546.5</v>
      </c>
      <c r="W20" s="276">
        <v>5.9999999999999503</v>
      </c>
      <c r="X20" s="337" t="s">
        <v>1277</v>
      </c>
      <c r="Y20" s="337" t="s">
        <v>1278</v>
      </c>
      <c r="Z20" s="69">
        <v>86275.327850255242</v>
      </c>
      <c r="AA20" s="69">
        <v>-1929.1979580260922</v>
      </c>
      <c r="AB20" s="69">
        <v>98965</v>
      </c>
      <c r="AC20" s="69">
        <v>12642.821894498014</v>
      </c>
      <c r="AD20" s="69">
        <v>-1470.1219512195119</v>
      </c>
      <c r="AE20" s="69">
        <v>30599</v>
      </c>
    </row>
    <row r="21" spans="1:31" x14ac:dyDescent="0.3">
      <c r="A21" s="355" t="s">
        <v>1237</v>
      </c>
      <c r="B21" s="274" t="s">
        <v>1420</v>
      </c>
      <c r="C21" s="274" t="s">
        <v>1419</v>
      </c>
      <c r="D21" s="275" t="s">
        <v>684</v>
      </c>
      <c r="E21" s="274">
        <v>0</v>
      </c>
      <c r="F21" s="274">
        <v>5.125</v>
      </c>
      <c r="G21" s="274">
        <v>13</v>
      </c>
      <c r="H21" s="274" t="s">
        <v>967</v>
      </c>
      <c r="I21" s="276" t="s">
        <v>970</v>
      </c>
      <c r="J21" s="282">
        <v>8.0694139999999998E-2</v>
      </c>
      <c r="K21" s="282">
        <v>0.43653575999999999</v>
      </c>
      <c r="L21" s="274">
        <v>2.9289530000000001E-2</v>
      </c>
      <c r="M21" s="274">
        <v>0.29091934000000003</v>
      </c>
      <c r="N21" s="347">
        <v>0.10372030090371349</v>
      </c>
      <c r="O21" s="347">
        <v>0.35326704504353479</v>
      </c>
      <c r="P21" s="347">
        <v>0.43274403134122863</v>
      </c>
      <c r="Q21" s="276">
        <v>362.5</v>
      </c>
      <c r="R21" s="275">
        <v>-12311.999999999998</v>
      </c>
      <c r="S21" s="274">
        <v>1440</v>
      </c>
      <c r="T21" s="274">
        <v>1</v>
      </c>
      <c r="U21" s="274">
        <v>409.447</v>
      </c>
      <c r="V21" s="274">
        <v>1546.5</v>
      </c>
      <c r="W21" s="276">
        <v>5.9999999999999503</v>
      </c>
      <c r="X21" s="337" t="s">
        <v>1279</v>
      </c>
      <c r="Y21" s="337" t="s">
        <v>1280</v>
      </c>
      <c r="Z21" s="69">
        <v>85269.303916161065</v>
      </c>
      <c r="AA21" s="69">
        <v>-1958.0921125206842</v>
      </c>
      <c r="AB21" s="69">
        <v>98468</v>
      </c>
      <c r="AC21" s="69">
        <v>12122.888582460007</v>
      </c>
      <c r="AD21" s="69">
        <v>-1457.6618863761719</v>
      </c>
      <c r="AE21" s="69">
        <v>30444</v>
      </c>
    </row>
    <row r="22" spans="1:31" x14ac:dyDescent="0.3">
      <c r="A22" s="355" t="s">
        <v>1237</v>
      </c>
      <c r="B22" s="274" t="s">
        <v>1420</v>
      </c>
      <c r="C22" s="274" t="s">
        <v>1419</v>
      </c>
      <c r="D22" s="275" t="s">
        <v>686</v>
      </c>
      <c r="E22" s="274">
        <v>0</v>
      </c>
      <c r="F22" s="274">
        <v>5.125</v>
      </c>
      <c r="G22" s="274">
        <v>12</v>
      </c>
      <c r="H22" s="274" t="s">
        <v>967</v>
      </c>
      <c r="I22" s="276" t="s">
        <v>970</v>
      </c>
      <c r="J22" s="282">
        <v>5.7735549999999997E-2</v>
      </c>
      <c r="K22" s="282">
        <v>0.31838420000000001</v>
      </c>
      <c r="L22" s="274">
        <v>1.9584609999999999E-2</v>
      </c>
      <c r="M22" s="274">
        <v>0.20985059</v>
      </c>
      <c r="N22" s="347">
        <v>0.11278001443496026</v>
      </c>
      <c r="O22" s="347">
        <v>0.22627073274337889</v>
      </c>
      <c r="P22" s="347">
        <v>0.30700498941123461</v>
      </c>
      <c r="Q22" s="276">
        <v>428.125</v>
      </c>
      <c r="R22" s="275">
        <v>-12311.999999999998</v>
      </c>
      <c r="S22" s="274">
        <v>1440</v>
      </c>
      <c r="T22" s="274">
        <v>1</v>
      </c>
      <c r="U22" s="274">
        <v>409.447</v>
      </c>
      <c r="V22" s="274">
        <v>1546.5</v>
      </c>
      <c r="W22" s="276">
        <v>5.9999999999999503</v>
      </c>
      <c r="X22" s="337" t="s">
        <v>1281</v>
      </c>
      <c r="Y22" s="337" t="s">
        <v>1282</v>
      </c>
      <c r="Z22" s="69">
        <v>83959.853387850468</v>
      </c>
      <c r="AA22" s="69">
        <v>-1876.9398364485983</v>
      </c>
      <c r="AB22" s="69">
        <v>97033</v>
      </c>
      <c r="AC22" s="69">
        <v>11252.771612149532</v>
      </c>
      <c r="AD22" s="69">
        <v>-1360.6787383177568</v>
      </c>
      <c r="AE22" s="69">
        <v>29807</v>
      </c>
    </row>
    <row r="23" spans="1:31" x14ac:dyDescent="0.3">
      <c r="A23" s="355" t="s">
        <v>1237</v>
      </c>
      <c r="B23" s="274" t="s">
        <v>1420</v>
      </c>
      <c r="C23" s="274" t="s">
        <v>1419</v>
      </c>
      <c r="D23" s="275" t="s">
        <v>686</v>
      </c>
      <c r="E23" s="274">
        <v>0</v>
      </c>
      <c r="F23" s="274">
        <v>5.125</v>
      </c>
      <c r="G23" s="274">
        <v>12.5</v>
      </c>
      <c r="H23" s="274" t="s">
        <v>967</v>
      </c>
      <c r="I23" s="276" t="s">
        <v>970</v>
      </c>
      <c r="J23" s="282">
        <v>6.3072719999999999E-2</v>
      </c>
      <c r="K23" s="282">
        <v>0.33182014999999998</v>
      </c>
      <c r="L23" s="274">
        <v>2.2877290000000002E-2</v>
      </c>
      <c r="M23" s="274">
        <v>0.22083385</v>
      </c>
      <c r="N23" s="347">
        <v>0.10682546008834201</v>
      </c>
      <c r="O23" s="347">
        <v>0.244385285748311</v>
      </c>
      <c r="P23" s="347">
        <v>0.31394593576921526</v>
      </c>
      <c r="Q23" s="276">
        <v>440.625</v>
      </c>
      <c r="R23" s="275">
        <v>-12311.999999999998</v>
      </c>
      <c r="S23" s="274">
        <v>1440</v>
      </c>
      <c r="T23" s="274">
        <v>1</v>
      </c>
      <c r="U23" s="274">
        <v>409.447</v>
      </c>
      <c r="V23" s="274">
        <v>1546.5</v>
      </c>
      <c r="W23" s="276">
        <v>5.9999999999999503</v>
      </c>
      <c r="X23" s="337" t="s">
        <v>1283</v>
      </c>
      <c r="Y23" s="337" t="s">
        <v>1284</v>
      </c>
      <c r="Z23" s="69">
        <v>88186.177538287011</v>
      </c>
      <c r="AA23" s="69">
        <v>-1757.5184344866702</v>
      </c>
      <c r="AB23" s="69">
        <v>99192</v>
      </c>
      <c r="AC23" s="69">
        <v>13601.971072036302</v>
      </c>
      <c r="AD23" s="69">
        <v>-1453.4146341463413</v>
      </c>
      <c r="AE23" s="69">
        <v>30516</v>
      </c>
    </row>
    <row r="24" spans="1:31" x14ac:dyDescent="0.3">
      <c r="A24" s="355" t="s">
        <v>1237</v>
      </c>
      <c r="B24" s="274" t="s">
        <v>1420</v>
      </c>
      <c r="C24" s="274" t="s">
        <v>1419</v>
      </c>
      <c r="D24" s="275" t="s">
        <v>686</v>
      </c>
      <c r="E24" s="274">
        <v>0</v>
      </c>
      <c r="F24" s="274">
        <v>5.125</v>
      </c>
      <c r="G24" s="274">
        <v>13</v>
      </c>
      <c r="H24" s="274" t="s">
        <v>967</v>
      </c>
      <c r="I24" s="276" t="s">
        <v>970</v>
      </c>
      <c r="J24" s="282">
        <v>6.1784459999999999E-2</v>
      </c>
      <c r="K24" s="282">
        <v>0.32863192000000002</v>
      </c>
      <c r="L24" s="274">
        <v>2.2139030000000001E-2</v>
      </c>
      <c r="M24" s="274">
        <v>0.21832081</v>
      </c>
      <c r="N24" s="347">
        <v>0.1014681491196326</v>
      </c>
      <c r="O24" s="347">
        <v>0.24003419297511097</v>
      </c>
      <c r="P24" s="347">
        <v>0.31237225013545289</v>
      </c>
      <c r="Q24" s="276">
        <v>453.125</v>
      </c>
      <c r="R24" s="275">
        <v>-12311.999999999998</v>
      </c>
      <c r="S24" s="274">
        <v>1440</v>
      </c>
      <c r="T24" s="274">
        <v>1</v>
      </c>
      <c r="U24" s="274">
        <v>409.447</v>
      </c>
      <c r="V24" s="274">
        <v>1546.5</v>
      </c>
      <c r="W24" s="276">
        <v>5.9999999999999503</v>
      </c>
      <c r="X24" s="337" t="s">
        <v>1285</v>
      </c>
      <c r="Y24" s="337" t="s">
        <v>1286</v>
      </c>
      <c r="Z24" s="69">
        <v>87243.928295642589</v>
      </c>
      <c r="AA24" s="69">
        <v>-1784.676227247656</v>
      </c>
      <c r="AB24" s="69">
        <v>98687</v>
      </c>
      <c r="AC24" s="69">
        <v>13006.273028130168</v>
      </c>
      <c r="AD24" s="69">
        <v>-1437.804191947049</v>
      </c>
      <c r="AE24" s="69">
        <v>30362</v>
      </c>
    </row>
    <row r="25" spans="1:31" x14ac:dyDescent="0.3">
      <c r="A25" s="355" t="s">
        <v>1238</v>
      </c>
      <c r="B25" s="274" t="s">
        <v>1420</v>
      </c>
      <c r="C25" s="274" t="s">
        <v>1419</v>
      </c>
      <c r="D25" s="275" t="s">
        <v>684</v>
      </c>
      <c r="E25" s="274">
        <v>0</v>
      </c>
      <c r="F25" s="274">
        <v>5.625</v>
      </c>
      <c r="G25" s="274">
        <v>12</v>
      </c>
      <c r="H25" s="274" t="s">
        <v>967</v>
      </c>
      <c r="I25" s="276" t="s">
        <v>970</v>
      </c>
      <c r="J25" s="282">
        <v>0.12640464000000001</v>
      </c>
      <c r="K25" s="282">
        <v>0.70967031999999997</v>
      </c>
      <c r="L25" s="274">
        <v>3.5562570000000002E-2</v>
      </c>
      <c r="M25" s="274">
        <v>0.40187963999999998</v>
      </c>
      <c r="N25" s="347">
        <v>0.11974715370103976</v>
      </c>
      <c r="O25" s="347">
        <v>0.57078715007415448</v>
      </c>
      <c r="P25" s="347">
        <v>0.56167907787997384</v>
      </c>
      <c r="Q25" s="276">
        <v>352.5</v>
      </c>
      <c r="R25" s="275">
        <v>-16326.000000000022</v>
      </c>
      <c r="S25" s="274">
        <v>1835.9999999999998</v>
      </c>
      <c r="T25" s="274">
        <v>1</v>
      </c>
      <c r="U25" s="274">
        <v>461.697</v>
      </c>
      <c r="V25" s="274">
        <v>1605.9999999999998</v>
      </c>
      <c r="W25" s="276">
        <v>54.000000000000107</v>
      </c>
      <c r="X25" s="337" t="s">
        <v>1287</v>
      </c>
      <c r="Y25" s="337" t="s">
        <v>1288</v>
      </c>
      <c r="Z25" s="69">
        <v>130593.08564946115</v>
      </c>
      <c r="AA25" s="69">
        <v>-1230.7226318774817</v>
      </c>
      <c r="AB25" s="69">
        <v>135095</v>
      </c>
      <c r="AC25" s="69">
        <v>25028.070901871808</v>
      </c>
      <c r="AD25" s="69">
        <v>-1509.3199092456041</v>
      </c>
      <c r="AE25" s="69">
        <v>36625</v>
      </c>
    </row>
    <row r="26" spans="1:31" x14ac:dyDescent="0.3">
      <c r="A26" s="355" t="s">
        <v>1238</v>
      </c>
      <c r="B26" s="274" t="s">
        <v>1420</v>
      </c>
      <c r="C26" s="274" t="s">
        <v>1419</v>
      </c>
      <c r="D26" s="275" t="s">
        <v>684</v>
      </c>
      <c r="E26" s="274">
        <v>0</v>
      </c>
      <c r="F26" s="274">
        <v>5.625</v>
      </c>
      <c r="G26" s="274">
        <v>12.5</v>
      </c>
      <c r="H26" s="274" t="s">
        <v>967</v>
      </c>
      <c r="I26" s="276" t="s">
        <v>970</v>
      </c>
      <c r="J26" s="282">
        <v>0.13741402999999999</v>
      </c>
      <c r="K26" s="282">
        <v>0.73724199000000001</v>
      </c>
      <c r="L26" s="274">
        <v>4.1758730000000001E-2</v>
      </c>
      <c r="M26" s="274">
        <v>0.42226840999999998</v>
      </c>
      <c r="N26" s="347">
        <v>0.11341053231213277</v>
      </c>
      <c r="O26" s="347">
        <v>0.60345423350458349</v>
      </c>
      <c r="P26" s="347">
        <v>0.57444630018421039</v>
      </c>
      <c r="Q26" s="276">
        <v>362.5</v>
      </c>
      <c r="R26" s="275">
        <v>-16326.000000000022</v>
      </c>
      <c r="S26" s="274">
        <v>1835.9999999999998</v>
      </c>
      <c r="T26" s="274">
        <v>1</v>
      </c>
      <c r="U26" s="274">
        <v>461.697</v>
      </c>
      <c r="V26" s="274">
        <v>1605.9999999999998</v>
      </c>
      <c r="W26" s="276">
        <v>54.000000000000107</v>
      </c>
      <c r="X26" s="337" t="s">
        <v>1289</v>
      </c>
      <c r="Y26" s="337" t="s">
        <v>1290</v>
      </c>
      <c r="Z26" s="69">
        <v>135090.72145615003</v>
      </c>
      <c r="AA26" s="69">
        <v>-1023.3614175399894</v>
      </c>
      <c r="AB26" s="69">
        <v>138076</v>
      </c>
      <c r="AC26" s="69">
        <v>27906.082735797019</v>
      </c>
      <c r="AD26" s="69">
        <v>-1424.7964699393272</v>
      </c>
      <c r="AE26" s="69">
        <v>37516</v>
      </c>
    </row>
    <row r="27" spans="1:31" x14ac:dyDescent="0.3">
      <c r="A27" s="355" t="s">
        <v>1238</v>
      </c>
      <c r="B27" s="274" t="s">
        <v>1420</v>
      </c>
      <c r="C27" s="274" t="s">
        <v>1419</v>
      </c>
      <c r="D27" s="275" t="s">
        <v>684</v>
      </c>
      <c r="E27" s="274">
        <v>0</v>
      </c>
      <c r="F27" s="274">
        <v>5.625</v>
      </c>
      <c r="G27" s="274">
        <v>13</v>
      </c>
      <c r="H27" s="274" t="s">
        <v>967</v>
      </c>
      <c r="I27" s="276" t="s">
        <v>970</v>
      </c>
      <c r="J27" s="282">
        <v>0.13576265000000001</v>
      </c>
      <c r="K27" s="282">
        <v>0.73272599000000005</v>
      </c>
      <c r="L27" s="274">
        <v>4.0601850000000002E-2</v>
      </c>
      <c r="M27" s="274">
        <v>0.41843123999999998</v>
      </c>
      <c r="N27" s="347">
        <v>0.10771083301090453</v>
      </c>
      <c r="O27" s="347">
        <v>0.59757767191332245</v>
      </c>
      <c r="P27" s="347">
        <v>0.57205688918439002</v>
      </c>
      <c r="Q27" s="276">
        <v>372.5</v>
      </c>
      <c r="R27" s="275">
        <v>-16326.000000000022</v>
      </c>
      <c r="S27" s="274">
        <v>1835.9999999999998</v>
      </c>
      <c r="T27" s="274">
        <v>1</v>
      </c>
      <c r="U27" s="274">
        <v>461.697</v>
      </c>
      <c r="V27" s="274">
        <v>1605.9999999999998</v>
      </c>
      <c r="W27" s="276">
        <v>54.000000000000107</v>
      </c>
      <c r="X27" s="337" t="s">
        <v>1291</v>
      </c>
      <c r="Y27" s="337" t="s">
        <v>1292</v>
      </c>
      <c r="Z27" s="69">
        <v>134271.56122448979</v>
      </c>
      <c r="AA27" s="69">
        <v>-1066.1575714285718</v>
      </c>
      <c r="AB27" s="69">
        <v>137477</v>
      </c>
      <c r="AC27" s="69">
        <v>27392.448979591834</v>
      </c>
      <c r="AD27" s="69">
        <v>-1442.5102040816328</v>
      </c>
      <c r="AE27" s="69">
        <v>37367</v>
      </c>
    </row>
    <row r="28" spans="1:31" x14ac:dyDescent="0.3">
      <c r="A28" s="355" t="s">
        <v>1238</v>
      </c>
      <c r="B28" s="274" t="s">
        <v>1420</v>
      </c>
      <c r="C28" s="274" t="s">
        <v>1419</v>
      </c>
      <c r="D28" s="275" t="s">
        <v>686</v>
      </c>
      <c r="E28" s="274">
        <v>0</v>
      </c>
      <c r="F28" s="274">
        <v>5.625</v>
      </c>
      <c r="G28" s="274">
        <v>12</v>
      </c>
      <c r="H28" s="274" t="s">
        <v>967</v>
      </c>
      <c r="I28" s="276" t="s">
        <v>970</v>
      </c>
      <c r="J28" s="282">
        <v>9.7095819999999999E-2</v>
      </c>
      <c r="K28" s="282">
        <v>0.53414249000000003</v>
      </c>
      <c r="L28" s="274">
        <v>2.6925250000000001E-2</v>
      </c>
      <c r="M28" s="274">
        <v>0.30124888999999999</v>
      </c>
      <c r="N28" s="347">
        <v>0.11711910972036609</v>
      </c>
      <c r="O28" s="347">
        <v>0.37875073845859952</v>
      </c>
      <c r="P28" s="347">
        <v>0.40566832933024233</v>
      </c>
      <c r="Q28" s="276">
        <v>440.625</v>
      </c>
      <c r="R28" s="275">
        <v>-16326.000000000022</v>
      </c>
      <c r="S28" s="274">
        <v>1835.9999999999998</v>
      </c>
      <c r="T28" s="274">
        <v>1</v>
      </c>
      <c r="U28" s="274">
        <v>461.697</v>
      </c>
      <c r="V28" s="274">
        <v>1605.9999999999998</v>
      </c>
      <c r="W28" s="276">
        <v>54.000000000000107</v>
      </c>
      <c r="X28" s="337" t="s">
        <v>1293</v>
      </c>
      <c r="Y28" s="337" t="s">
        <v>1294</v>
      </c>
      <c r="Z28" s="69">
        <v>131871.27793533751</v>
      </c>
      <c r="AA28" s="69">
        <v>-1067.1275008508226</v>
      </c>
      <c r="AB28" s="69">
        <v>135416</v>
      </c>
      <c r="AC28" s="69">
        <v>25710.412932501418</v>
      </c>
      <c r="AD28" s="69">
        <v>-1434.3199092456041</v>
      </c>
      <c r="AE28" s="69">
        <v>36536</v>
      </c>
    </row>
    <row r="29" spans="1:31" x14ac:dyDescent="0.3">
      <c r="A29" s="355" t="s">
        <v>1238</v>
      </c>
      <c r="B29" s="274" t="s">
        <v>1420</v>
      </c>
      <c r="C29" s="274" t="s">
        <v>1419</v>
      </c>
      <c r="D29" s="275" t="s">
        <v>686</v>
      </c>
      <c r="E29" s="274">
        <v>0</v>
      </c>
      <c r="F29" s="274">
        <v>5.625</v>
      </c>
      <c r="G29" s="274">
        <v>12.5</v>
      </c>
      <c r="H29" s="274" t="s">
        <v>967</v>
      </c>
      <c r="I29" s="276" t="s">
        <v>970</v>
      </c>
      <c r="J29" s="282">
        <v>0.10536323</v>
      </c>
      <c r="K29" s="282">
        <v>0.55520442000000003</v>
      </c>
      <c r="L29" s="274">
        <v>3.1221680000000002E-2</v>
      </c>
      <c r="M29" s="274">
        <v>0.31620554000000001</v>
      </c>
      <c r="N29" s="347">
        <v>0.11093546000768008</v>
      </c>
      <c r="O29" s="347">
        <v>0.3990151408800644</v>
      </c>
      <c r="P29" s="347">
        <v>0.41479601864189741</v>
      </c>
      <c r="Q29" s="276">
        <v>453.125</v>
      </c>
      <c r="R29" s="275">
        <v>-16326.000000000022</v>
      </c>
      <c r="S29" s="274">
        <v>1835.9999999999998</v>
      </c>
      <c r="T29" s="274">
        <v>1</v>
      </c>
      <c r="U29" s="274">
        <v>461.697</v>
      </c>
      <c r="V29" s="274">
        <v>1605.9999999999998</v>
      </c>
      <c r="W29" s="276">
        <v>54.000000000000107</v>
      </c>
      <c r="X29" s="337" t="s">
        <v>1295</v>
      </c>
      <c r="Y29" s="337" t="s">
        <v>1296</v>
      </c>
      <c r="Z29" s="69">
        <v>136119.99282956426</v>
      </c>
      <c r="AA29" s="69">
        <v>-870.35948703805877</v>
      </c>
      <c r="AB29" s="69">
        <v>138449</v>
      </c>
      <c r="AC29" s="69">
        <v>28544.947600661882</v>
      </c>
      <c r="AD29" s="69">
        <v>-1336.622724765582</v>
      </c>
      <c r="AE29" s="69">
        <v>37384</v>
      </c>
    </row>
    <row r="30" spans="1:31" x14ac:dyDescent="0.3">
      <c r="A30" s="355" t="s">
        <v>1238</v>
      </c>
      <c r="B30" s="274" t="s">
        <v>1420</v>
      </c>
      <c r="C30" s="274" t="s">
        <v>1419</v>
      </c>
      <c r="D30" s="275" t="s">
        <v>686</v>
      </c>
      <c r="E30" s="274">
        <v>0</v>
      </c>
      <c r="F30" s="274">
        <v>5.625</v>
      </c>
      <c r="G30" s="274">
        <v>13</v>
      </c>
      <c r="H30" s="274" t="s">
        <v>967</v>
      </c>
      <c r="I30" s="276" t="s">
        <v>970</v>
      </c>
      <c r="J30" s="282">
        <v>0.10370840000000001</v>
      </c>
      <c r="K30" s="282">
        <v>0.55106761999999998</v>
      </c>
      <c r="L30" s="274">
        <v>3.050514E-2</v>
      </c>
      <c r="M30" s="274">
        <v>0.31359250999999999</v>
      </c>
      <c r="N30" s="347">
        <v>0.10537203199879079</v>
      </c>
      <c r="O30" s="347">
        <v>0.39535902905376491</v>
      </c>
      <c r="P30" s="347">
        <v>0.41316804805997154</v>
      </c>
      <c r="Q30" s="276">
        <v>465.625</v>
      </c>
      <c r="R30" s="275">
        <v>-16326.000000000022</v>
      </c>
      <c r="S30" s="274">
        <v>1835.9999999999998</v>
      </c>
      <c r="T30" s="274">
        <v>1</v>
      </c>
      <c r="U30" s="274">
        <v>461.697</v>
      </c>
      <c r="V30" s="274">
        <v>1605.9999999999998</v>
      </c>
      <c r="W30" s="276">
        <v>54.000000000000107</v>
      </c>
      <c r="X30" s="337" t="s">
        <v>1297</v>
      </c>
      <c r="Y30" s="337" t="s">
        <v>1298</v>
      </c>
      <c r="Z30" s="69">
        <v>135378.67346938775</v>
      </c>
      <c r="AA30" s="69">
        <v>-906.12257142857197</v>
      </c>
      <c r="AB30" s="69">
        <v>137896</v>
      </c>
      <c r="AC30" s="69">
        <v>28022.663265306117</v>
      </c>
      <c r="AD30" s="69">
        <v>-1358.4897959183675</v>
      </c>
      <c r="AE30" s="69">
        <v>37238</v>
      </c>
    </row>
    <row r="31" spans="1:31" x14ac:dyDescent="0.3">
      <c r="A31" s="355" t="s">
        <v>1239</v>
      </c>
      <c r="B31" s="274" t="s">
        <v>1420</v>
      </c>
      <c r="C31" s="274" t="s">
        <v>1419</v>
      </c>
      <c r="D31" s="275" t="s">
        <v>684</v>
      </c>
      <c r="E31" s="274">
        <v>0</v>
      </c>
      <c r="F31" s="274">
        <v>5.625</v>
      </c>
      <c r="G31" s="274">
        <v>12</v>
      </c>
      <c r="H31" s="274" t="s">
        <v>967</v>
      </c>
      <c r="I31" s="276" t="s">
        <v>970</v>
      </c>
      <c r="J31" s="282">
        <v>0.24492891</v>
      </c>
      <c r="K31" s="282">
        <v>1.2004747200000001</v>
      </c>
      <c r="L31" s="274">
        <v>2.9212220000000001E-2</v>
      </c>
      <c r="M31" s="274">
        <v>0.34634425000000002</v>
      </c>
      <c r="N31" s="347">
        <v>0.10554302370100985</v>
      </c>
      <c r="O31" s="347">
        <v>0.73899307094239297</v>
      </c>
      <c r="P31" s="347">
        <v>0.70734448557238228</v>
      </c>
      <c r="Q31" s="276">
        <v>352.5</v>
      </c>
      <c r="R31" s="275">
        <v>-23355.000000000011</v>
      </c>
      <c r="S31" s="274">
        <v>2694</v>
      </c>
      <c r="T31" s="274">
        <v>1</v>
      </c>
      <c r="U31" s="274">
        <v>410.10699999999997</v>
      </c>
      <c r="V31" s="274">
        <v>1415.5000000000002</v>
      </c>
      <c r="W31" s="276">
        <v>354</v>
      </c>
      <c r="X31" s="337" t="s">
        <v>1299</v>
      </c>
      <c r="Y31" s="337" t="s">
        <v>1300</v>
      </c>
      <c r="Z31" s="69">
        <v>199960.64208735109</v>
      </c>
      <c r="AA31" s="69">
        <v>-991.30031253545087</v>
      </c>
      <c r="AB31" s="69">
        <v>202363</v>
      </c>
      <c r="AC31" s="69">
        <v>21037.755530345999</v>
      </c>
      <c r="AD31" s="69">
        <v>-1442.0879183210436</v>
      </c>
      <c r="AE31" s="69">
        <v>32426</v>
      </c>
    </row>
    <row r="32" spans="1:31" x14ac:dyDescent="0.3">
      <c r="A32" s="355" t="s">
        <v>1239</v>
      </c>
      <c r="B32" s="274" t="s">
        <v>1420</v>
      </c>
      <c r="C32" s="274" t="s">
        <v>1419</v>
      </c>
      <c r="D32" s="275" t="s">
        <v>684</v>
      </c>
      <c r="E32" s="274">
        <v>0</v>
      </c>
      <c r="F32" s="274">
        <v>5.625</v>
      </c>
      <c r="G32" s="274">
        <v>12.5</v>
      </c>
      <c r="H32" s="274" t="s">
        <v>967</v>
      </c>
      <c r="I32" s="276" t="s">
        <v>970</v>
      </c>
      <c r="J32" s="282">
        <v>0.26362915999999997</v>
      </c>
      <c r="K32" s="282">
        <v>1.2440924900000001</v>
      </c>
      <c r="L32" s="274">
        <v>3.4166099999999998E-2</v>
      </c>
      <c r="M32" s="274">
        <v>0.36337525999999998</v>
      </c>
      <c r="N32" s="347">
        <v>9.99580376636513E-2</v>
      </c>
      <c r="O32" s="347">
        <v>0.77344592500935927</v>
      </c>
      <c r="P32" s="347">
        <v>0.7228267167593585</v>
      </c>
      <c r="Q32" s="276">
        <v>362.5</v>
      </c>
      <c r="R32" s="275">
        <v>-23355.000000000011</v>
      </c>
      <c r="S32" s="274">
        <v>2694</v>
      </c>
      <c r="T32" s="274">
        <v>1</v>
      </c>
      <c r="U32" s="274">
        <v>410.10699999999997</v>
      </c>
      <c r="V32" s="274">
        <v>1415.5000000000002</v>
      </c>
      <c r="W32" s="276">
        <v>354</v>
      </c>
      <c r="X32" s="337" t="s">
        <v>1301</v>
      </c>
      <c r="Y32" s="337" t="s">
        <v>1302</v>
      </c>
      <c r="Z32" s="69">
        <v>205356.73193601763</v>
      </c>
      <c r="AA32" s="69">
        <v>-736.20421952564857</v>
      </c>
      <c r="AB32" s="69">
        <v>206662</v>
      </c>
      <c r="AC32" s="69">
        <v>23807.457804743517</v>
      </c>
      <c r="AD32" s="69">
        <v>-1354.9646993932708</v>
      </c>
      <c r="AE32" s="69">
        <v>33211</v>
      </c>
    </row>
    <row r="33" spans="1:31" x14ac:dyDescent="0.3">
      <c r="A33" s="355" t="s">
        <v>1239</v>
      </c>
      <c r="B33" s="274" t="s">
        <v>1420</v>
      </c>
      <c r="C33" s="274" t="s">
        <v>1419</v>
      </c>
      <c r="D33" s="275" t="s">
        <v>684</v>
      </c>
      <c r="E33" s="274">
        <v>0</v>
      </c>
      <c r="F33" s="274">
        <v>5.625</v>
      </c>
      <c r="G33" s="274">
        <v>13</v>
      </c>
      <c r="H33" s="274" t="s">
        <v>967</v>
      </c>
      <c r="I33" s="276" t="s">
        <v>970</v>
      </c>
      <c r="J33" s="282">
        <v>0.25980161000000002</v>
      </c>
      <c r="K33" s="282">
        <v>1.23540524</v>
      </c>
      <c r="L33" s="274">
        <v>3.3211259999999999E-2</v>
      </c>
      <c r="M33" s="274">
        <v>0.36015467000000001</v>
      </c>
      <c r="N33" s="347">
        <v>9.4934423491242467E-2</v>
      </c>
      <c r="O33" s="347">
        <v>0.76745146957182753</v>
      </c>
      <c r="P33" s="347">
        <v>0.71997672460633244</v>
      </c>
      <c r="Q33" s="276">
        <v>372.5</v>
      </c>
      <c r="R33" s="275">
        <v>-23355.000000000011</v>
      </c>
      <c r="S33" s="274">
        <v>2694</v>
      </c>
      <c r="T33" s="274">
        <v>1</v>
      </c>
      <c r="U33" s="274">
        <v>410.10699999999997</v>
      </c>
      <c r="V33" s="274">
        <v>1415.5000000000002</v>
      </c>
      <c r="W33" s="276">
        <v>354</v>
      </c>
      <c r="X33" s="337" t="s">
        <v>1303</v>
      </c>
      <c r="Y33" s="337" t="s">
        <v>1304</v>
      </c>
      <c r="Z33" s="69">
        <v>204416.6020408163</v>
      </c>
      <c r="AA33" s="69">
        <v>-782.56036734693919</v>
      </c>
      <c r="AB33" s="69">
        <v>205844</v>
      </c>
      <c r="AC33" s="69">
        <v>23326.071428571424</v>
      </c>
      <c r="AD33" s="69">
        <v>-1369.6428571428573</v>
      </c>
      <c r="AE33" s="69">
        <v>33078</v>
      </c>
    </row>
    <row r="34" spans="1:31" x14ac:dyDescent="0.3">
      <c r="A34" s="355" t="s">
        <v>1239</v>
      </c>
      <c r="B34" s="274" t="s">
        <v>1420</v>
      </c>
      <c r="C34" s="274" t="s">
        <v>1419</v>
      </c>
      <c r="D34" s="275" t="s">
        <v>686</v>
      </c>
      <c r="E34" s="274">
        <v>0</v>
      </c>
      <c r="F34" s="274">
        <v>5.625</v>
      </c>
      <c r="G34" s="274">
        <v>12</v>
      </c>
      <c r="H34" s="274" t="s">
        <v>967</v>
      </c>
      <c r="I34" s="276" t="s">
        <v>970</v>
      </c>
      <c r="J34" s="282">
        <v>0.1879847</v>
      </c>
      <c r="K34" s="282">
        <v>0.90345388999999998</v>
      </c>
      <c r="L34" s="274">
        <v>2.194573E-2</v>
      </c>
      <c r="M34" s="274">
        <v>0.25949292000000002</v>
      </c>
      <c r="N34" s="347">
        <v>0.10322671220994908</v>
      </c>
      <c r="O34" s="347">
        <v>0.49187067588726963</v>
      </c>
      <c r="P34" s="347">
        <v>0.51183819263736385</v>
      </c>
      <c r="Q34" s="276">
        <v>440.625</v>
      </c>
      <c r="R34" s="275">
        <v>-23355.000000000011</v>
      </c>
      <c r="S34" s="274">
        <v>2694</v>
      </c>
      <c r="T34" s="274">
        <v>1</v>
      </c>
      <c r="U34" s="274">
        <v>410.10699999999997</v>
      </c>
      <c r="V34" s="274">
        <v>1415.5000000000002</v>
      </c>
      <c r="W34" s="276">
        <v>354</v>
      </c>
      <c r="X34" s="337" t="s">
        <v>1305</v>
      </c>
      <c r="Y34" s="337" t="s">
        <v>1306</v>
      </c>
      <c r="Z34" s="69">
        <v>201438.01644923427</v>
      </c>
      <c r="AA34" s="69">
        <v>-790.73901020986955</v>
      </c>
      <c r="AB34" s="69">
        <v>203005</v>
      </c>
      <c r="AC34" s="69">
        <v>21772.351673284174</v>
      </c>
      <c r="AD34" s="69">
        <v>-1361.2370958593308</v>
      </c>
      <c r="AE34" s="69">
        <v>32334</v>
      </c>
    </row>
    <row r="35" spans="1:31" x14ac:dyDescent="0.3">
      <c r="A35" s="355" t="s">
        <v>1239</v>
      </c>
      <c r="B35" s="274" t="s">
        <v>1420</v>
      </c>
      <c r="C35" s="274" t="s">
        <v>1419</v>
      </c>
      <c r="D35" s="275" t="s">
        <v>686</v>
      </c>
      <c r="E35" s="274">
        <v>0</v>
      </c>
      <c r="F35" s="274">
        <v>5.625</v>
      </c>
      <c r="G35" s="274">
        <v>12.5</v>
      </c>
      <c r="H35" s="274" t="s">
        <v>967</v>
      </c>
      <c r="I35" s="276" t="s">
        <v>970</v>
      </c>
      <c r="J35" s="282">
        <v>0.20192086000000001</v>
      </c>
      <c r="K35" s="282">
        <v>0.93654325999999999</v>
      </c>
      <c r="L35" s="274">
        <v>2.576115E-2</v>
      </c>
      <c r="M35" s="274">
        <v>0.27285028</v>
      </c>
      <c r="N35" s="347">
        <v>9.7776552702908595E-2</v>
      </c>
      <c r="O35" s="347">
        <v>0.51272733892758915</v>
      </c>
      <c r="P35" s="347">
        <v>0.52308811146628964</v>
      </c>
      <c r="Q35" s="276">
        <v>453.125</v>
      </c>
      <c r="R35" s="275">
        <v>-23355.000000000011</v>
      </c>
      <c r="S35" s="274">
        <v>2694</v>
      </c>
      <c r="T35" s="274">
        <v>1</v>
      </c>
      <c r="U35" s="274">
        <v>410.10699999999997</v>
      </c>
      <c r="V35" s="274">
        <v>1415.5000000000002</v>
      </c>
      <c r="W35" s="276">
        <v>354</v>
      </c>
      <c r="X35" s="337" t="s">
        <v>1307</v>
      </c>
      <c r="Y35" s="337" t="s">
        <v>1308</v>
      </c>
      <c r="Z35" s="69">
        <v>206535.29343629343</v>
      </c>
      <c r="AA35" s="69">
        <v>-547.78665030336504</v>
      </c>
      <c r="AB35" s="69">
        <v>207350</v>
      </c>
      <c r="AC35" s="69">
        <v>24377.522338665192</v>
      </c>
      <c r="AD35" s="69">
        <v>-1283.6541643684502</v>
      </c>
      <c r="AE35" s="69">
        <v>33115</v>
      </c>
    </row>
    <row r="36" spans="1:31" x14ac:dyDescent="0.3">
      <c r="A36" s="355" t="s">
        <v>1239</v>
      </c>
      <c r="B36" s="274" t="s">
        <v>1420</v>
      </c>
      <c r="C36" s="274" t="s">
        <v>1419</v>
      </c>
      <c r="D36" s="275" t="s">
        <v>686</v>
      </c>
      <c r="E36" s="274">
        <v>0</v>
      </c>
      <c r="F36" s="274">
        <v>5.625</v>
      </c>
      <c r="G36" s="274">
        <v>13</v>
      </c>
      <c r="H36" s="274" t="s">
        <v>967</v>
      </c>
      <c r="I36" s="276" t="s">
        <v>970</v>
      </c>
      <c r="J36" s="282">
        <v>0.19901198</v>
      </c>
      <c r="K36" s="282">
        <v>0.92990866999999999</v>
      </c>
      <c r="L36" s="274">
        <v>2.4988090000000001E-2</v>
      </c>
      <c r="M36" s="274">
        <v>0.27021810000000002</v>
      </c>
      <c r="N36" s="347">
        <v>9.2873045637788545E-2</v>
      </c>
      <c r="O36" s="347">
        <v>0.50913587446881248</v>
      </c>
      <c r="P36" s="347">
        <v>0.5211366217029918</v>
      </c>
      <c r="Q36" s="276">
        <v>465.625</v>
      </c>
      <c r="R36" s="275">
        <v>-23355.000000000011</v>
      </c>
      <c r="S36" s="274">
        <v>2694</v>
      </c>
      <c r="T36" s="274">
        <v>1</v>
      </c>
      <c r="U36" s="274">
        <v>410.10699999999997</v>
      </c>
      <c r="V36" s="274">
        <v>1415.5000000000002</v>
      </c>
      <c r="W36" s="276">
        <v>354</v>
      </c>
      <c r="X36" s="337" t="s">
        <v>1309</v>
      </c>
      <c r="Y36" s="337" t="s">
        <v>1310</v>
      </c>
      <c r="Z36" s="69">
        <v>205650.57142857142</v>
      </c>
      <c r="AA36" s="69">
        <v>-591.54804081632699</v>
      </c>
      <c r="AB36" s="69">
        <v>206586</v>
      </c>
      <c r="AC36" s="69">
        <v>23931.928571428569</v>
      </c>
      <c r="AD36" s="69">
        <v>-1295.387755102041</v>
      </c>
      <c r="AE36" s="69">
        <v>32984</v>
      </c>
    </row>
    <row r="37" spans="1:31" x14ac:dyDescent="0.3">
      <c r="A37" s="355" t="s">
        <v>1240</v>
      </c>
      <c r="B37" s="274" t="s">
        <v>1420</v>
      </c>
      <c r="C37" s="274" t="s">
        <v>1421</v>
      </c>
      <c r="D37" s="275" t="s">
        <v>684</v>
      </c>
      <c r="E37" s="274">
        <v>0</v>
      </c>
      <c r="F37" s="274">
        <v>5.625</v>
      </c>
      <c r="G37" s="274">
        <v>12</v>
      </c>
      <c r="H37" s="274" t="s">
        <v>967</v>
      </c>
      <c r="I37" s="276" t="s">
        <v>970</v>
      </c>
      <c r="J37" s="282">
        <v>8.34839E-2</v>
      </c>
      <c r="K37" s="282">
        <v>0.51359573999999997</v>
      </c>
      <c r="L37" s="274">
        <v>2.9190859999999999E-2</v>
      </c>
      <c r="M37" s="274">
        <v>0.34619323000000002</v>
      </c>
      <c r="N37" s="347">
        <v>0.11538525551205418</v>
      </c>
      <c r="O37" s="347">
        <v>0.45512718861197232</v>
      </c>
      <c r="P37" s="347">
        <v>0.46106589551978089</v>
      </c>
      <c r="Q37" s="276">
        <v>352.5</v>
      </c>
      <c r="R37" s="275">
        <v>-11996.999999999996</v>
      </c>
      <c r="S37" s="274">
        <v>1434</v>
      </c>
      <c r="T37" s="274">
        <v>1</v>
      </c>
      <c r="U37" s="274">
        <v>409.447</v>
      </c>
      <c r="V37" s="274">
        <v>1547.4999999999998</v>
      </c>
      <c r="W37" s="276">
        <v>0</v>
      </c>
      <c r="X37" s="337" t="s">
        <v>1311</v>
      </c>
      <c r="Y37" s="337" t="s">
        <v>1312</v>
      </c>
      <c r="Z37" s="69">
        <v>99471.782189449805</v>
      </c>
      <c r="AA37" s="69">
        <v>-1293.5791264889392</v>
      </c>
      <c r="AB37" s="69">
        <v>105089</v>
      </c>
      <c r="AC37" s="69">
        <v>21024.330119115144</v>
      </c>
      <c r="AD37" s="69">
        <v>-1442.0879183210436</v>
      </c>
      <c r="AE37" s="69">
        <v>32417</v>
      </c>
    </row>
    <row r="38" spans="1:31" x14ac:dyDescent="0.3">
      <c r="A38" s="355" t="s">
        <v>1240</v>
      </c>
      <c r="B38" s="274" t="s">
        <v>1420</v>
      </c>
      <c r="C38" s="274" t="s">
        <v>1419</v>
      </c>
      <c r="D38" s="275" t="s">
        <v>684</v>
      </c>
      <c r="E38" s="274">
        <v>0</v>
      </c>
      <c r="F38" s="274">
        <v>5.625</v>
      </c>
      <c r="G38" s="274">
        <v>12.5</v>
      </c>
      <c r="H38" s="274" t="s">
        <v>967</v>
      </c>
      <c r="I38" s="276" t="s">
        <v>970</v>
      </c>
      <c r="J38" s="282">
        <v>9.1778150000000003E-2</v>
      </c>
      <c r="K38" s="282">
        <v>0.53496794999999997</v>
      </c>
      <c r="L38" s="274">
        <v>3.4142020000000002E-2</v>
      </c>
      <c r="M38" s="274">
        <v>0.36323192999999998</v>
      </c>
      <c r="N38" s="347">
        <v>0.10927945127834712</v>
      </c>
      <c r="O38" s="347">
        <v>0.48556951339541454</v>
      </c>
      <c r="P38" s="347">
        <v>0.47184504444172282</v>
      </c>
      <c r="Q38" s="276">
        <v>362.5</v>
      </c>
      <c r="R38" s="275">
        <v>-11996.999999999996</v>
      </c>
      <c r="S38" s="274">
        <v>1434</v>
      </c>
      <c r="T38" s="274">
        <v>1</v>
      </c>
      <c r="U38" s="274">
        <v>409.447</v>
      </c>
      <c r="V38" s="274">
        <v>1547.4999999999998</v>
      </c>
      <c r="W38" s="276">
        <v>0</v>
      </c>
      <c r="X38" s="337" t="s">
        <v>1313</v>
      </c>
      <c r="Y38" s="337" t="s">
        <v>1314</v>
      </c>
      <c r="Z38" s="69">
        <v>103443.40926640926</v>
      </c>
      <c r="AA38" s="69">
        <v>-1117.7186982901271</v>
      </c>
      <c r="AB38" s="69">
        <v>107530</v>
      </c>
      <c r="AC38" s="69">
        <v>23795.76833976834</v>
      </c>
      <c r="AD38" s="69">
        <v>-1355.2752344180917</v>
      </c>
      <c r="AE38" s="69">
        <v>33202</v>
      </c>
    </row>
    <row r="39" spans="1:31" x14ac:dyDescent="0.3">
      <c r="A39" s="355" t="s">
        <v>1240</v>
      </c>
      <c r="B39" s="274" t="s">
        <v>1420</v>
      </c>
      <c r="C39" s="274" t="s">
        <v>1419</v>
      </c>
      <c r="D39" s="275" t="s">
        <v>684</v>
      </c>
      <c r="E39" s="274">
        <v>0</v>
      </c>
      <c r="F39" s="274">
        <v>5.625</v>
      </c>
      <c r="G39" s="274">
        <v>13</v>
      </c>
      <c r="H39" s="274" t="s">
        <v>967</v>
      </c>
      <c r="I39" s="276" t="s">
        <v>970</v>
      </c>
      <c r="J39" s="282">
        <v>9.0030979999999997E-2</v>
      </c>
      <c r="K39" s="282">
        <v>0.53061530999999995</v>
      </c>
      <c r="L39" s="274">
        <v>3.3190110000000002E-2</v>
      </c>
      <c r="M39" s="274">
        <v>0.36001527</v>
      </c>
      <c r="N39" s="347">
        <v>0.1037873686702209</v>
      </c>
      <c r="O39" s="347">
        <v>0.48029110792074781</v>
      </c>
      <c r="P39" s="347">
        <v>0.46996958763425012</v>
      </c>
      <c r="Q39" s="276">
        <v>372.5</v>
      </c>
      <c r="R39" s="275">
        <v>-11996.999999999996</v>
      </c>
      <c r="S39" s="274">
        <v>1434</v>
      </c>
      <c r="T39" s="274">
        <v>1</v>
      </c>
      <c r="U39" s="274">
        <v>409.447</v>
      </c>
      <c r="V39" s="274">
        <v>1547.4999999999998</v>
      </c>
      <c r="W39" s="276">
        <v>0</v>
      </c>
      <c r="X39" s="337" t="s">
        <v>1315</v>
      </c>
      <c r="Y39" s="337" t="s">
        <v>1316</v>
      </c>
      <c r="Z39" s="69">
        <v>102758.23469387753</v>
      </c>
      <c r="AA39" s="69">
        <v>-1147.9897959183677</v>
      </c>
      <c r="AB39" s="69">
        <v>107097</v>
      </c>
      <c r="AC39" s="69">
        <v>23313.816326530607</v>
      </c>
      <c r="AD39" s="69">
        <v>-1369.8979591836737</v>
      </c>
      <c r="AE39" s="69">
        <v>33069</v>
      </c>
    </row>
    <row r="40" spans="1:31" x14ac:dyDescent="0.3">
      <c r="A40" s="355" t="s">
        <v>1240</v>
      </c>
      <c r="B40" s="274" t="s">
        <v>1420</v>
      </c>
      <c r="C40" s="274" t="s">
        <v>1421</v>
      </c>
      <c r="D40" s="275" t="s">
        <v>686</v>
      </c>
      <c r="E40" s="274">
        <v>0</v>
      </c>
      <c r="F40" s="274">
        <v>5.625</v>
      </c>
      <c r="G40" s="274">
        <v>12</v>
      </c>
      <c r="H40" s="274" t="s">
        <v>967</v>
      </c>
      <c r="I40" s="276" t="s">
        <v>970</v>
      </c>
      <c r="J40" s="282">
        <v>6.4085489999999995E-2</v>
      </c>
      <c r="K40" s="282">
        <v>0.38658988999999999</v>
      </c>
      <c r="L40" s="274">
        <v>2.1919080000000001E-2</v>
      </c>
      <c r="M40" s="274">
        <v>0.25927990000000001</v>
      </c>
      <c r="N40" s="347">
        <v>0.11285294040614353</v>
      </c>
      <c r="O40" s="347">
        <v>0.30313146026104676</v>
      </c>
      <c r="P40" s="347">
        <v>0.33274429969189656</v>
      </c>
      <c r="Q40" s="276">
        <v>440.625</v>
      </c>
      <c r="R40" s="275">
        <v>-11996.999999999996</v>
      </c>
      <c r="S40" s="274">
        <v>1434</v>
      </c>
      <c r="T40" s="274">
        <v>1</v>
      </c>
      <c r="U40" s="274">
        <v>409.447</v>
      </c>
      <c r="V40" s="274">
        <v>1547.4999999999998</v>
      </c>
      <c r="W40" s="276">
        <v>0</v>
      </c>
      <c r="X40" s="337" t="s">
        <v>1317</v>
      </c>
      <c r="Y40" s="337" t="s">
        <v>1318</v>
      </c>
      <c r="Z40" s="69">
        <v>100663.95802609189</v>
      </c>
      <c r="AA40" s="69">
        <v>-1149.1979580260918</v>
      </c>
      <c r="AB40" s="69">
        <v>105320</v>
      </c>
      <c r="AC40" s="69">
        <v>21749.926262053319</v>
      </c>
      <c r="AD40" s="69">
        <v>-1361.2370958593308</v>
      </c>
      <c r="AE40" s="69">
        <v>32314</v>
      </c>
    </row>
    <row r="41" spans="1:31" x14ac:dyDescent="0.3">
      <c r="A41" s="355" t="s">
        <v>1240</v>
      </c>
      <c r="B41" s="274" t="s">
        <v>1420</v>
      </c>
      <c r="C41" s="274" t="s">
        <v>1419</v>
      </c>
      <c r="D41" s="275" t="s">
        <v>686</v>
      </c>
      <c r="E41" s="274">
        <v>0</v>
      </c>
      <c r="F41" s="274">
        <v>5.625</v>
      </c>
      <c r="G41" s="274">
        <v>12.5</v>
      </c>
      <c r="H41" s="274" t="s">
        <v>967</v>
      </c>
      <c r="I41" s="276" t="s">
        <v>970</v>
      </c>
      <c r="J41" s="282">
        <v>6.9988369999999994E-2</v>
      </c>
      <c r="K41" s="282">
        <v>0.40235731000000002</v>
      </c>
      <c r="L41" s="274">
        <v>2.5731460000000001E-2</v>
      </c>
      <c r="M41" s="274">
        <v>0.27263627000000001</v>
      </c>
      <c r="N41" s="347">
        <v>0.10689453571723843</v>
      </c>
      <c r="O41" s="347">
        <v>0.32153353421149738</v>
      </c>
      <c r="P41" s="347">
        <v>0.34045745518295989</v>
      </c>
      <c r="Q41" s="276">
        <v>453.125</v>
      </c>
      <c r="R41" s="275">
        <v>-11996.999999999996</v>
      </c>
      <c r="S41" s="274">
        <v>1434</v>
      </c>
      <c r="T41" s="274">
        <v>1</v>
      </c>
      <c r="U41" s="274">
        <v>409.447</v>
      </c>
      <c r="V41" s="274">
        <v>1547.4999999999998</v>
      </c>
      <c r="W41" s="276">
        <v>0</v>
      </c>
      <c r="X41" s="337" t="s">
        <v>1319</v>
      </c>
      <c r="Y41" s="337" t="s">
        <v>1320</v>
      </c>
      <c r="Z41" s="69">
        <v>104448.98565912852</v>
      </c>
      <c r="AA41" s="69">
        <v>-976.81770546056282</v>
      </c>
      <c r="AB41" s="69">
        <v>107735</v>
      </c>
      <c r="AC41" s="69">
        <v>24355.522338665192</v>
      </c>
      <c r="AD41" s="69">
        <v>-1283.6541643684502</v>
      </c>
      <c r="AE41" s="69">
        <v>33095</v>
      </c>
    </row>
    <row r="42" spans="1:31" x14ac:dyDescent="0.3">
      <c r="A42" s="355" t="s">
        <v>1240</v>
      </c>
      <c r="B42" s="274" t="s">
        <v>1420</v>
      </c>
      <c r="C42" s="274" t="s">
        <v>1419</v>
      </c>
      <c r="D42" s="275" t="s">
        <v>686</v>
      </c>
      <c r="E42" s="274">
        <v>0</v>
      </c>
      <c r="F42" s="274">
        <v>5.625</v>
      </c>
      <c r="G42" s="274">
        <v>13</v>
      </c>
      <c r="H42" s="274" t="s">
        <v>967</v>
      </c>
      <c r="I42" s="276" t="s">
        <v>970</v>
      </c>
      <c r="J42" s="282">
        <v>6.9063299999999994E-2</v>
      </c>
      <c r="K42" s="282">
        <v>0.39969705999999999</v>
      </c>
      <c r="L42" s="274">
        <v>2.4957199999999999E-2</v>
      </c>
      <c r="M42" s="274">
        <v>0.27000078</v>
      </c>
      <c r="N42" s="347">
        <v>0.10153376059659325</v>
      </c>
      <c r="O42" s="347">
        <v>0.31831376523437088</v>
      </c>
      <c r="P42" s="347">
        <v>0.33912718965361816</v>
      </c>
      <c r="Q42" s="276">
        <v>465.625</v>
      </c>
      <c r="R42" s="275">
        <v>-11996.999999999996</v>
      </c>
      <c r="S42" s="274">
        <v>1434</v>
      </c>
      <c r="T42" s="274">
        <v>1</v>
      </c>
      <c r="U42" s="274">
        <v>409.447</v>
      </c>
      <c r="V42" s="274">
        <v>1547.4999999999998</v>
      </c>
      <c r="W42" s="276">
        <v>0</v>
      </c>
      <c r="X42" s="337" t="s">
        <v>1321</v>
      </c>
      <c r="Y42" s="337" t="s">
        <v>1322</v>
      </c>
      <c r="Z42" s="69">
        <v>103762.82653061223</v>
      </c>
      <c r="AA42" s="69">
        <v>-1011.9059285714289</v>
      </c>
      <c r="AB42" s="69">
        <v>107310</v>
      </c>
      <c r="AC42" s="69">
        <v>23909.928571428569</v>
      </c>
      <c r="AD42" s="69">
        <v>-1295.387755102041</v>
      </c>
      <c r="AE42" s="69">
        <v>32964</v>
      </c>
    </row>
    <row r="43" spans="1:31" x14ac:dyDescent="0.3">
      <c r="A43" s="355" t="s">
        <v>1241</v>
      </c>
      <c r="B43" s="274" t="s">
        <v>1420</v>
      </c>
      <c r="C43" s="274" t="s">
        <v>1421</v>
      </c>
      <c r="D43" s="275" t="s">
        <v>684</v>
      </c>
      <c r="E43" s="274">
        <v>0</v>
      </c>
      <c r="F43" s="274">
        <v>6.125</v>
      </c>
      <c r="G43" s="274">
        <v>12</v>
      </c>
      <c r="H43" s="274" t="s">
        <v>967</v>
      </c>
      <c r="I43" s="276" t="s">
        <v>970</v>
      </c>
      <c r="J43" s="282">
        <v>0.13796337</v>
      </c>
      <c r="K43" s="282">
        <v>0.83918208000000005</v>
      </c>
      <c r="L43" s="274">
        <v>4.0355990000000001E-2</v>
      </c>
      <c r="M43" s="274">
        <v>0.49151228000000002</v>
      </c>
      <c r="N43" s="347">
        <v>0.11874056181127388</v>
      </c>
      <c r="O43" s="347">
        <v>0.68135128265842837</v>
      </c>
      <c r="P43" s="347">
        <v>0.60299348541801412</v>
      </c>
      <c r="Q43" s="276">
        <v>362.5</v>
      </c>
      <c r="R43" s="275">
        <v>-15506.999999999991</v>
      </c>
      <c r="S43" s="274">
        <v>1805.9999999999998</v>
      </c>
      <c r="T43" s="274">
        <v>1</v>
      </c>
      <c r="U43" s="274">
        <v>461.697</v>
      </c>
      <c r="V43" s="274">
        <v>1592.5</v>
      </c>
      <c r="W43" s="276">
        <v>378</v>
      </c>
      <c r="X43" s="337" t="s">
        <v>1323</v>
      </c>
      <c r="Y43" s="337" t="s">
        <v>1324</v>
      </c>
      <c r="Z43" s="69">
        <v>144234.04136789852</v>
      </c>
      <c r="AA43" s="69">
        <v>-253.98062603419777</v>
      </c>
      <c r="AB43" s="69">
        <v>144448</v>
      </c>
      <c r="AC43" s="69">
        <v>35412.717595146169</v>
      </c>
      <c r="AD43" s="69">
        <v>-971.79247104247122</v>
      </c>
      <c r="AE43" s="69">
        <v>39635</v>
      </c>
    </row>
    <row r="44" spans="1:31" x14ac:dyDescent="0.3">
      <c r="A44" s="355" t="s">
        <v>1241</v>
      </c>
      <c r="B44" s="274" t="s">
        <v>1420</v>
      </c>
      <c r="C44" s="274" t="s">
        <v>1421</v>
      </c>
      <c r="D44" s="275" t="s">
        <v>684</v>
      </c>
      <c r="E44" s="274">
        <v>0</v>
      </c>
      <c r="F44" s="274">
        <v>6.125</v>
      </c>
      <c r="G44" s="274">
        <v>12.5</v>
      </c>
      <c r="H44" s="274" t="s">
        <v>967</v>
      </c>
      <c r="I44" s="276" t="s">
        <v>970</v>
      </c>
      <c r="J44" s="282">
        <v>0.13644928000000001</v>
      </c>
      <c r="K44" s="282">
        <v>0.83547937999999999</v>
      </c>
      <c r="L44" s="274">
        <v>3.9793660000000002E-2</v>
      </c>
      <c r="M44" s="274">
        <v>0.48936038999999998</v>
      </c>
      <c r="N44" s="347">
        <v>0.11245720591972072</v>
      </c>
      <c r="O44" s="347">
        <v>0.67829094368704568</v>
      </c>
      <c r="P44" s="347">
        <v>0.60146887891606227</v>
      </c>
      <c r="Q44" s="276">
        <v>372.5</v>
      </c>
      <c r="R44" s="275">
        <v>-15506.999999999991</v>
      </c>
      <c r="S44" s="274">
        <v>1805.9999999999998</v>
      </c>
      <c r="T44" s="274">
        <v>1</v>
      </c>
      <c r="U44" s="274">
        <v>461.697</v>
      </c>
      <c r="V44" s="274">
        <v>1592.5</v>
      </c>
      <c r="W44" s="276">
        <v>378</v>
      </c>
      <c r="X44" s="337" t="s">
        <v>1325</v>
      </c>
      <c r="Y44" s="337" t="s">
        <v>1326</v>
      </c>
      <c r="Z44" s="69">
        <v>143851.56122448979</v>
      </c>
      <c r="AA44" s="69">
        <v>-280.91485714285761</v>
      </c>
      <c r="AB44" s="69">
        <v>144061</v>
      </c>
      <c r="AC44" s="69">
        <v>35127.275510204076</v>
      </c>
      <c r="AD44" s="69">
        <v>-991.57687755102074</v>
      </c>
      <c r="AE44" s="69">
        <v>39542</v>
      </c>
    </row>
    <row r="45" spans="1:31" x14ac:dyDescent="0.3">
      <c r="A45" s="355" t="s">
        <v>1241</v>
      </c>
      <c r="B45" s="274" t="s">
        <v>1420</v>
      </c>
      <c r="C45" s="274" t="s">
        <v>1419</v>
      </c>
      <c r="D45" s="275" t="s">
        <v>684</v>
      </c>
      <c r="E45" s="274">
        <v>0</v>
      </c>
      <c r="F45" s="274">
        <v>6.125</v>
      </c>
      <c r="G45" s="274">
        <v>13</v>
      </c>
      <c r="H45" s="274" t="s">
        <v>967</v>
      </c>
      <c r="I45" s="276" t="s">
        <v>970</v>
      </c>
      <c r="J45" s="282">
        <v>0.14859987</v>
      </c>
      <c r="K45" s="282">
        <v>0.86686423999999995</v>
      </c>
      <c r="L45" s="274">
        <v>4.6233110000000001E-2</v>
      </c>
      <c r="M45" s="274">
        <v>0.51199337</v>
      </c>
      <c r="N45" s="347">
        <v>0.10680541816305447</v>
      </c>
      <c r="O45" s="347">
        <v>0.70390152443741516</v>
      </c>
      <c r="P45" s="347">
        <v>0.61486687748636126</v>
      </c>
      <c r="Q45" s="276">
        <v>382.5</v>
      </c>
      <c r="R45" s="275">
        <v>-15506.999999999991</v>
      </c>
      <c r="S45" s="274">
        <v>1805.9999999999998</v>
      </c>
      <c r="T45" s="274">
        <v>1</v>
      </c>
      <c r="U45" s="274">
        <v>461.697</v>
      </c>
      <c r="V45" s="274">
        <v>1592.5</v>
      </c>
      <c r="W45" s="276">
        <v>378</v>
      </c>
      <c r="X45" s="337" t="s">
        <v>1327</v>
      </c>
      <c r="Y45" s="337" t="s">
        <v>1328</v>
      </c>
      <c r="Z45" s="69">
        <v>147159.8280188186</v>
      </c>
      <c r="AA45" s="69">
        <v>-31.321344746471382</v>
      </c>
      <c r="AB45" s="69">
        <v>147231</v>
      </c>
      <c r="AC45" s="69">
        <v>37472.266074228959</v>
      </c>
      <c r="AD45" s="69">
        <v>-832.78251437532674</v>
      </c>
      <c r="AE45" s="69">
        <v>40459</v>
      </c>
    </row>
    <row r="46" spans="1:31" x14ac:dyDescent="0.3">
      <c r="A46" s="355" t="s">
        <v>1241</v>
      </c>
      <c r="B46" s="274" t="s">
        <v>1420</v>
      </c>
      <c r="C46" s="274" t="s">
        <v>1419</v>
      </c>
      <c r="D46" s="275" t="s">
        <v>686</v>
      </c>
      <c r="E46" s="274">
        <v>0</v>
      </c>
      <c r="F46" s="274">
        <v>6.125</v>
      </c>
      <c r="G46" s="274">
        <v>12</v>
      </c>
      <c r="H46" s="274" t="s">
        <v>967</v>
      </c>
      <c r="I46" s="276" t="s">
        <v>970</v>
      </c>
      <c r="J46" s="282">
        <v>0.10550675</v>
      </c>
      <c r="K46" s="282">
        <v>0.63088246999999997</v>
      </c>
      <c r="L46" s="274">
        <v>3.0351880000000001E-2</v>
      </c>
      <c r="M46" s="274">
        <v>0.36814153999999999</v>
      </c>
      <c r="N46" s="347">
        <v>0.11613460910939166</v>
      </c>
      <c r="O46" s="347">
        <v>0.44585635355671649</v>
      </c>
      <c r="P46" s="347">
        <v>0.43520947485200001</v>
      </c>
      <c r="Q46" s="276">
        <v>453.125</v>
      </c>
      <c r="R46" s="275">
        <v>-15506.999999999991</v>
      </c>
      <c r="S46" s="274">
        <v>1805.9999999999998</v>
      </c>
      <c r="T46" s="274">
        <v>1</v>
      </c>
      <c r="U46" s="274">
        <v>461.697</v>
      </c>
      <c r="V46" s="274">
        <v>1592.5</v>
      </c>
      <c r="W46" s="276">
        <v>378</v>
      </c>
      <c r="X46" s="337" t="s">
        <v>1329</v>
      </c>
      <c r="Y46" s="337" t="s">
        <v>1330</v>
      </c>
      <c r="Z46" s="69">
        <v>144648.53833425263</v>
      </c>
      <c r="AA46" s="69">
        <v>-138.09530281301741</v>
      </c>
      <c r="AB46" s="69">
        <v>144783</v>
      </c>
      <c r="AC46" s="69">
        <v>35653.987313844453</v>
      </c>
      <c r="AD46" s="69">
        <v>-905.06867071152817</v>
      </c>
      <c r="AE46" s="69">
        <v>39476</v>
      </c>
    </row>
    <row r="47" spans="1:31" x14ac:dyDescent="0.3">
      <c r="A47" s="355" t="s">
        <v>1241</v>
      </c>
      <c r="B47" s="274" t="s">
        <v>1420</v>
      </c>
      <c r="C47" s="274" t="s">
        <v>1421</v>
      </c>
      <c r="D47" s="275" t="s">
        <v>686</v>
      </c>
      <c r="E47" s="274">
        <v>0</v>
      </c>
      <c r="F47" s="274">
        <v>6.125</v>
      </c>
      <c r="G47" s="274">
        <v>12.5</v>
      </c>
      <c r="H47" s="274" t="s">
        <v>967</v>
      </c>
      <c r="I47" s="276" t="s">
        <v>970</v>
      </c>
      <c r="J47" s="282">
        <v>0.10476557</v>
      </c>
      <c r="K47" s="282">
        <v>0.62869478999999995</v>
      </c>
      <c r="L47" s="274">
        <v>2.9803139999999999E-2</v>
      </c>
      <c r="M47" s="274">
        <v>0.36621274999999998</v>
      </c>
      <c r="N47" s="347">
        <v>0.11000293901757818</v>
      </c>
      <c r="O47" s="347">
        <v>0.44404016223023279</v>
      </c>
      <c r="P47" s="347">
        <v>0.43415991752189453</v>
      </c>
      <c r="Q47" s="276">
        <v>465.625</v>
      </c>
      <c r="R47" s="275">
        <v>-15506.999999999991</v>
      </c>
      <c r="S47" s="274">
        <v>1805.9999999999998</v>
      </c>
      <c r="T47" s="274">
        <v>1</v>
      </c>
      <c r="U47" s="274">
        <v>461.697</v>
      </c>
      <c r="V47" s="274">
        <v>1592.5</v>
      </c>
      <c r="W47" s="276">
        <v>378</v>
      </c>
      <c r="X47" s="337" t="s">
        <v>1331</v>
      </c>
      <c r="Y47" s="337" t="s">
        <v>1332</v>
      </c>
      <c r="Z47" s="69">
        <v>144274.9081632653</v>
      </c>
      <c r="AA47" s="69">
        <v>-166.06162244898005</v>
      </c>
      <c r="AB47" s="69">
        <v>144417</v>
      </c>
      <c r="AC47" s="69">
        <v>35396.857142857145</v>
      </c>
      <c r="AD47" s="69">
        <v>-921.16515306122483</v>
      </c>
      <c r="AE47" s="69">
        <v>39386</v>
      </c>
    </row>
    <row r="48" spans="1:31" x14ac:dyDescent="0.3">
      <c r="A48" s="355" t="s">
        <v>1241</v>
      </c>
      <c r="B48" s="274" t="s">
        <v>1420</v>
      </c>
      <c r="C48" s="274" t="s">
        <v>1419</v>
      </c>
      <c r="D48" s="275" t="s">
        <v>686</v>
      </c>
      <c r="E48" s="274">
        <v>0</v>
      </c>
      <c r="F48" s="274">
        <v>6.125</v>
      </c>
      <c r="G48" s="274">
        <v>13</v>
      </c>
      <c r="H48" s="274" t="s">
        <v>967</v>
      </c>
      <c r="I48" s="276" t="s">
        <v>970</v>
      </c>
      <c r="J48" s="282">
        <v>0.11368237</v>
      </c>
      <c r="K48" s="282">
        <v>0.65239866999999996</v>
      </c>
      <c r="L48" s="274">
        <v>3.4818090000000003E-2</v>
      </c>
      <c r="M48" s="274">
        <v>0.38408220999999998</v>
      </c>
      <c r="N48" s="347">
        <v>0.10448627705982214</v>
      </c>
      <c r="O48" s="347">
        <v>0.45948676932305932</v>
      </c>
      <c r="P48" s="347">
        <v>0.44347767206098992</v>
      </c>
      <c r="Q48" s="276">
        <v>478.125</v>
      </c>
      <c r="R48" s="275">
        <v>-15506.999999999991</v>
      </c>
      <c r="S48" s="274">
        <v>1805.9999999999998</v>
      </c>
      <c r="T48" s="274">
        <v>1</v>
      </c>
      <c r="U48" s="274">
        <v>461.697</v>
      </c>
      <c r="V48" s="274">
        <v>1592.5</v>
      </c>
      <c r="W48" s="276">
        <v>378</v>
      </c>
      <c r="X48" s="337" t="s">
        <v>1333</v>
      </c>
      <c r="Y48" s="337" t="s">
        <v>1334</v>
      </c>
      <c r="Z48" s="69">
        <v>147399.81651855726</v>
      </c>
      <c r="AA48" s="69">
        <v>71.456351542080597</v>
      </c>
      <c r="AB48" s="69">
        <v>147409</v>
      </c>
      <c r="AC48" s="69">
        <v>37606.489806586513</v>
      </c>
      <c r="AD48" s="69">
        <v>-773.29021118661785</v>
      </c>
      <c r="AE48" s="69">
        <v>40297</v>
      </c>
    </row>
    <row r="49" spans="1:31" x14ac:dyDescent="0.3">
      <c r="A49" s="355" t="s">
        <v>1242</v>
      </c>
      <c r="B49" s="274" t="s">
        <v>1420</v>
      </c>
      <c r="C49" s="274" t="s">
        <v>1419</v>
      </c>
      <c r="D49" s="275" t="s">
        <v>684</v>
      </c>
      <c r="E49" s="274">
        <v>0</v>
      </c>
      <c r="F49" s="274">
        <v>6.125</v>
      </c>
      <c r="G49" s="274">
        <v>12</v>
      </c>
      <c r="H49" s="274" t="s">
        <v>967</v>
      </c>
      <c r="I49" s="276" t="s">
        <v>970</v>
      </c>
      <c r="J49" s="282">
        <v>0.27872553</v>
      </c>
      <c r="K49" s="282">
        <v>1.4574180000000001</v>
      </c>
      <c r="L49" s="274">
        <v>3.3202049999999997E-2</v>
      </c>
      <c r="M49" s="274">
        <v>0.42410819</v>
      </c>
      <c r="N49" s="347">
        <v>0.10621408496085377</v>
      </c>
      <c r="O49" s="347">
        <v>0.86727545229788405</v>
      </c>
      <c r="P49" s="347">
        <v>0.77183925348068094</v>
      </c>
      <c r="Q49" s="276">
        <v>362.5</v>
      </c>
      <c r="R49" s="275">
        <v>-26891.999999999996</v>
      </c>
      <c r="S49" s="274">
        <v>2760</v>
      </c>
      <c r="T49" s="274">
        <v>1</v>
      </c>
      <c r="U49" s="274">
        <v>410.10699999999997</v>
      </c>
      <c r="V49" s="274">
        <v>1424.5</v>
      </c>
      <c r="W49" s="276">
        <v>0</v>
      </c>
      <c r="X49" s="337" t="s">
        <v>1335</v>
      </c>
      <c r="Y49" s="337" t="s">
        <v>1336</v>
      </c>
      <c r="Z49" s="69">
        <v>221372.94594594598</v>
      </c>
      <c r="AA49" s="69">
        <v>275.66756867071109</v>
      </c>
      <c r="AB49" s="69">
        <v>221677</v>
      </c>
      <c r="AC49" s="69">
        <v>30813.039161610588</v>
      </c>
      <c r="AD49" s="69">
        <v>-946.79453943739679</v>
      </c>
      <c r="AE49" s="69">
        <v>35089</v>
      </c>
    </row>
    <row r="50" spans="1:31" x14ac:dyDescent="0.3">
      <c r="A50" s="355" t="s">
        <v>1242</v>
      </c>
      <c r="B50" s="274" t="s">
        <v>1420</v>
      </c>
      <c r="C50" s="274" t="s">
        <v>1419</v>
      </c>
      <c r="D50" s="275" t="s">
        <v>684</v>
      </c>
      <c r="E50" s="274">
        <v>0</v>
      </c>
      <c r="F50" s="274">
        <v>6.125</v>
      </c>
      <c r="G50" s="274">
        <v>12.5</v>
      </c>
      <c r="H50" s="274" t="s">
        <v>967</v>
      </c>
      <c r="I50" s="276" t="s">
        <v>970</v>
      </c>
      <c r="J50" s="282">
        <v>0.27631123000000002</v>
      </c>
      <c r="K50" s="282">
        <v>1.4516891599999999</v>
      </c>
      <c r="L50" s="274">
        <v>3.2400890000000002E-2</v>
      </c>
      <c r="M50" s="274">
        <v>0.42147873000000002</v>
      </c>
      <c r="N50" s="347">
        <v>0.10059358859192601</v>
      </c>
      <c r="O50" s="347">
        <v>0.86429176686903875</v>
      </c>
      <c r="P50" s="347">
        <v>0.76998770065419975</v>
      </c>
      <c r="Q50" s="276">
        <v>372.5</v>
      </c>
      <c r="R50" s="275">
        <v>-26891.999999999996</v>
      </c>
      <c r="S50" s="274">
        <v>2760</v>
      </c>
      <c r="T50" s="274">
        <v>1</v>
      </c>
      <c r="U50" s="274">
        <v>410.10699999999997</v>
      </c>
      <c r="V50" s="274">
        <v>1424.5</v>
      </c>
      <c r="W50" s="276">
        <v>0</v>
      </c>
      <c r="X50" s="337" t="s">
        <v>1337</v>
      </c>
      <c r="Y50" s="337" t="s">
        <v>1338</v>
      </c>
      <c r="Z50" s="69">
        <v>220906.8469387755</v>
      </c>
      <c r="AA50" s="69">
        <v>241.79559489795864</v>
      </c>
      <c r="AB50" s="69">
        <v>221140</v>
      </c>
      <c r="AC50" s="69">
        <v>30572.68367346939</v>
      </c>
      <c r="AD50" s="69">
        <v>-959.35187755102061</v>
      </c>
      <c r="AE50" s="69">
        <v>35005</v>
      </c>
    </row>
    <row r="51" spans="1:31" x14ac:dyDescent="0.3">
      <c r="A51" s="355" t="s">
        <v>1242</v>
      </c>
      <c r="B51" s="274" t="s">
        <v>1420</v>
      </c>
      <c r="C51" s="274" t="s">
        <v>1419</v>
      </c>
      <c r="D51" s="275" t="s">
        <v>684</v>
      </c>
      <c r="E51" s="274">
        <v>0</v>
      </c>
      <c r="F51" s="274">
        <v>6.125</v>
      </c>
      <c r="G51" s="274">
        <v>13</v>
      </c>
      <c r="H51" s="274" t="s">
        <v>967</v>
      </c>
      <c r="I51" s="276" t="s">
        <v>970</v>
      </c>
      <c r="J51" s="282">
        <v>0.29710451999999998</v>
      </c>
      <c r="K51" s="282">
        <v>1.5020936899999999</v>
      </c>
      <c r="L51" s="274">
        <v>3.8090220000000001E-2</v>
      </c>
      <c r="M51" s="274">
        <v>0.44179115000000002</v>
      </c>
      <c r="N51" s="347">
        <v>9.5538033389809179E-2</v>
      </c>
      <c r="O51" s="347">
        <v>0.89081138068765864</v>
      </c>
      <c r="P51" s="347">
        <v>0.7861582672160301</v>
      </c>
      <c r="Q51" s="276">
        <v>382.5</v>
      </c>
      <c r="R51" s="275">
        <v>-26891.999999999996</v>
      </c>
      <c r="S51" s="274">
        <v>2760</v>
      </c>
      <c r="T51" s="274">
        <v>1</v>
      </c>
      <c r="U51" s="274">
        <v>410.10699999999997</v>
      </c>
      <c r="V51" s="274">
        <v>1424.5</v>
      </c>
      <c r="W51" s="276">
        <v>0</v>
      </c>
      <c r="X51" s="337" t="s">
        <v>1339</v>
      </c>
      <c r="Y51" s="337" t="s">
        <v>1340</v>
      </c>
      <c r="Z51" s="69">
        <v>224904.66806063775</v>
      </c>
      <c r="AA51" s="69">
        <v>548.15343078933631</v>
      </c>
      <c r="AB51" s="69">
        <v>225660</v>
      </c>
      <c r="AC51" s="69">
        <v>32768.020909566127</v>
      </c>
      <c r="AD51" s="69">
        <v>-814.37803972817562</v>
      </c>
      <c r="AE51" s="69">
        <v>35812</v>
      </c>
    </row>
    <row r="52" spans="1:31" x14ac:dyDescent="0.3">
      <c r="A52" s="355" t="s">
        <v>1242</v>
      </c>
      <c r="B52" s="274" t="s">
        <v>1420</v>
      </c>
      <c r="C52" s="274" t="s">
        <v>1419</v>
      </c>
      <c r="D52" s="275" t="s">
        <v>686</v>
      </c>
      <c r="E52" s="274">
        <v>0</v>
      </c>
      <c r="F52" s="274">
        <v>6.125</v>
      </c>
      <c r="G52" s="274">
        <v>12</v>
      </c>
      <c r="H52" s="274" t="s">
        <v>967</v>
      </c>
      <c r="I52" s="276" t="s">
        <v>970</v>
      </c>
      <c r="J52" s="282">
        <v>0.21333995</v>
      </c>
      <c r="K52" s="282">
        <v>1.0957746799999999</v>
      </c>
      <c r="L52" s="274">
        <v>2.4899520000000001E-2</v>
      </c>
      <c r="M52" s="274">
        <v>0.31785558000000003</v>
      </c>
      <c r="N52" s="347">
        <v>0.1038830459505987</v>
      </c>
      <c r="O52" s="347">
        <v>0.57038814949847605</v>
      </c>
      <c r="P52" s="347">
        <v>0.55828062399051537</v>
      </c>
      <c r="Q52" s="276">
        <v>453.125</v>
      </c>
      <c r="R52" s="275">
        <v>-26891.999999999996</v>
      </c>
      <c r="S52" s="274">
        <v>2760</v>
      </c>
      <c r="T52" s="274">
        <v>1</v>
      </c>
      <c r="U52" s="274">
        <v>410.10699999999997</v>
      </c>
      <c r="V52" s="274">
        <v>1424.5</v>
      </c>
      <c r="W52" s="276">
        <v>0</v>
      </c>
      <c r="X52" s="337" t="s">
        <v>1341</v>
      </c>
      <c r="Y52" s="337" t="s">
        <v>1342</v>
      </c>
      <c r="Z52" s="69">
        <v>221774.59073359071</v>
      </c>
      <c r="AA52" s="69">
        <v>415.97761439602834</v>
      </c>
      <c r="AB52" s="69">
        <v>222291</v>
      </c>
      <c r="AC52" s="69">
        <v>31085.377275234412</v>
      </c>
      <c r="AD52" s="69">
        <v>-881.63541092112541</v>
      </c>
      <c r="AE52" s="69">
        <v>34971</v>
      </c>
    </row>
    <row r="53" spans="1:31" x14ac:dyDescent="0.3">
      <c r="A53" s="355" t="s">
        <v>1242</v>
      </c>
      <c r="B53" s="274" t="s">
        <v>1420</v>
      </c>
      <c r="C53" s="274" t="s">
        <v>1419</v>
      </c>
      <c r="D53" s="275" t="s">
        <v>686</v>
      </c>
      <c r="E53" s="274">
        <v>0</v>
      </c>
      <c r="F53" s="274">
        <v>6.125</v>
      </c>
      <c r="G53" s="274">
        <v>12.5</v>
      </c>
      <c r="H53" s="274" t="s">
        <v>967</v>
      </c>
      <c r="I53" s="276" t="s">
        <v>970</v>
      </c>
      <c r="J53" s="282">
        <v>0.21215677999999999</v>
      </c>
      <c r="K53" s="282">
        <v>1.0923899500000001</v>
      </c>
      <c r="L53" s="274">
        <v>2.4489540000000001E-2</v>
      </c>
      <c r="M53" s="274">
        <v>0.31625436000000001</v>
      </c>
      <c r="N53" s="347">
        <v>9.8398233362976525E-2</v>
      </c>
      <c r="O53" s="347">
        <v>0.56845363409055361</v>
      </c>
      <c r="P53" s="347">
        <v>0.55702651508338386</v>
      </c>
      <c r="Q53" s="276">
        <v>465.625</v>
      </c>
      <c r="R53" s="275">
        <v>-26891.999999999996</v>
      </c>
      <c r="S53" s="274">
        <v>2760</v>
      </c>
      <c r="T53" s="274">
        <v>1</v>
      </c>
      <c r="U53" s="274">
        <v>410.10699999999997</v>
      </c>
      <c r="V53" s="274">
        <v>1424.5</v>
      </c>
      <c r="W53" s="276">
        <v>0</v>
      </c>
      <c r="X53" s="337" t="s">
        <v>1343</v>
      </c>
      <c r="Y53" s="337" t="s">
        <v>1344</v>
      </c>
      <c r="Z53" s="69">
        <v>221323.47959183675</v>
      </c>
      <c r="AA53" s="69">
        <v>381.70790102040758</v>
      </c>
      <c r="AB53" s="69">
        <v>221795</v>
      </c>
      <c r="AC53" s="69">
        <v>30834.397959183669</v>
      </c>
      <c r="AD53" s="69">
        <v>-898.31031632653082</v>
      </c>
      <c r="AE53" s="69">
        <v>34889</v>
      </c>
    </row>
    <row r="54" spans="1:31" x14ac:dyDescent="0.3">
      <c r="A54" s="355" t="s">
        <v>1242</v>
      </c>
      <c r="B54" s="274" t="s">
        <v>1420</v>
      </c>
      <c r="C54" s="274" t="s">
        <v>1419</v>
      </c>
      <c r="D54" s="275" t="s">
        <v>686</v>
      </c>
      <c r="E54" s="274">
        <v>0</v>
      </c>
      <c r="F54" s="274">
        <v>6.125</v>
      </c>
      <c r="G54" s="274">
        <v>13</v>
      </c>
      <c r="H54" s="274" t="s">
        <v>967</v>
      </c>
      <c r="I54" s="276" t="s">
        <v>970</v>
      </c>
      <c r="J54" s="282">
        <v>0.22765192000000001</v>
      </c>
      <c r="K54" s="282">
        <v>1.1306750800000001</v>
      </c>
      <c r="L54" s="274">
        <v>2.8463570000000001E-2</v>
      </c>
      <c r="M54" s="274">
        <v>0.33122973</v>
      </c>
      <c r="N54" s="347">
        <v>9.3463548930434306E-2</v>
      </c>
      <c r="O54" s="347">
        <v>0.58468530698999477</v>
      </c>
      <c r="P54" s="347">
        <v>0.56863347024830935</v>
      </c>
      <c r="Q54" s="276">
        <v>478.125</v>
      </c>
      <c r="R54" s="275">
        <v>-26891.999999999996</v>
      </c>
      <c r="S54" s="274">
        <v>2760</v>
      </c>
      <c r="T54" s="274">
        <v>1</v>
      </c>
      <c r="U54" s="274">
        <v>410.10699999999997</v>
      </c>
      <c r="V54" s="274">
        <v>1424.5</v>
      </c>
      <c r="W54" s="276">
        <v>0</v>
      </c>
      <c r="X54" s="337" t="s">
        <v>1345</v>
      </c>
      <c r="Y54" s="337" t="s">
        <v>1346</v>
      </c>
      <c r="Z54" s="69">
        <v>225091.15629900678</v>
      </c>
      <c r="AA54" s="69">
        <v>671.96456429691602</v>
      </c>
      <c r="AB54" s="69">
        <v>226282</v>
      </c>
      <c r="AC54" s="69">
        <v>32947.754835337168</v>
      </c>
      <c r="AD54" s="69">
        <v>-754.31875169890225</v>
      </c>
      <c r="AE54" s="69">
        <v>35693</v>
      </c>
    </row>
    <row r="55" spans="1:31" x14ac:dyDescent="0.3">
      <c r="A55" s="355" t="s">
        <v>1243</v>
      </c>
      <c r="B55" s="274" t="s">
        <v>1420</v>
      </c>
      <c r="C55" s="274" t="s">
        <v>1421</v>
      </c>
      <c r="D55" s="275" t="s">
        <v>684</v>
      </c>
      <c r="E55" s="274">
        <v>0</v>
      </c>
      <c r="F55" s="274">
        <v>6.125</v>
      </c>
      <c r="G55" s="274">
        <v>12</v>
      </c>
      <c r="H55" s="274" t="s">
        <v>967</v>
      </c>
      <c r="I55" s="276" t="s">
        <v>970</v>
      </c>
      <c r="J55" s="282">
        <v>9.1314740000000005E-2</v>
      </c>
      <c r="K55" s="282">
        <v>0.60722567000000005</v>
      </c>
      <c r="L55" s="274">
        <v>3.3180389999999997E-2</v>
      </c>
      <c r="M55" s="274">
        <v>0.42396741999999998</v>
      </c>
      <c r="N55" s="347">
        <v>0.11538525551205418</v>
      </c>
      <c r="O55" s="347">
        <v>0.55696195811484772</v>
      </c>
      <c r="P55" s="347">
        <v>0.49456111218355903</v>
      </c>
      <c r="Q55" s="276">
        <v>362.5</v>
      </c>
      <c r="R55" s="275">
        <v>-12771.000000000004</v>
      </c>
      <c r="S55" s="274">
        <v>1422</v>
      </c>
      <c r="T55" s="274">
        <v>1</v>
      </c>
      <c r="U55" s="274">
        <v>409.447</v>
      </c>
      <c r="V55" s="274">
        <v>1547.4999999999998</v>
      </c>
      <c r="W55" s="276">
        <v>60.000000000000107</v>
      </c>
      <c r="X55" s="337" t="s">
        <v>1347</v>
      </c>
      <c r="Y55" s="337" t="s">
        <v>1348</v>
      </c>
      <c r="Z55" s="69">
        <v>111510.11196911195</v>
      </c>
      <c r="AA55" s="69">
        <v>-421.97384721456177</v>
      </c>
      <c r="AB55" s="69">
        <v>112154</v>
      </c>
      <c r="AC55" s="69">
        <v>30803.039161610588</v>
      </c>
      <c r="AD55" s="69">
        <v>-947.06894649751803</v>
      </c>
      <c r="AE55" s="69">
        <v>35081</v>
      </c>
    </row>
    <row r="56" spans="1:31" x14ac:dyDescent="0.3">
      <c r="A56" s="355" t="s">
        <v>1243</v>
      </c>
      <c r="B56" s="274" t="s">
        <v>1420</v>
      </c>
      <c r="C56" s="274" t="s">
        <v>1421</v>
      </c>
      <c r="D56" s="275" t="s">
        <v>684</v>
      </c>
      <c r="E56" s="274">
        <v>0</v>
      </c>
      <c r="F56" s="274">
        <v>6.125</v>
      </c>
      <c r="G56" s="274">
        <v>12.5</v>
      </c>
      <c r="H56" s="274" t="s">
        <v>967</v>
      </c>
      <c r="I56" s="276" t="s">
        <v>970</v>
      </c>
      <c r="J56" s="282">
        <v>9.0357460000000001E-2</v>
      </c>
      <c r="K56" s="282">
        <v>0.60464370999999995</v>
      </c>
      <c r="L56" s="274">
        <v>3.2378820000000003E-2</v>
      </c>
      <c r="M56" s="274">
        <v>0.42133519000000003</v>
      </c>
      <c r="N56" s="347">
        <v>0.10927945127834712</v>
      </c>
      <c r="O56" s="347">
        <v>0.55431185033095676</v>
      </c>
      <c r="P56" s="347">
        <v>0.49336009334099273</v>
      </c>
      <c r="Q56" s="276">
        <v>372.5</v>
      </c>
      <c r="R56" s="275">
        <v>-12771.000000000004</v>
      </c>
      <c r="S56" s="274">
        <v>1422</v>
      </c>
      <c r="T56" s="274">
        <v>1</v>
      </c>
      <c r="U56" s="274">
        <v>409.447</v>
      </c>
      <c r="V56" s="274">
        <v>1547.4999999999998</v>
      </c>
      <c r="W56" s="276">
        <v>60.000000000000107</v>
      </c>
      <c r="X56" s="337" t="s">
        <v>1349</v>
      </c>
      <c r="Y56" s="337" t="s">
        <v>1350</v>
      </c>
      <c r="Z56" s="69">
        <v>111162.76530612244</v>
      </c>
      <c r="AA56" s="69">
        <v>-446.75479591836768</v>
      </c>
      <c r="AB56" s="69">
        <v>111874</v>
      </c>
      <c r="AC56" s="69">
        <v>30562.428571428572</v>
      </c>
      <c r="AD56" s="69">
        <v>-959.63270408163282</v>
      </c>
      <c r="AE56" s="69">
        <v>34997</v>
      </c>
    </row>
    <row r="57" spans="1:31" x14ac:dyDescent="0.3">
      <c r="A57" s="355" t="s">
        <v>1243</v>
      </c>
      <c r="B57" s="274" t="s">
        <v>1420</v>
      </c>
      <c r="C57" s="274" t="s">
        <v>1421</v>
      </c>
      <c r="D57" s="275" t="s">
        <v>684</v>
      </c>
      <c r="E57" s="274">
        <v>0</v>
      </c>
      <c r="F57" s="274">
        <v>6.125</v>
      </c>
      <c r="G57" s="274">
        <v>13</v>
      </c>
      <c r="H57" s="274" t="s">
        <v>967</v>
      </c>
      <c r="I57" s="276" t="s">
        <v>970</v>
      </c>
      <c r="J57" s="282">
        <v>9.9266850000000004E-2</v>
      </c>
      <c r="K57" s="282">
        <v>0.62860830999999995</v>
      </c>
      <c r="L57" s="274">
        <v>3.8071130000000002E-2</v>
      </c>
      <c r="M57" s="274">
        <v>0.44167174999999997</v>
      </c>
      <c r="N57" s="347">
        <v>0.1037873686702209</v>
      </c>
      <c r="O57" s="347">
        <v>0.5779050855113258</v>
      </c>
      <c r="P57" s="347">
        <v>0.50423606043517222</v>
      </c>
      <c r="Q57" s="276">
        <v>382.5</v>
      </c>
      <c r="R57" s="275">
        <v>-12771.000000000004</v>
      </c>
      <c r="S57" s="274">
        <v>1422</v>
      </c>
      <c r="T57" s="274">
        <v>1</v>
      </c>
      <c r="U57" s="274">
        <v>409.447</v>
      </c>
      <c r="V57" s="274">
        <v>1547.4999999999998</v>
      </c>
      <c r="W57" s="276">
        <v>60.000000000000107</v>
      </c>
      <c r="X57" s="337" t="s">
        <v>1351</v>
      </c>
      <c r="Y57" s="337" t="s">
        <v>1352</v>
      </c>
      <c r="Z57" s="69">
        <v>114119.39153162572</v>
      </c>
      <c r="AA57" s="69">
        <v>-226.0488572922111</v>
      </c>
      <c r="AB57" s="69">
        <v>114300</v>
      </c>
      <c r="AC57" s="69">
        <v>32759.765812859383</v>
      </c>
      <c r="AD57" s="69">
        <v>-814.84905018295876</v>
      </c>
      <c r="AE57" s="69">
        <v>35805</v>
      </c>
    </row>
    <row r="58" spans="1:31" x14ac:dyDescent="0.3">
      <c r="A58" s="355" t="s">
        <v>1243</v>
      </c>
      <c r="B58" s="274" t="s">
        <v>1420</v>
      </c>
      <c r="C58" s="274" t="s">
        <v>1421</v>
      </c>
      <c r="D58" s="275" t="s">
        <v>686</v>
      </c>
      <c r="E58" s="274">
        <v>0</v>
      </c>
      <c r="F58" s="274">
        <v>6.125</v>
      </c>
      <c r="G58" s="274">
        <v>12</v>
      </c>
      <c r="H58" s="274" t="s">
        <v>967</v>
      </c>
      <c r="I58" s="276" t="s">
        <v>970</v>
      </c>
      <c r="J58" s="282">
        <v>7.0017629999999997E-2</v>
      </c>
      <c r="K58" s="282">
        <v>0.45695678000000001</v>
      </c>
      <c r="L58" s="274">
        <v>2.4871830000000001E-2</v>
      </c>
      <c r="M58" s="274">
        <v>0.31762297</v>
      </c>
      <c r="N58" s="347">
        <v>0.11285294040614353</v>
      </c>
      <c r="O58" s="347">
        <v>0.36466872261297034</v>
      </c>
      <c r="P58" s="347">
        <v>0.35666506191430714</v>
      </c>
      <c r="Q58" s="276">
        <v>453.125</v>
      </c>
      <c r="R58" s="275">
        <v>-12771.000000000004</v>
      </c>
      <c r="S58" s="274">
        <v>1422</v>
      </c>
      <c r="T58" s="274">
        <v>1</v>
      </c>
      <c r="U58" s="274">
        <v>409.447</v>
      </c>
      <c r="V58" s="274">
        <v>1547.4999999999998</v>
      </c>
      <c r="W58" s="276">
        <v>60.000000000000107</v>
      </c>
      <c r="X58" s="337" t="s">
        <v>1353</v>
      </c>
      <c r="Y58" s="337" t="s">
        <v>1354</v>
      </c>
      <c r="Z58" s="69">
        <v>111929.29288472145</v>
      </c>
      <c r="AA58" s="69">
        <v>-320.38860783232241</v>
      </c>
      <c r="AB58" s="69">
        <v>112316</v>
      </c>
      <c r="AC58" s="69">
        <v>31063.066740209597</v>
      </c>
      <c r="AD58" s="69">
        <v>-881.82018753447346</v>
      </c>
      <c r="AE58" s="69">
        <v>34951</v>
      </c>
    </row>
    <row r="59" spans="1:31" x14ac:dyDescent="0.3">
      <c r="A59" s="355" t="s">
        <v>1243</v>
      </c>
      <c r="B59" s="274" t="s">
        <v>1420</v>
      </c>
      <c r="C59" s="274" t="s">
        <v>1421</v>
      </c>
      <c r="D59" s="275" t="s">
        <v>686</v>
      </c>
      <c r="E59" s="274">
        <v>0</v>
      </c>
      <c r="F59" s="274">
        <v>6.125</v>
      </c>
      <c r="G59" s="274">
        <v>12.5</v>
      </c>
      <c r="H59" s="274" t="s">
        <v>967</v>
      </c>
      <c r="I59" s="276" t="s">
        <v>970</v>
      </c>
      <c r="J59" s="282">
        <v>6.9110530000000003E-2</v>
      </c>
      <c r="K59" s="282">
        <v>0.45467111999999998</v>
      </c>
      <c r="L59" s="274">
        <v>2.4461610000000002E-2</v>
      </c>
      <c r="M59" s="274">
        <v>0.31602002000000001</v>
      </c>
      <c r="N59" s="347">
        <v>0.10689453571723843</v>
      </c>
      <c r="O59" s="347">
        <v>0.36298464062984342</v>
      </c>
      <c r="P59" s="347">
        <v>0.35585259029444233</v>
      </c>
      <c r="Q59" s="276">
        <v>465.625</v>
      </c>
      <c r="R59" s="275">
        <v>-12771.000000000004</v>
      </c>
      <c r="S59" s="274">
        <v>1422</v>
      </c>
      <c r="T59" s="274">
        <v>1</v>
      </c>
      <c r="U59" s="274">
        <v>409.447</v>
      </c>
      <c r="V59" s="274">
        <v>1547.4999999999998</v>
      </c>
      <c r="W59" s="276">
        <v>60.000000000000107</v>
      </c>
      <c r="X59" s="337" t="s">
        <v>1355</v>
      </c>
      <c r="Y59" s="337" t="s">
        <v>1356</v>
      </c>
      <c r="Z59" s="69">
        <v>111611.24489795919</v>
      </c>
      <c r="AA59" s="69">
        <v>-342.16113265306166</v>
      </c>
      <c r="AB59" s="69">
        <v>112061</v>
      </c>
      <c r="AC59" s="69">
        <v>30812.397959183669</v>
      </c>
      <c r="AD59" s="69">
        <v>-898.4980306122452</v>
      </c>
      <c r="AE59" s="69">
        <v>34869</v>
      </c>
    </row>
    <row r="60" spans="1:31" x14ac:dyDescent="0.3">
      <c r="A60" s="355" t="s">
        <v>1243</v>
      </c>
      <c r="B60" s="274" t="s">
        <v>1420</v>
      </c>
      <c r="C60" s="274" t="s">
        <v>1421</v>
      </c>
      <c r="D60" s="275" t="s">
        <v>686</v>
      </c>
      <c r="E60" s="274">
        <v>0</v>
      </c>
      <c r="F60" s="274">
        <v>6.125</v>
      </c>
      <c r="G60" s="274">
        <v>13</v>
      </c>
      <c r="H60" s="274" t="s">
        <v>967</v>
      </c>
      <c r="I60" s="276" t="s">
        <v>970</v>
      </c>
      <c r="J60" s="282">
        <v>7.5736339999999999E-2</v>
      </c>
      <c r="K60" s="282">
        <v>0.47287886000000001</v>
      </c>
      <c r="L60" s="274">
        <v>2.8432829999999999E-2</v>
      </c>
      <c r="M60" s="274">
        <v>0.33099789000000002</v>
      </c>
      <c r="N60" s="347">
        <v>0.10153376059659325</v>
      </c>
      <c r="O60" s="347">
        <v>0.37738587929134237</v>
      </c>
      <c r="P60" s="347">
        <v>0.36375290223507306</v>
      </c>
      <c r="Q60" s="276">
        <v>478.125</v>
      </c>
      <c r="R60" s="275">
        <v>-12771.000000000004</v>
      </c>
      <c r="S60" s="274">
        <v>1422</v>
      </c>
      <c r="T60" s="274">
        <v>1</v>
      </c>
      <c r="U60" s="274">
        <v>409.447</v>
      </c>
      <c r="V60" s="274">
        <v>1547.4999999999998</v>
      </c>
      <c r="W60" s="276">
        <v>60.000000000000107</v>
      </c>
      <c r="X60" s="337" t="s">
        <v>1357</v>
      </c>
      <c r="Y60" s="337" t="s">
        <v>1358</v>
      </c>
      <c r="Z60" s="69">
        <v>114398.767903816</v>
      </c>
      <c r="AA60" s="69">
        <v>-133.03750182958694</v>
      </c>
      <c r="AB60" s="69">
        <v>114523</v>
      </c>
      <c r="AC60" s="69">
        <v>32926.754835337168</v>
      </c>
      <c r="AD60" s="69">
        <v>-754.58649712493457</v>
      </c>
      <c r="AE60" s="69">
        <v>35674</v>
      </c>
    </row>
    <row r="61" spans="1:31" x14ac:dyDescent="0.3">
      <c r="A61" s="355" t="s">
        <v>1244</v>
      </c>
      <c r="B61" s="274" t="s">
        <v>1420</v>
      </c>
      <c r="C61" s="274" t="s">
        <v>1421</v>
      </c>
      <c r="D61" s="275" t="s">
        <v>684</v>
      </c>
      <c r="E61" s="274">
        <v>0</v>
      </c>
      <c r="F61" s="274">
        <v>6.625</v>
      </c>
      <c r="G61" s="274">
        <v>12</v>
      </c>
      <c r="H61" s="274" t="s">
        <v>967</v>
      </c>
      <c r="I61" s="276" t="s">
        <v>970</v>
      </c>
      <c r="J61" s="282">
        <v>0.15629114999999999</v>
      </c>
      <c r="K61" s="282">
        <v>1.0121953400000001</v>
      </c>
      <c r="L61" s="274">
        <v>4.6415669999999999E-2</v>
      </c>
      <c r="M61" s="274">
        <v>0.59676046999999999</v>
      </c>
      <c r="N61" s="347">
        <v>0.11881512417347875</v>
      </c>
      <c r="O61" s="347">
        <v>0.7615645809948135</v>
      </c>
      <c r="P61" s="347">
        <v>0.65407914947945733</v>
      </c>
      <c r="Q61" s="276">
        <v>372.5</v>
      </c>
      <c r="R61" s="275">
        <v>-15381.000000000007</v>
      </c>
      <c r="S61" s="274">
        <v>1817.9999999999998</v>
      </c>
      <c r="T61" s="274">
        <v>1</v>
      </c>
      <c r="U61" s="274">
        <v>461.697</v>
      </c>
      <c r="V61" s="274">
        <v>1593.5000000000002</v>
      </c>
      <c r="W61" s="276">
        <v>60.000000000000107</v>
      </c>
      <c r="X61" s="337" t="s">
        <v>1359</v>
      </c>
      <c r="Y61" s="337" t="s">
        <v>1360</v>
      </c>
      <c r="Z61" s="69">
        <v>155368.58163265308</v>
      </c>
      <c r="AA61" s="69">
        <v>811.48221734693823</v>
      </c>
      <c r="AB61" s="69">
        <v>157351</v>
      </c>
      <c r="AC61" s="69">
        <v>42442.693877551021</v>
      </c>
      <c r="AD61" s="69">
        <v>-272.27444897959219</v>
      </c>
      <c r="AE61" s="69">
        <v>42779</v>
      </c>
    </row>
    <row r="62" spans="1:31" x14ac:dyDescent="0.3">
      <c r="A62" s="355" t="s">
        <v>1244</v>
      </c>
      <c r="B62" s="274" t="s">
        <v>1420</v>
      </c>
      <c r="C62" s="274" t="s">
        <v>1421</v>
      </c>
      <c r="D62" s="275" t="s">
        <v>684</v>
      </c>
      <c r="E62" s="274">
        <v>0</v>
      </c>
      <c r="F62" s="274">
        <v>6.625</v>
      </c>
      <c r="G62" s="274">
        <v>12.5</v>
      </c>
      <c r="H62" s="274" t="s">
        <v>967</v>
      </c>
      <c r="I62" s="276" t="s">
        <v>970</v>
      </c>
      <c r="J62" s="282">
        <v>0.15573216000000001</v>
      </c>
      <c r="K62" s="282">
        <v>1.0101732299999999</v>
      </c>
      <c r="L62" s="274">
        <v>4.5910060000000003E-2</v>
      </c>
      <c r="M62" s="274">
        <v>0.59478461000000005</v>
      </c>
      <c r="N62" s="347">
        <v>0.11252782268952903</v>
      </c>
      <c r="O62" s="347">
        <v>0.76031287716448681</v>
      </c>
      <c r="P62" s="347">
        <v>0.6530807397707894</v>
      </c>
      <c r="Q62" s="276">
        <v>382.5</v>
      </c>
      <c r="R62" s="275">
        <v>-15381.000000000007</v>
      </c>
      <c r="S62" s="274">
        <v>1817.9999999999998</v>
      </c>
      <c r="T62" s="274">
        <v>1</v>
      </c>
      <c r="U62" s="274">
        <v>461.697</v>
      </c>
      <c r="V62" s="274">
        <v>1593.5000000000002</v>
      </c>
      <c r="W62" s="276">
        <v>60.000000000000107</v>
      </c>
      <c r="X62" s="337" t="s">
        <v>1361</v>
      </c>
      <c r="Y62" s="337" t="s">
        <v>1362</v>
      </c>
      <c r="Z62" s="69">
        <v>155210.47098797699</v>
      </c>
      <c r="AA62" s="69">
        <v>786.61400449555674</v>
      </c>
      <c r="AB62" s="69">
        <v>157114</v>
      </c>
      <c r="AC62" s="69">
        <v>42326.62676424464</v>
      </c>
      <c r="AD62" s="69">
        <v>-289.44780920020906</v>
      </c>
      <c r="AE62" s="69">
        <v>42711</v>
      </c>
    </row>
    <row r="63" spans="1:31" x14ac:dyDescent="0.3">
      <c r="A63" s="355" t="s">
        <v>1244</v>
      </c>
      <c r="B63" s="274" t="s">
        <v>1420</v>
      </c>
      <c r="C63" s="274" t="s">
        <v>1421</v>
      </c>
      <c r="D63" s="275" t="s">
        <v>684</v>
      </c>
      <c r="E63" s="274">
        <v>0</v>
      </c>
      <c r="F63" s="274">
        <v>6.625</v>
      </c>
      <c r="G63" s="274">
        <v>13</v>
      </c>
      <c r="H63" s="274" t="s">
        <v>967</v>
      </c>
      <c r="I63" s="276" t="s">
        <v>970</v>
      </c>
      <c r="J63" s="282">
        <v>0.15334629</v>
      </c>
      <c r="K63" s="282">
        <v>1.00432973</v>
      </c>
      <c r="L63" s="274">
        <v>4.4671540000000003E-2</v>
      </c>
      <c r="M63" s="274">
        <v>0.59058920999999998</v>
      </c>
      <c r="N63" s="347">
        <v>0.1068724859295619</v>
      </c>
      <c r="O63" s="347">
        <v>0.75805477220051976</v>
      </c>
      <c r="P63" s="347">
        <v>0.65128160486682685</v>
      </c>
      <c r="Q63" s="276">
        <v>392.5</v>
      </c>
      <c r="R63" s="275">
        <v>-15381.000000000007</v>
      </c>
      <c r="S63" s="274">
        <v>1817.9999999999998</v>
      </c>
      <c r="T63" s="274">
        <v>1</v>
      </c>
      <c r="U63" s="274">
        <v>461.697</v>
      </c>
      <c r="V63" s="274">
        <v>1593.5000000000002</v>
      </c>
      <c r="W63" s="276">
        <v>60.000000000000107</v>
      </c>
      <c r="X63" s="337" t="s">
        <v>1363</v>
      </c>
      <c r="Y63" s="337" t="s">
        <v>1364</v>
      </c>
      <c r="Z63" s="69">
        <v>154923.57564951605</v>
      </c>
      <c r="AA63" s="69">
        <v>746.90361186958808</v>
      </c>
      <c r="AB63" s="69">
        <v>156688</v>
      </c>
      <c r="AC63" s="69">
        <v>42117.914416709122</v>
      </c>
      <c r="AD63" s="69">
        <v>-316.62130820173149</v>
      </c>
      <c r="AE63" s="69">
        <v>42588</v>
      </c>
    </row>
    <row r="64" spans="1:31" x14ac:dyDescent="0.3">
      <c r="A64" s="355" t="s">
        <v>1244</v>
      </c>
      <c r="B64" s="274" t="s">
        <v>1420</v>
      </c>
      <c r="C64" s="274" t="s">
        <v>1421</v>
      </c>
      <c r="D64" s="275" t="s">
        <v>686</v>
      </c>
      <c r="E64" s="274">
        <v>0</v>
      </c>
      <c r="F64" s="274">
        <v>6.625</v>
      </c>
      <c r="G64" s="274">
        <v>12</v>
      </c>
      <c r="H64" s="274" t="s">
        <v>967</v>
      </c>
      <c r="I64" s="276" t="s">
        <v>970</v>
      </c>
      <c r="J64" s="282">
        <v>0.11980805</v>
      </c>
      <c r="K64" s="282">
        <v>0.76161984999999999</v>
      </c>
      <c r="L64" s="274">
        <v>3.4661110000000002E-2</v>
      </c>
      <c r="M64" s="274">
        <v>0.44666791</v>
      </c>
      <c r="N64" s="347">
        <v>0.11620753508057496</v>
      </c>
      <c r="O64" s="347">
        <v>0.49455249494544118</v>
      </c>
      <c r="P64" s="347">
        <v>0.47170066720173159</v>
      </c>
      <c r="Q64" s="276">
        <v>465.625</v>
      </c>
      <c r="R64" s="275">
        <v>-15381.000000000007</v>
      </c>
      <c r="S64" s="274">
        <v>1817.9999999999998</v>
      </c>
      <c r="T64" s="274">
        <v>1</v>
      </c>
      <c r="U64" s="274">
        <v>461.697</v>
      </c>
      <c r="V64" s="274">
        <v>1593.5000000000002</v>
      </c>
      <c r="W64" s="276">
        <v>60.000000000000107</v>
      </c>
      <c r="X64" s="337" t="s">
        <v>1365</v>
      </c>
      <c r="Y64" s="337" t="s">
        <v>1366</v>
      </c>
      <c r="Z64" s="69">
        <v>155182.2551020408</v>
      </c>
      <c r="AA64" s="69">
        <v>868.36328979591804</v>
      </c>
      <c r="AB64" s="69">
        <v>157559</v>
      </c>
      <c r="AC64" s="69">
        <v>42325.887755102041</v>
      </c>
      <c r="AD64" s="69">
        <v>-235.45123469387784</v>
      </c>
      <c r="AE64" s="69">
        <v>42583</v>
      </c>
    </row>
    <row r="65" spans="1:31" x14ac:dyDescent="0.3">
      <c r="A65" s="355" t="s">
        <v>1244</v>
      </c>
      <c r="B65" s="274" t="s">
        <v>1420</v>
      </c>
      <c r="C65" s="274" t="s">
        <v>1421</v>
      </c>
      <c r="D65" s="275" t="s">
        <v>686</v>
      </c>
      <c r="E65" s="274">
        <v>0</v>
      </c>
      <c r="F65" s="274">
        <v>6.625</v>
      </c>
      <c r="G65" s="274">
        <v>12.5</v>
      </c>
      <c r="H65" s="274" t="s">
        <v>967</v>
      </c>
      <c r="I65" s="276" t="s">
        <v>970</v>
      </c>
      <c r="J65" s="282">
        <v>0.11886223</v>
      </c>
      <c r="K65" s="282">
        <v>0.75911872999999996</v>
      </c>
      <c r="L65" s="274">
        <v>3.4368250000000003E-2</v>
      </c>
      <c r="M65" s="274">
        <v>0.44537416000000002</v>
      </c>
      <c r="N65" s="347">
        <v>0.11007201464647462</v>
      </c>
      <c r="O65" s="347">
        <v>0.49379568501830007</v>
      </c>
      <c r="P65" s="347">
        <v>0.47087912621914163</v>
      </c>
      <c r="Q65" s="276">
        <v>478.125</v>
      </c>
      <c r="R65" s="275">
        <v>-15381.000000000007</v>
      </c>
      <c r="S65" s="274">
        <v>1817.9999999999998</v>
      </c>
      <c r="T65" s="274">
        <v>1</v>
      </c>
      <c r="U65" s="274">
        <v>461.697</v>
      </c>
      <c r="V65" s="274">
        <v>1593.5000000000002</v>
      </c>
      <c r="W65" s="276">
        <v>60.000000000000107</v>
      </c>
      <c r="X65" s="337" t="s">
        <v>1367</v>
      </c>
      <c r="Y65" s="337" t="s">
        <v>1368</v>
      </c>
      <c r="Z65" s="69">
        <v>155036.20491374805</v>
      </c>
      <c r="AA65" s="69">
        <v>846.10667746994261</v>
      </c>
      <c r="AB65" s="69">
        <v>157260</v>
      </c>
      <c r="AC65" s="69">
        <v>42214.585467851539</v>
      </c>
      <c r="AD65" s="69">
        <v>-252.30659487715624</v>
      </c>
      <c r="AE65" s="69">
        <v>42518</v>
      </c>
    </row>
    <row r="66" spans="1:31" x14ac:dyDescent="0.3">
      <c r="A66" s="355" t="s">
        <v>1244</v>
      </c>
      <c r="B66" s="274" t="s">
        <v>1420</v>
      </c>
      <c r="C66" s="274" t="s">
        <v>1421</v>
      </c>
      <c r="D66" s="275" t="s">
        <v>686</v>
      </c>
      <c r="E66" s="274">
        <v>0</v>
      </c>
      <c r="F66" s="274">
        <v>6.625</v>
      </c>
      <c r="G66" s="274">
        <v>13</v>
      </c>
      <c r="H66" s="274" t="s">
        <v>967</v>
      </c>
      <c r="I66" s="276" t="s">
        <v>970</v>
      </c>
      <c r="J66" s="282">
        <v>0.11753833</v>
      </c>
      <c r="K66" s="282">
        <v>0.75549270000000002</v>
      </c>
      <c r="L66" s="274">
        <v>3.3717039999999997E-2</v>
      </c>
      <c r="M66" s="274">
        <v>0.44276914000000001</v>
      </c>
      <c r="N66" s="347">
        <v>0.10455188853678278</v>
      </c>
      <c r="O66" s="347">
        <v>0.49240584418130728</v>
      </c>
      <c r="P66" s="347">
        <v>0.46957758359646068</v>
      </c>
      <c r="Q66" s="276">
        <v>490.625</v>
      </c>
      <c r="R66" s="275">
        <v>-15381.000000000007</v>
      </c>
      <c r="S66" s="274">
        <v>1817.9999999999998</v>
      </c>
      <c r="T66" s="274">
        <v>1</v>
      </c>
      <c r="U66" s="274">
        <v>461.697</v>
      </c>
      <c r="V66" s="274">
        <v>1593.5000000000002</v>
      </c>
      <c r="W66" s="276">
        <v>60.000000000000107</v>
      </c>
      <c r="X66" s="337" t="s">
        <v>1369</v>
      </c>
      <c r="Y66" s="337" t="s">
        <v>1370</v>
      </c>
      <c r="Z66" s="69">
        <v>154763.5068772287</v>
      </c>
      <c r="AA66" s="69">
        <v>807.50108858889519</v>
      </c>
      <c r="AB66" s="69">
        <v>156830</v>
      </c>
      <c r="AC66" s="69">
        <v>42012.117677024959</v>
      </c>
      <c r="AD66" s="69">
        <v>-280.07557768721296</v>
      </c>
      <c r="AE66" s="69">
        <v>42396</v>
      </c>
    </row>
    <row r="67" spans="1:31" x14ac:dyDescent="0.3">
      <c r="A67" s="355" t="s">
        <v>1245</v>
      </c>
      <c r="D67" s="275" t="s">
        <v>684</v>
      </c>
      <c r="E67" s="274">
        <v>0</v>
      </c>
      <c r="F67" s="274">
        <v>6.625</v>
      </c>
      <c r="G67" s="274">
        <v>12</v>
      </c>
      <c r="H67" s="274" t="s">
        <v>967</v>
      </c>
      <c r="I67" s="276" t="s">
        <v>970</v>
      </c>
      <c r="N67" s="347">
        <v>0.10722067685061969</v>
      </c>
      <c r="O67" s="347">
        <v>1.0264328267985905</v>
      </c>
      <c r="Q67" s="276">
        <v>372.5</v>
      </c>
      <c r="R67" s="275">
        <v>-31220.999999999967</v>
      </c>
      <c r="S67" s="274">
        <v>2826</v>
      </c>
      <c r="T67" s="274">
        <v>1</v>
      </c>
      <c r="U67" s="274">
        <v>410.10699999999997</v>
      </c>
      <c r="V67" s="274">
        <v>1438.0000000000002</v>
      </c>
      <c r="W67" s="276">
        <v>402</v>
      </c>
      <c r="X67" s="337"/>
      <c r="Y67" s="337"/>
    </row>
    <row r="68" spans="1:31" x14ac:dyDescent="0.3">
      <c r="A68" s="355" t="s">
        <v>1245</v>
      </c>
      <c r="D68" s="275" t="s">
        <v>684</v>
      </c>
      <c r="E68" s="274">
        <v>0</v>
      </c>
      <c r="F68" s="274">
        <v>6.625</v>
      </c>
      <c r="G68" s="274">
        <v>12.5</v>
      </c>
      <c r="H68" s="274" t="s">
        <v>967</v>
      </c>
      <c r="I68" s="276" t="s">
        <v>970</v>
      </c>
      <c r="N68" s="347">
        <v>0.10154691498433809</v>
      </c>
      <c r="O68" s="347">
        <v>1.0264328267985905</v>
      </c>
      <c r="Q68" s="276">
        <v>382.5</v>
      </c>
      <c r="R68" s="275">
        <v>-31220.999999999967</v>
      </c>
      <c r="S68" s="274">
        <v>2826</v>
      </c>
      <c r="T68" s="274">
        <v>1</v>
      </c>
      <c r="U68" s="274">
        <v>410.10699999999997</v>
      </c>
      <c r="V68" s="274">
        <v>1438.0000000000002</v>
      </c>
      <c r="W68" s="276">
        <v>402</v>
      </c>
      <c r="X68" s="337"/>
      <c r="Y68" s="337"/>
    </row>
    <row r="69" spans="1:31" x14ac:dyDescent="0.3">
      <c r="A69" s="355" t="s">
        <v>1245</v>
      </c>
      <c r="D69" s="275" t="s">
        <v>684</v>
      </c>
      <c r="E69" s="274">
        <v>0</v>
      </c>
      <c r="F69" s="274">
        <v>6.625</v>
      </c>
      <c r="G69" s="274">
        <v>13</v>
      </c>
      <c r="H69" s="274" t="s">
        <v>967</v>
      </c>
      <c r="I69" s="276" t="s">
        <v>970</v>
      </c>
      <c r="N69" s="347">
        <v>9.6443448237659254E-2</v>
      </c>
      <c r="O69" s="347">
        <v>1.0264328267985905</v>
      </c>
      <c r="Q69" s="276">
        <v>392.5</v>
      </c>
      <c r="R69" s="275">
        <v>-31220.999999999967</v>
      </c>
      <c r="S69" s="274">
        <v>2826</v>
      </c>
      <c r="T69" s="274">
        <v>1</v>
      </c>
      <c r="U69" s="274">
        <v>410.10699999999997</v>
      </c>
      <c r="V69" s="274">
        <v>1438.0000000000002</v>
      </c>
      <c r="W69" s="276">
        <v>402</v>
      </c>
      <c r="X69" s="337"/>
      <c r="Y69" s="337"/>
    </row>
    <row r="70" spans="1:31" x14ac:dyDescent="0.3">
      <c r="A70" s="355" t="s">
        <v>1245</v>
      </c>
      <c r="B70" s="274" t="s">
        <v>1420</v>
      </c>
      <c r="C70" s="274" t="s">
        <v>1419</v>
      </c>
      <c r="D70" s="275" t="s">
        <v>686</v>
      </c>
      <c r="E70" s="274">
        <v>0</v>
      </c>
      <c r="F70" s="274">
        <v>6.625</v>
      </c>
      <c r="G70" s="274">
        <v>12</v>
      </c>
      <c r="H70" s="274" t="s">
        <v>967</v>
      </c>
      <c r="I70" s="276" t="s">
        <v>970</v>
      </c>
      <c r="J70" s="282">
        <v>0.24295964</v>
      </c>
      <c r="K70" s="282">
        <v>1.31794122</v>
      </c>
      <c r="L70" s="274">
        <v>2.859134E-2</v>
      </c>
      <c r="M70" s="274">
        <v>0.38632657999999998</v>
      </c>
      <c r="N70" s="347">
        <v>0.10486754656157314</v>
      </c>
      <c r="O70" s="347">
        <v>0.62232519029247912</v>
      </c>
      <c r="P70" s="347">
        <v>0.60635341557025701</v>
      </c>
      <c r="Q70" s="276">
        <v>465.625</v>
      </c>
      <c r="R70" s="275">
        <v>-31220.999999999967</v>
      </c>
      <c r="S70" s="274">
        <v>2826</v>
      </c>
      <c r="T70" s="274">
        <v>1</v>
      </c>
      <c r="U70" s="274">
        <v>410.10699999999997</v>
      </c>
      <c r="V70" s="274">
        <v>1438.0000000000002</v>
      </c>
      <c r="W70" s="276">
        <v>402</v>
      </c>
      <c r="X70" s="337" t="s">
        <v>1371</v>
      </c>
      <c r="Y70" s="337" t="s">
        <v>1372</v>
      </c>
      <c r="Z70" s="69">
        <v>234890.69387755104</v>
      </c>
      <c r="AA70" s="69">
        <v>1686.7755102040812</v>
      </c>
      <c r="AB70" s="69">
        <v>242214</v>
      </c>
      <c r="AC70" s="69">
        <v>37390.469387755096</v>
      </c>
      <c r="AD70" s="69">
        <v>-252.57289795918396</v>
      </c>
      <c r="AE70" s="69">
        <v>37718</v>
      </c>
    </row>
    <row r="71" spans="1:31" x14ac:dyDescent="0.3">
      <c r="A71" s="355" t="s">
        <v>1245</v>
      </c>
      <c r="B71" s="274" t="s">
        <v>1420</v>
      </c>
      <c r="C71" s="274" t="s">
        <v>1419</v>
      </c>
      <c r="D71" s="275" t="s">
        <v>686</v>
      </c>
      <c r="E71" s="274">
        <v>0</v>
      </c>
      <c r="F71" s="274">
        <v>6.625</v>
      </c>
      <c r="G71" s="274">
        <v>12.5</v>
      </c>
      <c r="H71" s="274" t="s">
        <v>967</v>
      </c>
      <c r="I71" s="276" t="s">
        <v>970</v>
      </c>
      <c r="J71" s="282">
        <v>0.24118049</v>
      </c>
      <c r="K71" s="282">
        <v>1.31370513</v>
      </c>
      <c r="L71" s="274">
        <v>2.818054E-2</v>
      </c>
      <c r="M71" s="274">
        <v>0.38478278999999999</v>
      </c>
      <c r="N71" s="347">
        <v>9.9330754353078449E-2</v>
      </c>
      <c r="O71" s="347">
        <v>0.62155220414179313</v>
      </c>
      <c r="P71" s="347">
        <v>0.60539403732374308</v>
      </c>
      <c r="Q71" s="276">
        <v>478.125</v>
      </c>
      <c r="R71" s="275">
        <v>-31220.999999999967</v>
      </c>
      <c r="S71" s="274">
        <v>2826</v>
      </c>
      <c r="T71" s="274">
        <v>1</v>
      </c>
      <c r="U71" s="274">
        <v>410.10699999999997</v>
      </c>
      <c r="V71" s="274">
        <v>1438.0000000000002</v>
      </c>
      <c r="W71" s="276">
        <v>402</v>
      </c>
      <c r="X71" s="337" t="s">
        <v>1373</v>
      </c>
      <c r="Y71" s="337" t="s">
        <v>1374</v>
      </c>
      <c r="Z71" s="69">
        <v>234715.0726607423</v>
      </c>
      <c r="AA71" s="69">
        <v>1660.2268687924727</v>
      </c>
      <c r="AB71" s="69">
        <v>241826</v>
      </c>
      <c r="AC71" s="69">
        <v>37288.187663355988</v>
      </c>
      <c r="AD71" s="69">
        <v>-267.35630371144794</v>
      </c>
      <c r="AE71" s="69">
        <v>37659</v>
      </c>
    </row>
    <row r="72" spans="1:31" x14ac:dyDescent="0.3">
      <c r="A72" s="355" t="s">
        <v>1245</v>
      </c>
      <c r="B72" s="274" t="s">
        <v>1420</v>
      </c>
      <c r="C72" s="274" t="s">
        <v>1419</v>
      </c>
      <c r="D72" s="275" t="s">
        <v>686</v>
      </c>
      <c r="E72" s="274">
        <v>0</v>
      </c>
      <c r="F72" s="274">
        <v>6.625</v>
      </c>
      <c r="G72" s="274">
        <v>13</v>
      </c>
      <c r="H72" s="274" t="s">
        <v>967</v>
      </c>
      <c r="I72" s="276" t="s">
        <v>970</v>
      </c>
      <c r="J72" s="282">
        <v>0.23925862000000001</v>
      </c>
      <c r="K72" s="282">
        <v>1.30842883</v>
      </c>
      <c r="L72" s="274">
        <v>2.741188E-2</v>
      </c>
      <c r="M72" s="274">
        <v>0.38203748999999998</v>
      </c>
      <c r="N72" s="347">
        <v>9.4349303869402976E-2</v>
      </c>
      <c r="O72" s="347">
        <v>0.62012414847825892</v>
      </c>
      <c r="P72" s="347">
        <v>0.60363465710866882</v>
      </c>
      <c r="Q72" s="276">
        <v>490.625</v>
      </c>
      <c r="R72" s="275">
        <v>-31220.999999999967</v>
      </c>
      <c r="S72" s="274">
        <v>2826</v>
      </c>
      <c r="T72" s="274">
        <v>1</v>
      </c>
      <c r="U72" s="274">
        <v>410.10699999999997</v>
      </c>
      <c r="V72" s="274">
        <v>1438.0000000000002</v>
      </c>
      <c r="W72" s="276">
        <v>402</v>
      </c>
      <c r="X72" s="337" t="s">
        <v>1375</v>
      </c>
      <c r="Y72" s="337" t="s">
        <v>1376</v>
      </c>
      <c r="Z72" s="69">
        <v>234386.30361691286</v>
      </c>
      <c r="AA72" s="69">
        <v>1612.6214977075913</v>
      </c>
      <c r="AB72" s="69">
        <v>241114</v>
      </c>
      <c r="AC72" s="69">
        <v>37101.087620988284</v>
      </c>
      <c r="AD72" s="69">
        <v>-291.88751961283702</v>
      </c>
      <c r="AE72" s="69">
        <v>37551</v>
      </c>
    </row>
    <row r="73" spans="1:31" x14ac:dyDescent="0.3">
      <c r="A73" s="355" t="s">
        <v>1246</v>
      </c>
      <c r="B73" s="274" t="s">
        <v>1420</v>
      </c>
      <c r="C73" s="274" t="s">
        <v>1421</v>
      </c>
      <c r="D73" s="275" t="s">
        <v>684</v>
      </c>
      <c r="E73" s="274">
        <v>0</v>
      </c>
      <c r="F73" s="274">
        <v>6.625</v>
      </c>
      <c r="G73" s="274">
        <v>12</v>
      </c>
      <c r="H73" s="274" t="s">
        <v>967</v>
      </c>
      <c r="I73" s="276" t="s">
        <v>970</v>
      </c>
      <c r="J73" s="282">
        <v>0.1033613</v>
      </c>
      <c r="K73" s="282">
        <v>0.72928700999999996</v>
      </c>
      <c r="L73" s="274">
        <v>3.7992930000000001E-2</v>
      </c>
      <c r="M73" s="274">
        <v>0.51477868000000004</v>
      </c>
      <c r="N73" s="347">
        <v>0.11579534850418104</v>
      </c>
      <c r="O73" s="347">
        <v>0.62836265110140876</v>
      </c>
      <c r="P73" s="347">
        <v>0.53436138348808737</v>
      </c>
      <c r="Q73" s="276">
        <v>372.5</v>
      </c>
      <c r="R73" s="275">
        <v>-13796.999999999989</v>
      </c>
      <c r="S73" s="274">
        <v>1434</v>
      </c>
      <c r="T73" s="274">
        <v>1</v>
      </c>
      <c r="U73" s="274">
        <v>409.447</v>
      </c>
      <c r="V73" s="274">
        <v>1553</v>
      </c>
      <c r="W73" s="276">
        <v>0</v>
      </c>
      <c r="X73" s="337" t="s">
        <v>1377</v>
      </c>
      <c r="Y73" s="337" t="s">
        <v>1378</v>
      </c>
      <c r="Z73" s="69">
        <v>120440.18367346939</v>
      </c>
      <c r="AA73" s="69">
        <v>529.40207857142809</v>
      </c>
      <c r="AB73" s="69">
        <v>121439</v>
      </c>
      <c r="AC73" s="69">
        <v>37460.061224489793</v>
      </c>
      <c r="AD73" s="69">
        <v>-286.51406122449009</v>
      </c>
      <c r="AE73" s="69">
        <v>37862</v>
      </c>
    </row>
    <row r="74" spans="1:31" x14ac:dyDescent="0.3">
      <c r="A74" s="355" t="s">
        <v>1246</v>
      </c>
      <c r="B74" s="274" t="s">
        <v>1420</v>
      </c>
      <c r="C74" s="274" t="s">
        <v>1421</v>
      </c>
      <c r="D74" s="275" t="s">
        <v>684</v>
      </c>
      <c r="E74" s="274">
        <v>0</v>
      </c>
      <c r="F74" s="274">
        <v>6.625</v>
      </c>
      <c r="G74" s="274">
        <v>12.5</v>
      </c>
      <c r="H74" s="274" t="s">
        <v>967</v>
      </c>
      <c r="I74" s="276" t="s">
        <v>970</v>
      </c>
      <c r="J74" s="282">
        <v>0.10223544</v>
      </c>
      <c r="K74" s="282">
        <v>0.72641918000000005</v>
      </c>
      <c r="L74" s="274">
        <v>3.7316200000000001E-2</v>
      </c>
      <c r="M74" s="274">
        <v>0.51252914999999999</v>
      </c>
      <c r="N74" s="347">
        <v>0.10966784351229278</v>
      </c>
      <c r="O74" s="347">
        <v>0.62723866422084962</v>
      </c>
      <c r="P74" s="347">
        <v>0.5334470273655938</v>
      </c>
      <c r="Q74" s="276">
        <v>382.5</v>
      </c>
      <c r="R74" s="275">
        <v>-13796.999999999989</v>
      </c>
      <c r="S74" s="274">
        <v>1434</v>
      </c>
      <c r="T74" s="274">
        <v>1</v>
      </c>
      <c r="U74" s="274">
        <v>409.447</v>
      </c>
      <c r="V74" s="274">
        <v>1553</v>
      </c>
      <c r="W74" s="276">
        <v>0</v>
      </c>
      <c r="X74" s="337" t="s">
        <v>1379</v>
      </c>
      <c r="Y74" s="337" t="s">
        <v>1380</v>
      </c>
      <c r="Z74" s="69">
        <v>120302.05593308939</v>
      </c>
      <c r="AA74" s="69">
        <v>508.93234485101937</v>
      </c>
      <c r="AB74" s="69">
        <v>121219</v>
      </c>
      <c r="AC74" s="69">
        <v>37354.269733403031</v>
      </c>
      <c r="AD74" s="69">
        <v>-301.20205802404593</v>
      </c>
      <c r="AE74" s="69">
        <v>37801</v>
      </c>
    </row>
    <row r="75" spans="1:31" x14ac:dyDescent="0.3">
      <c r="A75" s="355" t="s">
        <v>1246</v>
      </c>
      <c r="B75" s="274" t="s">
        <v>1420</v>
      </c>
      <c r="C75" s="274" t="s">
        <v>1421</v>
      </c>
      <c r="D75" s="275" t="s">
        <v>684</v>
      </c>
      <c r="E75" s="274">
        <v>0</v>
      </c>
      <c r="F75" s="274">
        <v>6.625</v>
      </c>
      <c r="G75" s="274">
        <v>13</v>
      </c>
      <c r="H75" s="274" t="s">
        <v>967</v>
      </c>
      <c r="I75" s="276" t="s">
        <v>970</v>
      </c>
      <c r="J75" s="282">
        <v>0.10118621</v>
      </c>
      <c r="K75" s="282">
        <v>0.72327474000000003</v>
      </c>
      <c r="L75" s="274">
        <v>3.6563070000000003E-2</v>
      </c>
      <c r="M75" s="274">
        <v>0.50962503999999997</v>
      </c>
      <c r="N75" s="347">
        <v>0.10415624138601168</v>
      </c>
      <c r="O75" s="347">
        <v>0.62510682552638153</v>
      </c>
      <c r="P75" s="347">
        <v>0.53180348123154209</v>
      </c>
      <c r="Q75" s="276">
        <v>392.5</v>
      </c>
      <c r="R75" s="275">
        <v>-13796.999999999989</v>
      </c>
      <c r="S75" s="274">
        <v>1434</v>
      </c>
      <c r="T75" s="274">
        <v>1</v>
      </c>
      <c r="U75" s="274">
        <v>409.447</v>
      </c>
      <c r="V75" s="274">
        <v>1553</v>
      </c>
      <c r="W75" s="276">
        <v>0</v>
      </c>
      <c r="X75" s="337" t="s">
        <v>1381</v>
      </c>
      <c r="Y75" s="337" t="s">
        <v>1382</v>
      </c>
      <c r="Z75" s="69">
        <v>120041.87366276109</v>
      </c>
      <c r="AA75" s="69">
        <v>471.78104488028589</v>
      </c>
      <c r="AB75" s="69">
        <v>120829</v>
      </c>
      <c r="AC75" s="69">
        <v>37152.88436067244</v>
      </c>
      <c r="AD75" s="69">
        <v>-328.62291085073815</v>
      </c>
      <c r="AE75" s="69">
        <v>37689</v>
      </c>
    </row>
    <row r="76" spans="1:31" x14ac:dyDescent="0.3">
      <c r="A76" s="355" t="s">
        <v>1246</v>
      </c>
      <c r="B76" s="274" t="s">
        <v>1420</v>
      </c>
      <c r="C76" s="274" t="s">
        <v>1421</v>
      </c>
      <c r="D76" s="275" t="s">
        <v>686</v>
      </c>
      <c r="E76" s="274">
        <v>0</v>
      </c>
      <c r="F76" s="274">
        <v>6.625</v>
      </c>
      <c r="G76" s="274">
        <v>12</v>
      </c>
      <c r="H76" s="274" t="s">
        <v>967</v>
      </c>
      <c r="I76" s="276" t="s">
        <v>970</v>
      </c>
      <c r="J76" s="282">
        <v>7.8785750000000002E-2</v>
      </c>
      <c r="K76" s="282">
        <v>0.54813053</v>
      </c>
      <c r="L76" s="274">
        <v>2.85626E-2</v>
      </c>
      <c r="M76" s="274">
        <v>0.38607856000000002</v>
      </c>
      <c r="N76" s="347">
        <v>0.11325403324765165</v>
      </c>
      <c r="O76" s="347">
        <v>0.40781430081568859</v>
      </c>
      <c r="P76" s="347">
        <v>0.38525375870012235</v>
      </c>
      <c r="Q76" s="276">
        <v>465.625</v>
      </c>
      <c r="R76" s="275">
        <v>-13796.999999999989</v>
      </c>
      <c r="S76" s="274">
        <v>1434</v>
      </c>
      <c r="T76" s="274">
        <v>1</v>
      </c>
      <c r="U76" s="274">
        <v>409.447</v>
      </c>
      <c r="V76" s="274">
        <v>1553</v>
      </c>
      <c r="W76" s="276">
        <v>0</v>
      </c>
      <c r="X76" s="337" t="s">
        <v>1383</v>
      </c>
      <c r="Y76" s="337" t="s">
        <v>1384</v>
      </c>
      <c r="Z76" s="69">
        <v>120343.56122448981</v>
      </c>
      <c r="AA76" s="69">
        <v>581.77587653061187</v>
      </c>
      <c r="AB76" s="69">
        <v>121602</v>
      </c>
      <c r="AC76" s="69">
        <v>37370.469387755104</v>
      </c>
      <c r="AD76" s="69">
        <v>-253.05478571428603</v>
      </c>
      <c r="AE76" s="69">
        <v>37700</v>
      </c>
    </row>
    <row r="77" spans="1:31" x14ac:dyDescent="0.3">
      <c r="A77" s="355" t="s">
        <v>1246</v>
      </c>
      <c r="B77" s="274" t="s">
        <v>1420</v>
      </c>
      <c r="C77" s="274" t="s">
        <v>1421</v>
      </c>
      <c r="D77" s="275" t="s">
        <v>686</v>
      </c>
      <c r="E77" s="274">
        <v>0</v>
      </c>
      <c r="F77" s="274">
        <v>6.625</v>
      </c>
      <c r="G77" s="274">
        <v>12.5</v>
      </c>
      <c r="H77" s="274" t="s">
        <v>967</v>
      </c>
      <c r="I77" s="276" t="s">
        <v>970</v>
      </c>
      <c r="J77" s="282">
        <v>7.8375360000000005E-2</v>
      </c>
      <c r="K77" s="282">
        <v>0.54674599000000002</v>
      </c>
      <c r="L77" s="274">
        <v>2.814968E-2</v>
      </c>
      <c r="M77" s="274">
        <v>0.38452936999999998</v>
      </c>
      <c r="N77" s="347">
        <v>0.10727445167616885</v>
      </c>
      <c r="O77" s="347">
        <v>0.40712181322532076</v>
      </c>
      <c r="P77" s="347">
        <v>0.38461819200863162</v>
      </c>
      <c r="Q77" s="276">
        <v>478.125</v>
      </c>
      <c r="R77" s="275">
        <v>-13796.999999999989</v>
      </c>
      <c r="S77" s="274">
        <v>1434</v>
      </c>
      <c r="T77" s="274">
        <v>1</v>
      </c>
      <c r="U77" s="274">
        <v>409.447</v>
      </c>
      <c r="V77" s="274">
        <v>1553</v>
      </c>
      <c r="W77" s="276">
        <v>0</v>
      </c>
      <c r="X77" s="337" t="s">
        <v>1385</v>
      </c>
      <c r="Y77" s="337" t="s">
        <v>1386</v>
      </c>
      <c r="Z77" s="69">
        <v>120210.94302143231</v>
      </c>
      <c r="AA77" s="69">
        <v>561.07491024568742</v>
      </c>
      <c r="AB77" s="69">
        <v>121393</v>
      </c>
      <c r="AC77" s="69">
        <v>37268.187663355988</v>
      </c>
      <c r="AD77" s="69">
        <v>-267.81338578149496</v>
      </c>
      <c r="AE77" s="69">
        <v>37640</v>
      </c>
    </row>
    <row r="78" spans="1:31" x14ac:dyDescent="0.3">
      <c r="A78" s="355" t="s">
        <v>1246</v>
      </c>
      <c r="B78" s="274" t="s">
        <v>1420</v>
      </c>
      <c r="C78" s="274" t="s">
        <v>1421</v>
      </c>
      <c r="D78" s="275" t="s">
        <v>686</v>
      </c>
      <c r="E78" s="274">
        <v>0</v>
      </c>
      <c r="F78" s="274">
        <v>6.625</v>
      </c>
      <c r="G78" s="274">
        <v>13</v>
      </c>
      <c r="H78" s="274" t="s">
        <v>967</v>
      </c>
      <c r="I78" s="276" t="s">
        <v>970</v>
      </c>
      <c r="J78" s="282">
        <v>7.7273060000000005E-2</v>
      </c>
      <c r="K78" s="282">
        <v>0.54371926999999998</v>
      </c>
      <c r="L78" s="274">
        <v>2.7382009999999998E-2</v>
      </c>
      <c r="M78" s="274">
        <v>0.38178501999999997</v>
      </c>
      <c r="N78" s="347">
        <v>0.10189462371987677</v>
      </c>
      <c r="O78" s="347">
        <v>0.40585467424574589</v>
      </c>
      <c r="P78" s="347">
        <v>0.3835020262658837</v>
      </c>
      <c r="Q78" s="276">
        <v>490.625</v>
      </c>
      <c r="R78" s="275">
        <v>-13796.999999999989</v>
      </c>
      <c r="S78" s="274">
        <v>1434</v>
      </c>
      <c r="T78" s="274">
        <v>1</v>
      </c>
      <c r="U78" s="274">
        <v>409.447</v>
      </c>
      <c r="V78" s="274">
        <v>1553</v>
      </c>
      <c r="W78" s="276">
        <v>0</v>
      </c>
      <c r="X78" s="337" t="s">
        <v>1387</v>
      </c>
      <c r="Y78" s="337" t="s">
        <v>1388</v>
      </c>
      <c r="Z78" s="69">
        <v>119968.13703515028</v>
      </c>
      <c r="AA78" s="69">
        <v>527.0259462557317</v>
      </c>
      <c r="AB78" s="69">
        <v>121032</v>
      </c>
      <c r="AC78" s="69">
        <v>37081.087620988292</v>
      </c>
      <c r="AD78" s="69">
        <v>-292.3381502801829</v>
      </c>
      <c r="AE78" s="69">
        <v>37532</v>
      </c>
    </row>
    <row r="79" spans="1:31" x14ac:dyDescent="0.3">
      <c r="A79" s="355" t="s">
        <v>1247</v>
      </c>
      <c r="B79" s="274" t="s">
        <v>1420</v>
      </c>
      <c r="C79" s="274" t="s">
        <v>1421</v>
      </c>
      <c r="D79" s="275" t="s">
        <v>684</v>
      </c>
      <c r="E79" s="274">
        <v>0</v>
      </c>
      <c r="F79" s="274">
        <v>7.125</v>
      </c>
      <c r="G79" s="274">
        <v>12</v>
      </c>
      <c r="H79" s="274" t="s">
        <v>967</v>
      </c>
      <c r="I79" s="276" t="s">
        <v>970</v>
      </c>
      <c r="J79" s="282">
        <v>0.18243973999999999</v>
      </c>
      <c r="K79" s="282">
        <v>1.23576441</v>
      </c>
      <c r="L79" s="274">
        <v>5.3838810000000001E-2</v>
      </c>
      <c r="M79" s="274">
        <v>0.71926486999999995</v>
      </c>
      <c r="N79" s="347">
        <v>0.11881512417347875</v>
      </c>
      <c r="O79" s="347">
        <v>0.79727072450004677</v>
      </c>
      <c r="P79" s="347">
        <v>0.7138806722790918</v>
      </c>
      <c r="Q79" s="276">
        <v>382.5</v>
      </c>
      <c r="R79" s="275">
        <v>-15291.000000000025</v>
      </c>
      <c r="S79" s="274">
        <v>1853.9999999999998</v>
      </c>
      <c r="T79" s="274">
        <v>1</v>
      </c>
      <c r="U79" s="274">
        <v>461.697</v>
      </c>
      <c r="V79" s="274">
        <v>1593.5000000000002</v>
      </c>
      <c r="W79" s="276">
        <v>96.000000000000028</v>
      </c>
      <c r="X79" s="337" t="s">
        <v>1389</v>
      </c>
      <c r="Y79" s="337" t="s">
        <v>1390</v>
      </c>
      <c r="Z79" s="69">
        <v>162147.34448510193</v>
      </c>
      <c r="AA79" s="69">
        <v>1805.276529012023</v>
      </c>
      <c r="AB79" s="69">
        <v>173394</v>
      </c>
      <c r="AC79" s="69">
        <v>44830.228959749082</v>
      </c>
      <c r="AD79" s="69">
        <v>425.5105372713017</v>
      </c>
      <c r="AE79" s="69">
        <v>46054</v>
      </c>
    </row>
    <row r="80" spans="1:31" x14ac:dyDescent="0.3">
      <c r="A80" s="355" t="s">
        <v>1247</v>
      </c>
      <c r="B80" s="274" t="s">
        <v>1420</v>
      </c>
      <c r="C80" s="274" t="s">
        <v>1421</v>
      </c>
      <c r="D80" s="275" t="s">
        <v>684</v>
      </c>
      <c r="E80" s="274">
        <v>0</v>
      </c>
      <c r="F80" s="274">
        <v>7.125</v>
      </c>
      <c r="G80" s="274">
        <v>12.5</v>
      </c>
      <c r="H80" s="274" t="s">
        <v>967</v>
      </c>
      <c r="I80" s="276" t="s">
        <v>970</v>
      </c>
      <c r="J80" s="282">
        <v>0.18168814</v>
      </c>
      <c r="K80" s="282">
        <v>1.2335870499999999</v>
      </c>
      <c r="L80" s="274">
        <v>5.3196019999999997E-2</v>
      </c>
      <c r="M80" s="274">
        <v>0.71712598000000005</v>
      </c>
      <c r="N80" s="347">
        <v>0.11252782268952903</v>
      </c>
      <c r="O80" s="347">
        <v>0.79724752684561784</v>
      </c>
      <c r="P80" s="347">
        <v>0.71322447512377696</v>
      </c>
      <c r="Q80" s="276">
        <v>392.5</v>
      </c>
      <c r="R80" s="275">
        <v>-15291.000000000025</v>
      </c>
      <c r="S80" s="274">
        <v>1853.9999999999998</v>
      </c>
      <c r="T80" s="274">
        <v>1</v>
      </c>
      <c r="U80" s="274">
        <v>461.697</v>
      </c>
      <c r="V80" s="274">
        <v>1593.5000000000002</v>
      </c>
      <c r="W80" s="276">
        <v>96.000000000000028</v>
      </c>
      <c r="X80" s="337" t="s">
        <v>1391</v>
      </c>
      <c r="Y80" s="337" t="s">
        <v>1392</v>
      </c>
      <c r="Z80" s="69">
        <v>162144.26897605704</v>
      </c>
      <c r="AA80" s="69">
        <v>1794.0916963830873</v>
      </c>
      <c r="AB80" s="69">
        <v>173232</v>
      </c>
      <c r="AC80" s="69">
        <v>44828.13703515027</v>
      </c>
      <c r="AD80" s="69">
        <v>417.37359704533907</v>
      </c>
      <c r="AE80" s="69">
        <v>46012</v>
      </c>
    </row>
    <row r="81" spans="1:31" x14ac:dyDescent="0.3">
      <c r="A81" s="355" t="s">
        <v>1247</v>
      </c>
      <c r="B81" s="274" t="s">
        <v>1420</v>
      </c>
      <c r="C81" s="274" t="s">
        <v>1421</v>
      </c>
      <c r="D81" s="275" t="s">
        <v>684</v>
      </c>
      <c r="E81" s="274">
        <v>0</v>
      </c>
      <c r="F81" s="274">
        <v>7.125</v>
      </c>
      <c r="G81" s="274">
        <v>13</v>
      </c>
      <c r="H81" s="274" t="s">
        <v>967</v>
      </c>
      <c r="I81" s="276" t="s">
        <v>970</v>
      </c>
      <c r="J81" s="282">
        <v>0.17977143000000001</v>
      </c>
      <c r="K81" s="282">
        <v>1.2286475400000001</v>
      </c>
      <c r="L81" s="274">
        <v>5.2131940000000002E-2</v>
      </c>
      <c r="M81" s="274">
        <v>0.71342371999999998</v>
      </c>
      <c r="N81" s="347">
        <v>0.1068724859295619</v>
      </c>
      <c r="O81" s="347">
        <v>0.79720050589140734</v>
      </c>
      <c r="P81" s="347">
        <v>0.71172878607697176</v>
      </c>
      <c r="Q81" s="276">
        <v>402.5</v>
      </c>
      <c r="R81" s="275">
        <v>-15291.000000000025</v>
      </c>
      <c r="S81" s="274">
        <v>1853.9999999999998</v>
      </c>
      <c r="T81" s="274">
        <v>1</v>
      </c>
      <c r="U81" s="274">
        <v>461.697</v>
      </c>
      <c r="V81" s="274">
        <v>1593.5000000000002</v>
      </c>
      <c r="W81" s="276">
        <v>96.000000000000028</v>
      </c>
      <c r="X81" s="337" t="s">
        <v>1393</v>
      </c>
      <c r="Y81" s="337" t="s">
        <v>1394</v>
      </c>
      <c r="Z81" s="69">
        <v>162139.13916500995</v>
      </c>
      <c r="AA81" s="69">
        <v>1773.2842942345924</v>
      </c>
      <c r="AB81" s="69">
        <v>172868</v>
      </c>
      <c r="AC81" s="69">
        <v>44823.447316103382</v>
      </c>
      <c r="AD81" s="69">
        <v>402.08199403578539</v>
      </c>
      <c r="AE81" s="69">
        <v>45914</v>
      </c>
    </row>
    <row r="82" spans="1:31" x14ac:dyDescent="0.3">
      <c r="A82" s="355" t="s">
        <v>1247</v>
      </c>
      <c r="B82" s="274" t="s">
        <v>1420</v>
      </c>
      <c r="C82" s="274" t="s">
        <v>1421</v>
      </c>
      <c r="D82" s="275" t="s">
        <v>686</v>
      </c>
      <c r="E82" s="274">
        <v>0</v>
      </c>
      <c r="F82" s="274">
        <v>7.125</v>
      </c>
      <c r="G82" s="274">
        <v>12</v>
      </c>
      <c r="H82" s="274" t="s">
        <v>967</v>
      </c>
      <c r="I82" s="276" t="s">
        <v>970</v>
      </c>
      <c r="J82" s="282">
        <v>0.13930749000000001</v>
      </c>
      <c r="K82" s="282">
        <v>0.92915490999999995</v>
      </c>
      <c r="L82" s="274">
        <v>4.0129400000000003E-2</v>
      </c>
      <c r="M82" s="274">
        <v>0.53854824999999995</v>
      </c>
      <c r="N82" s="347">
        <v>0.11620753508057496</v>
      </c>
      <c r="O82" s="347">
        <v>0.51652595954691849</v>
      </c>
      <c r="P82" s="347">
        <v>0.51444229472929581</v>
      </c>
      <c r="Q82" s="276">
        <v>478.125</v>
      </c>
      <c r="R82" s="275">
        <v>-15291.000000000025</v>
      </c>
      <c r="S82" s="274">
        <v>1853.9999999999998</v>
      </c>
      <c r="T82" s="274">
        <v>1</v>
      </c>
      <c r="U82" s="274">
        <v>461.697</v>
      </c>
      <c r="V82" s="274">
        <v>1593.5000000000002</v>
      </c>
      <c r="W82" s="276">
        <v>96.000000000000028</v>
      </c>
      <c r="X82" s="337" t="s">
        <v>1395</v>
      </c>
      <c r="Y82" s="337" t="s">
        <v>1396</v>
      </c>
      <c r="Z82" s="69">
        <v>161727.30371144798</v>
      </c>
      <c r="AA82" s="69">
        <v>1808.0825927861997</v>
      </c>
      <c r="AB82" s="69">
        <v>173461</v>
      </c>
      <c r="AC82" s="69">
        <v>44564.208572922107</v>
      </c>
      <c r="AD82" s="69">
        <v>427.34516727652903</v>
      </c>
      <c r="AE82" s="69">
        <v>45814</v>
      </c>
    </row>
    <row r="83" spans="1:31" x14ac:dyDescent="0.3">
      <c r="A83" s="355" t="s">
        <v>1247</v>
      </c>
      <c r="B83" s="274" t="s">
        <v>1420</v>
      </c>
      <c r="C83" s="274" t="s">
        <v>1421</v>
      </c>
      <c r="D83" s="275" t="s">
        <v>686</v>
      </c>
      <c r="E83" s="274">
        <v>0</v>
      </c>
      <c r="F83" s="274">
        <v>7.125</v>
      </c>
      <c r="G83" s="274">
        <v>12.5</v>
      </c>
      <c r="H83" s="274" t="s">
        <v>967</v>
      </c>
      <c r="I83" s="276" t="s">
        <v>970</v>
      </c>
      <c r="J83" s="282">
        <v>0.13842425</v>
      </c>
      <c r="K83" s="282">
        <v>0.92696202999999999</v>
      </c>
      <c r="L83" s="274">
        <v>3.9967629999999997E-2</v>
      </c>
      <c r="M83" s="274">
        <v>0.53767027000000001</v>
      </c>
      <c r="N83" s="347">
        <v>0.11007201464647462</v>
      </c>
      <c r="O83" s="347">
        <v>0.51651512419994705</v>
      </c>
      <c r="P83" s="347">
        <v>0.51403751964023181</v>
      </c>
      <c r="Q83" s="276">
        <v>490.625</v>
      </c>
      <c r="R83" s="275">
        <v>-15291.000000000025</v>
      </c>
      <c r="S83" s="274">
        <v>1853.9999999999998</v>
      </c>
      <c r="T83" s="274">
        <v>1</v>
      </c>
      <c r="U83" s="274">
        <v>461.697</v>
      </c>
      <c r="V83" s="274">
        <v>1593.5000000000002</v>
      </c>
      <c r="W83" s="276">
        <v>96.000000000000028</v>
      </c>
      <c r="X83" s="337" t="s">
        <v>1397</v>
      </c>
      <c r="Y83" s="337" t="s">
        <v>1398</v>
      </c>
      <c r="Z83" s="69">
        <v>161724.51808456445</v>
      </c>
      <c r="AA83" s="69">
        <v>1797.759551706572</v>
      </c>
      <c r="AB83" s="69">
        <v>173332</v>
      </c>
      <c r="AC83" s="69">
        <v>44562.914416709107</v>
      </c>
      <c r="AD83" s="69">
        <v>419.52659755476338</v>
      </c>
      <c r="AE83" s="69">
        <v>45774</v>
      </c>
    </row>
    <row r="84" spans="1:31" x14ac:dyDescent="0.3">
      <c r="A84" s="355" t="s">
        <v>1247</v>
      </c>
      <c r="B84" s="274" t="s">
        <v>1420</v>
      </c>
      <c r="C84" s="274" t="s">
        <v>1421</v>
      </c>
      <c r="D84" s="275" t="s">
        <v>686</v>
      </c>
      <c r="E84" s="274">
        <v>0</v>
      </c>
      <c r="F84" s="274">
        <v>7.125</v>
      </c>
      <c r="G84" s="274">
        <v>13</v>
      </c>
      <c r="H84" s="274" t="s">
        <v>967</v>
      </c>
      <c r="I84" s="276" t="s">
        <v>970</v>
      </c>
      <c r="J84" s="282">
        <v>0.13760470999999999</v>
      </c>
      <c r="K84" s="282">
        <v>0.92425625</v>
      </c>
      <c r="L84" s="274">
        <v>3.9206320000000003E-2</v>
      </c>
      <c r="M84" s="274">
        <v>0.53485791000000005</v>
      </c>
      <c r="N84" s="347">
        <v>0.10455188853678278</v>
      </c>
      <c r="O84" s="347">
        <v>0.5164949877528886</v>
      </c>
      <c r="P84" s="347">
        <v>0.51299202562396529</v>
      </c>
      <c r="Q84" s="276">
        <v>503.125</v>
      </c>
      <c r="R84" s="275">
        <v>-15291.000000000025</v>
      </c>
      <c r="S84" s="274">
        <v>1853.9999999999998</v>
      </c>
      <c r="T84" s="274">
        <v>1</v>
      </c>
      <c r="U84" s="274">
        <v>461.697</v>
      </c>
      <c r="V84" s="274">
        <v>1593.5000000000002</v>
      </c>
      <c r="W84" s="276">
        <v>96.000000000000028</v>
      </c>
      <c r="X84" s="337" t="s">
        <v>1399</v>
      </c>
      <c r="Y84" s="337" t="s">
        <v>1400</v>
      </c>
      <c r="Z84" s="69">
        <v>161720.91053677932</v>
      </c>
      <c r="AA84" s="69">
        <v>1778.1272365805169</v>
      </c>
      <c r="AB84" s="69">
        <v>172982</v>
      </c>
      <c r="AC84" s="69">
        <v>44559.833001988074</v>
      </c>
      <c r="AD84" s="69">
        <v>404.95979145129235</v>
      </c>
      <c r="AE84" s="69">
        <v>45678</v>
      </c>
    </row>
    <row r="85" spans="1:31" x14ac:dyDescent="0.3">
      <c r="A85" s="355" t="s">
        <v>1248</v>
      </c>
      <c r="D85" s="275" t="s">
        <v>684</v>
      </c>
      <c r="E85" s="274">
        <v>0</v>
      </c>
      <c r="F85" s="274">
        <v>7.125</v>
      </c>
      <c r="G85" s="274">
        <v>12</v>
      </c>
      <c r="H85" s="274" t="s">
        <v>967</v>
      </c>
      <c r="I85" s="276" t="s">
        <v>970</v>
      </c>
      <c r="N85" s="347">
        <v>0.10897289236243439</v>
      </c>
      <c r="O85" s="347">
        <v>1.1006331591682419</v>
      </c>
      <c r="Q85" s="276">
        <v>382.5</v>
      </c>
      <c r="R85" s="275">
        <v>-36197.999999999964</v>
      </c>
      <c r="S85" s="274">
        <v>2892</v>
      </c>
      <c r="T85" s="274">
        <v>1</v>
      </c>
      <c r="U85" s="274">
        <v>410.10699999999997</v>
      </c>
      <c r="V85" s="274">
        <v>1461.5</v>
      </c>
      <c r="W85" s="276">
        <v>426.00000000000006</v>
      </c>
      <c r="X85" s="337"/>
      <c r="Y85" s="337"/>
    </row>
    <row r="86" spans="1:31" x14ac:dyDescent="0.3">
      <c r="A86" s="355" t="s">
        <v>1248</v>
      </c>
      <c r="D86" s="275" t="s">
        <v>684</v>
      </c>
      <c r="E86" s="274">
        <v>0</v>
      </c>
      <c r="F86" s="274">
        <v>7.125</v>
      </c>
      <c r="G86" s="274">
        <v>12.5</v>
      </c>
      <c r="H86" s="274" t="s">
        <v>967</v>
      </c>
      <c r="I86" s="276" t="s">
        <v>970</v>
      </c>
      <c r="N86" s="347">
        <v>0.10320640907483317</v>
      </c>
      <c r="O86" s="347">
        <v>1.1006331591682419</v>
      </c>
      <c r="Q86" s="276">
        <v>392.5</v>
      </c>
      <c r="R86" s="275">
        <v>-36197.999999999964</v>
      </c>
      <c r="S86" s="274">
        <v>2892</v>
      </c>
      <c r="T86" s="274">
        <v>1</v>
      </c>
      <c r="U86" s="274">
        <v>410.10699999999997</v>
      </c>
      <c r="V86" s="274">
        <v>1461.5</v>
      </c>
      <c r="W86" s="276">
        <v>426.00000000000006</v>
      </c>
      <c r="X86" s="337"/>
      <c r="Y86" s="337"/>
    </row>
    <row r="87" spans="1:31" x14ac:dyDescent="0.3">
      <c r="A87" s="355" t="s">
        <v>1248</v>
      </c>
      <c r="D87" s="275" t="s">
        <v>684</v>
      </c>
      <c r="E87" s="274">
        <v>0</v>
      </c>
      <c r="F87" s="274">
        <v>7.125</v>
      </c>
      <c r="G87" s="274">
        <v>13</v>
      </c>
      <c r="H87" s="274" t="s">
        <v>967</v>
      </c>
      <c r="I87" s="276" t="s">
        <v>970</v>
      </c>
      <c r="N87" s="347">
        <v>9.8019540750583431E-2</v>
      </c>
      <c r="O87" s="347">
        <v>1.1006331591682419</v>
      </c>
      <c r="Q87" s="276">
        <v>402.5</v>
      </c>
      <c r="R87" s="275">
        <v>-36197.999999999964</v>
      </c>
      <c r="S87" s="274">
        <v>2892</v>
      </c>
      <c r="T87" s="274">
        <v>1</v>
      </c>
      <c r="U87" s="274">
        <v>410.10699999999997</v>
      </c>
      <c r="V87" s="274">
        <v>1461.5</v>
      </c>
      <c r="W87" s="276">
        <v>426.00000000000006</v>
      </c>
      <c r="X87" s="337"/>
      <c r="Y87" s="337"/>
    </row>
    <row r="88" spans="1:31" x14ac:dyDescent="0.3">
      <c r="A88" s="355" t="s">
        <v>1248</v>
      </c>
      <c r="B88" s="274" t="s">
        <v>1420</v>
      </c>
      <c r="C88" s="274" t="s">
        <v>1419</v>
      </c>
      <c r="D88" s="275" t="s">
        <v>686</v>
      </c>
      <c r="E88" s="274">
        <v>0</v>
      </c>
      <c r="F88" s="274">
        <v>7.125</v>
      </c>
      <c r="G88" s="274">
        <v>12</v>
      </c>
      <c r="H88" s="274" t="s">
        <v>967</v>
      </c>
      <c r="I88" s="276" t="s">
        <v>970</v>
      </c>
      <c r="J88" s="282">
        <v>0.27617249999999999</v>
      </c>
      <c r="K88" s="282">
        <v>1.5716726999999999</v>
      </c>
      <c r="L88" s="274">
        <v>3.3072480000000001E-2</v>
      </c>
      <c r="M88" s="274">
        <v>0.46607270000000001</v>
      </c>
      <c r="N88" s="347">
        <v>0.10658130688438049</v>
      </c>
      <c r="O88" s="347">
        <v>0.64083995627673929</v>
      </c>
      <c r="P88" s="347">
        <v>0.6563768600787091</v>
      </c>
      <c r="Q88" s="276">
        <v>478.125</v>
      </c>
      <c r="R88" s="275">
        <v>-36197.999999999964</v>
      </c>
      <c r="S88" s="274">
        <v>2892</v>
      </c>
      <c r="T88" s="274">
        <v>1</v>
      </c>
      <c r="U88" s="274">
        <v>410.10699999999997</v>
      </c>
      <c r="V88" s="274">
        <v>1461.5</v>
      </c>
      <c r="W88" s="276">
        <v>426.00000000000006</v>
      </c>
      <c r="X88" s="337" t="s">
        <v>1401</v>
      </c>
      <c r="Y88" s="337" t="s">
        <v>1402</v>
      </c>
      <c r="Z88" s="69">
        <v>239858.26032409826</v>
      </c>
      <c r="AA88" s="69">
        <v>2837.4093047569263</v>
      </c>
      <c r="AB88" s="69">
        <v>262935</v>
      </c>
      <c r="AC88" s="69">
        <v>39512.34187140617</v>
      </c>
      <c r="AD88" s="69">
        <v>377.41847433350767</v>
      </c>
      <c r="AE88" s="69">
        <v>40581</v>
      </c>
    </row>
    <row r="89" spans="1:31" x14ac:dyDescent="0.3">
      <c r="A89" s="355" t="s">
        <v>1248</v>
      </c>
      <c r="B89" s="274" t="s">
        <v>1420</v>
      </c>
      <c r="C89" s="274" t="s">
        <v>1419</v>
      </c>
      <c r="D89" s="275" t="s">
        <v>686</v>
      </c>
      <c r="E89" s="274">
        <v>0</v>
      </c>
      <c r="F89" s="274">
        <v>7.125</v>
      </c>
      <c r="G89" s="274">
        <v>12.5</v>
      </c>
      <c r="H89" s="274" t="s">
        <v>967</v>
      </c>
      <c r="I89" s="276" t="s">
        <v>970</v>
      </c>
      <c r="J89" s="282">
        <v>0.27504687999999999</v>
      </c>
      <c r="K89" s="282">
        <v>1.5688449099999999</v>
      </c>
      <c r="L89" s="274">
        <v>3.2664310000000002E-2</v>
      </c>
      <c r="M89" s="274">
        <v>0.46468319000000002</v>
      </c>
      <c r="N89" s="347">
        <v>0.10095403163214474</v>
      </c>
      <c r="O89" s="347">
        <v>0.64082511297197498</v>
      </c>
      <c r="P89" s="347">
        <v>0.65564936235649451</v>
      </c>
      <c r="Q89" s="276">
        <v>490.625</v>
      </c>
      <c r="R89" s="275">
        <v>-36197.999999999964</v>
      </c>
      <c r="S89" s="274">
        <v>2892</v>
      </c>
      <c r="T89" s="274">
        <v>1</v>
      </c>
      <c r="U89" s="274">
        <v>410.10699999999997</v>
      </c>
      <c r="V89" s="274">
        <v>1461.5</v>
      </c>
      <c r="W89" s="276">
        <v>426.00000000000006</v>
      </c>
      <c r="X89" s="337" t="s">
        <v>1403</v>
      </c>
      <c r="Y89" s="337" t="s">
        <v>1404</v>
      </c>
      <c r="Z89" s="69">
        <v>239854.12277126845</v>
      </c>
      <c r="AA89" s="69">
        <v>2824.7559857361189</v>
      </c>
      <c r="AB89" s="69">
        <v>262623</v>
      </c>
      <c r="AC89" s="69">
        <v>39510.707590422819</v>
      </c>
      <c r="AD89" s="69">
        <v>370.07034182373945</v>
      </c>
      <c r="AE89" s="69">
        <v>40544</v>
      </c>
    </row>
    <row r="90" spans="1:31" x14ac:dyDescent="0.3">
      <c r="A90" s="355" t="s">
        <v>1248</v>
      </c>
      <c r="B90" s="274" t="s">
        <v>1420</v>
      </c>
      <c r="C90" s="274" t="s">
        <v>1419</v>
      </c>
      <c r="D90" s="275" t="s">
        <v>686</v>
      </c>
      <c r="E90" s="274">
        <v>0</v>
      </c>
      <c r="F90" s="274">
        <v>7.125</v>
      </c>
      <c r="G90" s="274">
        <v>13</v>
      </c>
      <c r="H90" s="274" t="s">
        <v>967</v>
      </c>
      <c r="I90" s="276" t="s">
        <v>970</v>
      </c>
      <c r="J90" s="282">
        <v>0.27301318000000002</v>
      </c>
      <c r="K90" s="282">
        <v>1.5634367</v>
      </c>
      <c r="L90" s="274">
        <v>3.2149190000000001E-2</v>
      </c>
      <c r="M90" s="274">
        <v>0.46259581</v>
      </c>
      <c r="N90" s="347">
        <v>9.5891173577978051E-2</v>
      </c>
      <c r="O90" s="347">
        <v>0.6408043896292559</v>
      </c>
      <c r="P90" s="347">
        <v>0.65425563661580455</v>
      </c>
      <c r="Q90" s="276">
        <v>503.125</v>
      </c>
      <c r="R90" s="275">
        <v>-36197.999999999964</v>
      </c>
      <c r="S90" s="274">
        <v>2892</v>
      </c>
      <c r="T90" s="274">
        <v>1</v>
      </c>
      <c r="U90" s="274">
        <v>410.10699999999997</v>
      </c>
      <c r="V90" s="274">
        <v>1461.5</v>
      </c>
      <c r="W90" s="276">
        <v>426.00000000000006</v>
      </c>
      <c r="X90" s="337" t="s">
        <v>1405</v>
      </c>
      <c r="Y90" s="337" t="s">
        <v>1406</v>
      </c>
      <c r="Z90" s="69">
        <v>239848.92842942345</v>
      </c>
      <c r="AA90" s="69">
        <v>2801.5984095427434</v>
      </c>
      <c r="AB90" s="69">
        <v>262060</v>
      </c>
      <c r="AC90" s="69">
        <v>39508.174950298206</v>
      </c>
      <c r="AD90" s="69">
        <v>356.18515526838974</v>
      </c>
      <c r="AE90" s="69">
        <v>40458</v>
      </c>
    </row>
    <row r="91" spans="1:31" x14ac:dyDescent="0.3">
      <c r="A91" s="355" t="s">
        <v>1249</v>
      </c>
      <c r="B91" s="274" t="s">
        <v>1420</v>
      </c>
      <c r="C91" s="274" t="s">
        <v>1421</v>
      </c>
      <c r="D91" s="275" t="s">
        <v>684</v>
      </c>
      <c r="E91" s="274">
        <v>0</v>
      </c>
      <c r="F91" s="274">
        <v>7.125</v>
      </c>
      <c r="G91" s="274">
        <v>12</v>
      </c>
      <c r="H91" s="274" t="s">
        <v>967</v>
      </c>
      <c r="I91" s="276" t="s">
        <v>970</v>
      </c>
      <c r="J91" s="282">
        <v>0.11787295</v>
      </c>
      <c r="K91" s="282">
        <v>0.87277731000000003</v>
      </c>
      <c r="L91" s="274">
        <v>4.391022E-2</v>
      </c>
      <c r="M91" s="274">
        <v>0.62050706</v>
      </c>
      <c r="N91" s="347">
        <v>0.11545981787425907</v>
      </c>
      <c r="O91" s="347">
        <v>0.65322936875618631</v>
      </c>
      <c r="P91" s="347">
        <v>0.57698490628463373</v>
      </c>
      <c r="Q91" s="276">
        <v>382.5</v>
      </c>
      <c r="R91" s="275">
        <v>-15668.999999999996</v>
      </c>
      <c r="S91" s="274">
        <v>1458</v>
      </c>
      <c r="T91" s="274">
        <v>1</v>
      </c>
      <c r="U91" s="274">
        <v>409.447</v>
      </c>
      <c r="V91" s="274">
        <v>1548.5</v>
      </c>
      <c r="W91" s="276">
        <v>0</v>
      </c>
      <c r="X91" s="337" t="s">
        <v>1407</v>
      </c>
      <c r="Y91" s="337" t="s">
        <v>1408</v>
      </c>
      <c r="Z91" s="69">
        <v>123718.91061160481</v>
      </c>
      <c r="AA91" s="69">
        <v>1414.3784631468895</v>
      </c>
      <c r="AB91" s="69">
        <v>131587</v>
      </c>
      <c r="AC91" s="69">
        <v>39709.852064819657</v>
      </c>
      <c r="AD91" s="69">
        <v>375.11521787767907</v>
      </c>
      <c r="AE91" s="69">
        <v>40752</v>
      </c>
    </row>
    <row r="92" spans="1:31" x14ac:dyDescent="0.3">
      <c r="A92" s="355" t="s">
        <v>1249</v>
      </c>
      <c r="D92" s="275" t="s">
        <v>684</v>
      </c>
      <c r="E92" s="274">
        <v>0</v>
      </c>
      <c r="F92" s="274">
        <v>7.125</v>
      </c>
      <c r="G92" s="274">
        <v>12.5</v>
      </c>
      <c r="H92" s="274" t="s">
        <v>967</v>
      </c>
      <c r="I92" s="276" t="s">
        <v>970</v>
      </c>
      <c r="N92" s="347">
        <v>0.10935006804815543</v>
      </c>
      <c r="O92" s="347">
        <v>0.72722332816171087</v>
      </c>
      <c r="Q92" s="276">
        <v>392.5</v>
      </c>
      <c r="R92" s="275">
        <v>-15668.999999999996</v>
      </c>
      <c r="S92" s="274">
        <v>1458</v>
      </c>
      <c r="T92" s="274">
        <v>1</v>
      </c>
      <c r="U92" s="274">
        <v>409.447</v>
      </c>
      <c r="V92" s="274">
        <v>1548.5</v>
      </c>
      <c r="W92" s="276">
        <v>0</v>
      </c>
      <c r="X92" s="337" t="s">
        <v>1409</v>
      </c>
      <c r="Y92" s="337" t="s">
        <v>1410</v>
      </c>
    </row>
    <row r="93" spans="1:31" x14ac:dyDescent="0.3">
      <c r="A93" s="355" t="s">
        <v>1249</v>
      </c>
      <c r="D93" s="275" t="s">
        <v>684</v>
      </c>
      <c r="E93" s="274">
        <v>0</v>
      </c>
      <c r="F93" s="274">
        <v>7.125</v>
      </c>
      <c r="G93" s="274">
        <v>13</v>
      </c>
      <c r="H93" s="274" t="s">
        <v>967</v>
      </c>
      <c r="I93" s="276" t="s">
        <v>970</v>
      </c>
      <c r="N93" s="347">
        <v>0.10385443643672833</v>
      </c>
      <c r="O93" s="347">
        <v>0.72722332816171087</v>
      </c>
      <c r="Q93" s="276">
        <v>402.5</v>
      </c>
      <c r="R93" s="275">
        <v>-15668.999999999996</v>
      </c>
      <c r="S93" s="274">
        <v>1458</v>
      </c>
      <c r="T93" s="274">
        <v>1</v>
      </c>
      <c r="U93" s="274">
        <v>409.447</v>
      </c>
      <c r="V93" s="274">
        <v>1548.5</v>
      </c>
      <c r="W93" s="276">
        <v>0</v>
      </c>
      <c r="X93" s="337" t="s">
        <v>1411</v>
      </c>
      <c r="Y93" s="337" t="s">
        <v>1412</v>
      </c>
    </row>
    <row r="94" spans="1:31" x14ac:dyDescent="0.3">
      <c r="A94" s="355" t="s">
        <v>1249</v>
      </c>
      <c r="D94" s="275" t="s">
        <v>686</v>
      </c>
      <c r="E94" s="274">
        <v>0</v>
      </c>
      <c r="F94" s="274">
        <v>7.125</v>
      </c>
      <c r="G94" s="274">
        <v>12</v>
      </c>
      <c r="H94" s="274" t="s">
        <v>967</v>
      </c>
      <c r="I94" s="276" t="s">
        <v>970</v>
      </c>
      <c r="N94" s="347">
        <v>0.11292586637732684</v>
      </c>
      <c r="O94" s="347">
        <v>0.47231554486759852</v>
      </c>
      <c r="Q94" s="276">
        <v>478.125</v>
      </c>
      <c r="R94" s="275">
        <v>-15668.999999999996</v>
      </c>
      <c r="S94" s="274">
        <v>1458</v>
      </c>
      <c r="T94" s="274">
        <v>1</v>
      </c>
      <c r="U94" s="274">
        <v>409.447</v>
      </c>
      <c r="V94" s="274">
        <v>1548.5</v>
      </c>
      <c r="W94" s="276">
        <v>0</v>
      </c>
      <c r="X94" s="337" t="s">
        <v>1413</v>
      </c>
      <c r="Y94" s="337" t="s">
        <v>1414</v>
      </c>
    </row>
    <row r="95" spans="1:31" x14ac:dyDescent="0.3">
      <c r="A95" s="355" t="s">
        <v>1249</v>
      </c>
      <c r="D95" s="275" t="s">
        <v>686</v>
      </c>
      <c r="E95" s="274">
        <v>0</v>
      </c>
      <c r="F95" s="274">
        <v>7.125</v>
      </c>
      <c r="G95" s="274">
        <v>12.5</v>
      </c>
      <c r="H95" s="274" t="s">
        <v>967</v>
      </c>
      <c r="I95" s="276" t="s">
        <v>970</v>
      </c>
      <c r="N95" s="347">
        <v>0.10696361134613488</v>
      </c>
      <c r="O95" s="347">
        <v>0.47231554486759852</v>
      </c>
      <c r="Q95" s="276">
        <v>490.625</v>
      </c>
      <c r="R95" s="275">
        <v>-15668.999999999996</v>
      </c>
      <c r="S95" s="274">
        <v>1458</v>
      </c>
      <c r="T95" s="274">
        <v>1</v>
      </c>
      <c r="U95" s="274">
        <v>409.447</v>
      </c>
      <c r="V95" s="274">
        <v>1548.5</v>
      </c>
      <c r="W95" s="276">
        <v>0</v>
      </c>
      <c r="X95" s="337" t="s">
        <v>1415</v>
      </c>
      <c r="Y95" s="337" t="s">
        <v>1416</v>
      </c>
    </row>
    <row r="96" spans="1:31" x14ac:dyDescent="0.3">
      <c r="A96" s="355" t="s">
        <v>1249</v>
      </c>
      <c r="D96" s="275" t="s">
        <v>686</v>
      </c>
      <c r="E96" s="274">
        <v>0</v>
      </c>
      <c r="F96" s="274">
        <v>7.125</v>
      </c>
      <c r="G96" s="274">
        <v>13</v>
      </c>
      <c r="H96" s="274" t="s">
        <v>967</v>
      </c>
      <c r="I96" s="276" t="s">
        <v>970</v>
      </c>
      <c r="N96" s="347">
        <v>0.10159937207355389</v>
      </c>
      <c r="O96" s="347">
        <v>0.47231554486759852</v>
      </c>
      <c r="Q96" s="276">
        <v>503.125</v>
      </c>
      <c r="R96" s="275">
        <v>-15668.999999999996</v>
      </c>
      <c r="S96" s="274">
        <v>1458</v>
      </c>
      <c r="T96" s="274">
        <v>1</v>
      </c>
      <c r="U96" s="274">
        <v>409.447</v>
      </c>
      <c r="V96" s="274">
        <v>1548.5</v>
      </c>
      <c r="W96" s="276">
        <v>0</v>
      </c>
      <c r="X96" s="337" t="s">
        <v>1417</v>
      </c>
      <c r="Y96" s="337" t="s">
        <v>1418</v>
      </c>
    </row>
    <row r="97" spans="24:25" x14ac:dyDescent="0.3">
      <c r="X97" s="337"/>
      <c r="Y97" s="337"/>
    </row>
    <row r="98" spans="24:25" x14ac:dyDescent="0.3">
      <c r="X98" s="337"/>
      <c r="Y98" s="337"/>
    </row>
    <row r="99" spans="24:25" x14ac:dyDescent="0.3">
      <c r="X99" s="337"/>
      <c r="Y99" s="337"/>
    </row>
    <row r="100" spans="24:25" x14ac:dyDescent="0.3">
      <c r="X100" s="337"/>
      <c r="Y100" s="337"/>
    </row>
    <row r="101" spans="24:25" x14ac:dyDescent="0.3">
      <c r="X101" s="337"/>
      <c r="Y101" s="337"/>
    </row>
    <row r="102" spans="24:25" x14ac:dyDescent="0.3">
      <c r="X102" s="337"/>
      <c r="Y102" s="337"/>
    </row>
    <row r="103" spans="24:25" x14ac:dyDescent="0.3">
      <c r="X103" s="337"/>
      <c r="Y103" s="337"/>
    </row>
    <row r="104" spans="24:25" x14ac:dyDescent="0.3">
      <c r="X104" s="337"/>
      <c r="Y104" s="337"/>
    </row>
    <row r="105" spans="24:25" x14ac:dyDescent="0.3">
      <c r="X105" s="337"/>
      <c r="Y105" s="337"/>
    </row>
    <row r="106" spans="24:25" x14ac:dyDescent="0.3">
      <c r="X106" s="337"/>
      <c r="Y106" s="337"/>
    </row>
    <row r="107" spans="24:25" x14ac:dyDescent="0.3">
      <c r="X107" s="337"/>
      <c r="Y107" s="337"/>
    </row>
    <row r="108" spans="24:25" x14ac:dyDescent="0.3">
      <c r="X108" s="337"/>
      <c r="Y108" s="337"/>
    </row>
    <row r="109" spans="24:25" x14ac:dyDescent="0.3">
      <c r="X109" s="337"/>
      <c r="Y109" s="337"/>
    </row>
    <row r="110" spans="24:25" x14ac:dyDescent="0.3">
      <c r="X110" s="337"/>
      <c r="Y110" s="337"/>
    </row>
    <row r="111" spans="24:25" x14ac:dyDescent="0.3">
      <c r="X111" s="337"/>
      <c r="Y111" s="337"/>
    </row>
    <row r="112" spans="24:25" x14ac:dyDescent="0.3">
      <c r="X112" s="337"/>
      <c r="Y112" s="337"/>
    </row>
    <row r="113" spans="24:25" x14ac:dyDescent="0.3">
      <c r="X113" s="337"/>
      <c r="Y113" s="337"/>
    </row>
    <row r="114" spans="24:25" x14ac:dyDescent="0.3">
      <c r="X114" s="337"/>
      <c r="Y114" s="337"/>
    </row>
    <row r="115" spans="24:25" x14ac:dyDescent="0.3">
      <c r="X115" s="337"/>
      <c r="Y115" s="337"/>
    </row>
    <row r="116" spans="24:25" x14ac:dyDescent="0.3">
      <c r="X116" s="337"/>
      <c r="Y116" s="337"/>
    </row>
    <row r="117" spans="24:25" x14ac:dyDescent="0.3">
      <c r="X117" s="337"/>
      <c r="Y117" s="337"/>
    </row>
    <row r="118" spans="24:25" x14ac:dyDescent="0.3">
      <c r="X118" s="337"/>
      <c r="Y118" s="337"/>
    </row>
    <row r="119" spans="24:25" x14ac:dyDescent="0.3">
      <c r="X119" s="337"/>
      <c r="Y119" s="337"/>
    </row>
    <row r="120" spans="24:25" x14ac:dyDescent="0.3">
      <c r="X120" s="337"/>
      <c r="Y120" s="337"/>
    </row>
    <row r="121" spans="24:25" x14ac:dyDescent="0.3">
      <c r="X121" s="337"/>
      <c r="Y121" s="337"/>
    </row>
    <row r="122" spans="24:25" x14ac:dyDescent="0.3">
      <c r="X122" s="337"/>
      <c r="Y122" s="337"/>
    </row>
    <row r="123" spans="24:25" x14ac:dyDescent="0.3">
      <c r="X123" s="337"/>
      <c r="Y123" s="337"/>
    </row>
    <row r="124" spans="24:25" x14ac:dyDescent="0.3">
      <c r="X124" s="337"/>
      <c r="Y124" s="337"/>
    </row>
    <row r="125" spans="24:25" x14ac:dyDescent="0.3">
      <c r="X125" s="337"/>
      <c r="Y125" s="337"/>
    </row>
    <row r="126" spans="24:25" x14ac:dyDescent="0.3">
      <c r="X126" s="337"/>
      <c r="Y126" s="337"/>
    </row>
    <row r="127" spans="24:25" x14ac:dyDescent="0.3">
      <c r="X127" s="337"/>
      <c r="Y127" s="337"/>
    </row>
    <row r="128" spans="24:25" x14ac:dyDescent="0.3">
      <c r="X128" s="337"/>
      <c r="Y128" s="337"/>
    </row>
    <row r="129" spans="24:25" x14ac:dyDescent="0.3">
      <c r="X129" s="337"/>
      <c r="Y129" s="337"/>
    </row>
    <row r="130" spans="24:25" x14ac:dyDescent="0.3">
      <c r="X130" s="337"/>
      <c r="Y130" s="337"/>
    </row>
    <row r="131" spans="24:25" x14ac:dyDescent="0.3">
      <c r="X131" s="337"/>
      <c r="Y131" s="337"/>
    </row>
    <row r="132" spans="24:25" x14ac:dyDescent="0.3">
      <c r="X132" s="337"/>
      <c r="Y132" s="337"/>
    </row>
    <row r="133" spans="24:25" x14ac:dyDescent="0.3">
      <c r="X133" s="337"/>
      <c r="Y133" s="337"/>
    </row>
    <row r="134" spans="24:25" x14ac:dyDescent="0.3">
      <c r="X134" s="337"/>
      <c r="Y134" s="337"/>
    </row>
    <row r="135" spans="24:25" x14ac:dyDescent="0.3">
      <c r="X135" s="337"/>
      <c r="Y135" s="337"/>
    </row>
    <row r="136" spans="24:25" x14ac:dyDescent="0.3">
      <c r="X136" s="337"/>
      <c r="Y136" s="337"/>
    </row>
    <row r="137" spans="24:25" x14ac:dyDescent="0.3">
      <c r="X137" s="337"/>
      <c r="Y137" s="337"/>
    </row>
    <row r="138" spans="24:25" x14ac:dyDescent="0.3">
      <c r="X138" s="337"/>
      <c r="Y138" s="337"/>
    </row>
    <row r="139" spans="24:25" x14ac:dyDescent="0.3">
      <c r="X139" s="337"/>
      <c r="Y139" s="337"/>
    </row>
    <row r="140" spans="24:25" x14ac:dyDescent="0.3">
      <c r="X140" s="337"/>
      <c r="Y140" s="337"/>
    </row>
    <row r="141" spans="24:25" x14ac:dyDescent="0.3">
      <c r="X141" s="337"/>
      <c r="Y141" s="337"/>
    </row>
    <row r="142" spans="24:25" x14ac:dyDescent="0.3">
      <c r="X142" s="337"/>
      <c r="Y142" s="337"/>
    </row>
    <row r="143" spans="24:25" x14ac:dyDescent="0.3">
      <c r="X143" s="337"/>
      <c r="Y143" s="337"/>
    </row>
    <row r="144" spans="24:25" x14ac:dyDescent="0.3">
      <c r="X144" s="337"/>
      <c r="Y144" s="337"/>
    </row>
    <row r="145" spans="24:25" x14ac:dyDescent="0.3">
      <c r="X145" s="337"/>
      <c r="Y145" s="337"/>
    </row>
    <row r="146" spans="24:25" x14ac:dyDescent="0.3">
      <c r="X146" s="337"/>
      <c r="Y146" s="337"/>
    </row>
    <row r="147" spans="24:25" x14ac:dyDescent="0.3">
      <c r="X147" s="337"/>
      <c r="Y147" s="337"/>
    </row>
    <row r="148" spans="24:25" x14ac:dyDescent="0.3">
      <c r="X148" s="337"/>
      <c r="Y148" s="337"/>
    </row>
    <row r="149" spans="24:25" x14ac:dyDescent="0.3">
      <c r="X149" s="337"/>
      <c r="Y149" s="337"/>
    </row>
    <row r="150" spans="24:25" x14ac:dyDescent="0.3">
      <c r="X150" s="337"/>
      <c r="Y150" s="337"/>
    </row>
    <row r="151" spans="24:25" x14ac:dyDescent="0.3">
      <c r="X151" s="337"/>
      <c r="Y151" s="337"/>
    </row>
    <row r="152" spans="24:25" x14ac:dyDescent="0.3">
      <c r="X152" s="337"/>
      <c r="Y152" s="337"/>
    </row>
    <row r="153" spans="24:25" x14ac:dyDescent="0.3">
      <c r="X153" s="337"/>
      <c r="Y153" s="337"/>
    </row>
    <row r="154" spans="24:25" x14ac:dyDescent="0.3">
      <c r="X154" s="337"/>
      <c r="Y154" s="337"/>
    </row>
    <row r="155" spans="24:25" x14ac:dyDescent="0.3">
      <c r="X155" s="337"/>
      <c r="Y155" s="337"/>
    </row>
    <row r="156" spans="24:25" x14ac:dyDescent="0.3">
      <c r="X156" s="337"/>
      <c r="Y156" s="337"/>
    </row>
    <row r="157" spans="24:25" x14ac:dyDescent="0.3">
      <c r="X157" s="337"/>
      <c r="Y157" s="337"/>
    </row>
    <row r="158" spans="24:25" x14ac:dyDescent="0.3">
      <c r="X158" s="337"/>
      <c r="Y158" s="337"/>
    </row>
    <row r="159" spans="24:25" x14ac:dyDescent="0.3">
      <c r="X159" s="337"/>
      <c r="Y159" s="337"/>
    </row>
    <row r="160" spans="24:25" x14ac:dyDescent="0.3">
      <c r="X160" s="337"/>
      <c r="Y160" s="337"/>
    </row>
    <row r="161" spans="24:25" x14ac:dyDescent="0.3">
      <c r="X161" s="337"/>
      <c r="Y161" s="337"/>
    </row>
    <row r="162" spans="24:25" x14ac:dyDescent="0.3">
      <c r="X162" s="337"/>
      <c r="Y162" s="337"/>
    </row>
    <row r="163" spans="24:25" x14ac:dyDescent="0.3">
      <c r="X163" s="337"/>
      <c r="Y163" s="337"/>
    </row>
    <row r="164" spans="24:25" x14ac:dyDescent="0.3">
      <c r="X164" s="337"/>
      <c r="Y164" s="337"/>
    </row>
    <row r="165" spans="24:25" x14ac:dyDescent="0.3">
      <c r="X165" s="337"/>
      <c r="Y165" s="337"/>
    </row>
    <row r="166" spans="24:25" x14ac:dyDescent="0.3">
      <c r="X166" s="337"/>
      <c r="Y166" s="337"/>
    </row>
    <row r="167" spans="24:25" x14ac:dyDescent="0.3">
      <c r="X167" s="337"/>
      <c r="Y167" s="337"/>
    </row>
    <row r="168" spans="24:25" x14ac:dyDescent="0.3">
      <c r="X168" s="337"/>
      <c r="Y168" s="337"/>
    </row>
    <row r="169" spans="24:25" x14ac:dyDescent="0.3">
      <c r="X169" s="337"/>
      <c r="Y169" s="337"/>
    </row>
    <row r="170" spans="24:25" x14ac:dyDescent="0.3">
      <c r="X170" s="337"/>
      <c r="Y170" s="337"/>
    </row>
    <row r="171" spans="24:25" x14ac:dyDescent="0.3">
      <c r="X171" s="337"/>
      <c r="Y171" s="337"/>
    </row>
    <row r="172" spans="24:25" x14ac:dyDescent="0.3">
      <c r="X172" s="337"/>
      <c r="Y172" s="337"/>
    </row>
    <row r="173" spans="24:25" x14ac:dyDescent="0.3">
      <c r="X173" s="337"/>
      <c r="Y173" s="337"/>
    </row>
    <row r="174" spans="24:25" x14ac:dyDescent="0.3">
      <c r="X174" s="337"/>
      <c r="Y174" s="337"/>
    </row>
    <row r="175" spans="24:25" x14ac:dyDescent="0.3">
      <c r="X175" s="337"/>
      <c r="Y175" s="337"/>
    </row>
    <row r="176" spans="24:25" x14ac:dyDescent="0.3">
      <c r="X176" s="337"/>
      <c r="Y176" s="337"/>
    </row>
    <row r="177" spans="24:25" x14ac:dyDescent="0.3">
      <c r="X177" s="337"/>
      <c r="Y177" s="337"/>
    </row>
    <row r="178" spans="24:25" x14ac:dyDescent="0.3">
      <c r="X178" s="337"/>
      <c r="Y178" s="337"/>
    </row>
    <row r="179" spans="24:25" x14ac:dyDescent="0.3">
      <c r="X179" s="337"/>
      <c r="Y179" s="337"/>
    </row>
    <row r="180" spans="24:25" x14ac:dyDescent="0.3">
      <c r="X180" s="337"/>
      <c r="Y180" s="337"/>
    </row>
    <row r="181" spans="24:25" x14ac:dyDescent="0.3">
      <c r="X181" s="337"/>
      <c r="Y181" s="337"/>
    </row>
    <row r="182" spans="24:25" x14ac:dyDescent="0.3">
      <c r="X182" s="337"/>
      <c r="Y182" s="337"/>
    </row>
    <row r="183" spans="24:25" x14ac:dyDescent="0.3">
      <c r="X183" s="337"/>
      <c r="Y183" s="337"/>
    </row>
    <row r="184" spans="24:25" x14ac:dyDescent="0.3">
      <c r="X184" s="337"/>
      <c r="Y184" s="337"/>
    </row>
    <row r="185" spans="24:25" x14ac:dyDescent="0.3">
      <c r="X185" s="337"/>
      <c r="Y185" s="337"/>
    </row>
    <row r="186" spans="24:25" x14ac:dyDescent="0.3">
      <c r="X186" s="337"/>
      <c r="Y186" s="337"/>
    </row>
    <row r="187" spans="24:25" x14ac:dyDescent="0.3">
      <c r="X187" s="337"/>
      <c r="Y187" s="337"/>
    </row>
    <row r="188" spans="24:25" x14ac:dyDescent="0.3">
      <c r="X188" s="337"/>
      <c r="Y188" s="337"/>
    </row>
    <row r="189" spans="24:25" x14ac:dyDescent="0.3">
      <c r="X189" s="337"/>
      <c r="Y189" s="337"/>
    </row>
    <row r="190" spans="24:25" x14ac:dyDescent="0.3">
      <c r="X190" s="337"/>
      <c r="Y190" s="337"/>
    </row>
    <row r="191" spans="24:25" x14ac:dyDescent="0.3">
      <c r="X191" s="337"/>
      <c r="Y191" s="337"/>
    </row>
    <row r="192" spans="24:25" x14ac:dyDescent="0.3">
      <c r="X192" s="337"/>
      <c r="Y192" s="337"/>
    </row>
    <row r="193" spans="24:25" x14ac:dyDescent="0.3">
      <c r="X193" s="337"/>
      <c r="Y193" s="337"/>
    </row>
    <row r="194" spans="24:25" x14ac:dyDescent="0.3">
      <c r="X194" s="337"/>
      <c r="Y194" s="337"/>
    </row>
    <row r="195" spans="24:25" x14ac:dyDescent="0.3">
      <c r="X195" s="337"/>
      <c r="Y195" s="337"/>
    </row>
    <row r="196" spans="24:25" x14ac:dyDescent="0.3">
      <c r="X196" s="337"/>
      <c r="Y196" s="337"/>
    </row>
    <row r="197" spans="24:25" x14ac:dyDescent="0.3">
      <c r="X197" s="337"/>
      <c r="Y197" s="337"/>
    </row>
    <row r="198" spans="24:25" x14ac:dyDescent="0.3">
      <c r="X198" s="337"/>
      <c r="Y198" s="337"/>
    </row>
    <row r="199" spans="24:25" x14ac:dyDescent="0.3">
      <c r="X199" s="337"/>
      <c r="Y199" s="337"/>
    </row>
    <row r="200" spans="24:25" x14ac:dyDescent="0.3">
      <c r="X200" s="337"/>
      <c r="Y200" s="337"/>
    </row>
    <row r="201" spans="24:25" x14ac:dyDescent="0.3">
      <c r="X201" s="337"/>
      <c r="Y201" s="337"/>
    </row>
    <row r="202" spans="24:25" x14ac:dyDescent="0.3">
      <c r="X202" s="337"/>
      <c r="Y202" s="337"/>
    </row>
    <row r="203" spans="24:25" x14ac:dyDescent="0.3">
      <c r="X203" s="337"/>
      <c r="Y203" s="337"/>
    </row>
    <row r="204" spans="24:25" x14ac:dyDescent="0.3">
      <c r="X204" s="337"/>
      <c r="Y204" s="337"/>
    </row>
    <row r="205" spans="24:25" x14ac:dyDescent="0.3">
      <c r="X205" s="337"/>
      <c r="Y205" s="337"/>
    </row>
    <row r="206" spans="24:25" x14ac:dyDescent="0.3">
      <c r="X206" s="337"/>
      <c r="Y206" s="337"/>
    </row>
    <row r="207" spans="24:25" x14ac:dyDescent="0.3">
      <c r="X207" s="337"/>
      <c r="Y207" s="337"/>
    </row>
    <row r="208" spans="24:25" x14ac:dyDescent="0.3">
      <c r="X208" s="337"/>
      <c r="Y208" s="337"/>
    </row>
    <row r="209" spans="24:25" x14ac:dyDescent="0.3">
      <c r="X209" s="337"/>
      <c r="Y209" s="337"/>
    </row>
    <row r="210" spans="24:25" x14ac:dyDescent="0.3">
      <c r="X210" s="337"/>
      <c r="Y210" s="337"/>
    </row>
    <row r="211" spans="24:25" x14ac:dyDescent="0.3">
      <c r="X211" s="337"/>
      <c r="Y211" s="337"/>
    </row>
    <row r="212" spans="24:25" x14ac:dyDescent="0.3">
      <c r="X212" s="337"/>
      <c r="Y212" s="337"/>
    </row>
    <row r="213" spans="24:25" x14ac:dyDescent="0.3">
      <c r="X213" s="337"/>
      <c r="Y213" s="337"/>
    </row>
    <row r="214" spans="24:25" x14ac:dyDescent="0.3">
      <c r="X214" s="337"/>
      <c r="Y214" s="337"/>
    </row>
    <row r="215" spans="24:25" x14ac:dyDescent="0.3">
      <c r="X215" s="337"/>
      <c r="Y215" s="337"/>
    </row>
    <row r="216" spans="24:25" x14ac:dyDescent="0.3">
      <c r="X216" s="337"/>
      <c r="Y216" s="337"/>
    </row>
    <row r="217" spans="24:25" x14ac:dyDescent="0.3">
      <c r="X217" s="337"/>
      <c r="Y217" s="337"/>
    </row>
    <row r="218" spans="24:25" x14ac:dyDescent="0.3">
      <c r="X218" s="337"/>
      <c r="Y218" s="337"/>
    </row>
    <row r="219" spans="24:25" x14ac:dyDescent="0.3">
      <c r="X219" s="337"/>
      <c r="Y219" s="337"/>
    </row>
    <row r="220" spans="24:25" x14ac:dyDescent="0.3">
      <c r="X220" s="337"/>
      <c r="Y220" s="337"/>
    </row>
    <row r="221" spans="24:25" x14ac:dyDescent="0.3">
      <c r="X221" s="337"/>
      <c r="Y221" s="337"/>
    </row>
    <row r="222" spans="24:25" x14ac:dyDescent="0.3">
      <c r="X222" s="337"/>
      <c r="Y222" s="337"/>
    </row>
    <row r="223" spans="24:25" x14ac:dyDescent="0.3">
      <c r="X223" s="337"/>
      <c r="Y223" s="337"/>
    </row>
    <row r="224" spans="24:25" x14ac:dyDescent="0.3">
      <c r="X224" s="337"/>
      <c r="Y224" s="337"/>
    </row>
    <row r="225" spans="24:25" x14ac:dyDescent="0.3">
      <c r="X225" s="337"/>
      <c r="Y225" s="337"/>
    </row>
    <row r="226" spans="24:25" x14ac:dyDescent="0.3">
      <c r="X226" s="337"/>
      <c r="Y226" s="337"/>
    </row>
    <row r="227" spans="24:25" x14ac:dyDescent="0.3">
      <c r="X227" s="337"/>
      <c r="Y227" s="337"/>
    </row>
    <row r="228" spans="24:25" x14ac:dyDescent="0.3">
      <c r="X228" s="337"/>
      <c r="Y228" s="337"/>
    </row>
    <row r="229" spans="24:25" x14ac:dyDescent="0.3">
      <c r="X229" s="337"/>
      <c r="Y229" s="337"/>
    </row>
    <row r="230" spans="24:25" x14ac:dyDescent="0.3">
      <c r="X230" s="337"/>
      <c r="Y230" s="337"/>
    </row>
    <row r="231" spans="24:25" x14ac:dyDescent="0.3">
      <c r="X231" s="337"/>
      <c r="Y231" s="337"/>
    </row>
    <row r="232" spans="24:25" x14ac:dyDescent="0.3">
      <c r="X232" s="337"/>
      <c r="Y232" s="337"/>
    </row>
    <row r="233" spans="24:25" x14ac:dyDescent="0.3">
      <c r="X233" s="337"/>
      <c r="Y233" s="337"/>
    </row>
    <row r="234" spans="24:25" x14ac:dyDescent="0.3">
      <c r="X234" s="337"/>
      <c r="Y234" s="337"/>
    </row>
    <row r="235" spans="24:25" x14ac:dyDescent="0.3">
      <c r="X235" s="337"/>
      <c r="Y235" s="337"/>
    </row>
    <row r="236" spans="24:25" x14ac:dyDescent="0.3">
      <c r="X236" s="337"/>
      <c r="Y236" s="337"/>
    </row>
    <row r="237" spans="24:25" x14ac:dyDescent="0.3">
      <c r="X237" s="337"/>
      <c r="Y237" s="337"/>
    </row>
    <row r="238" spans="24:25" x14ac:dyDescent="0.3">
      <c r="X238" s="337"/>
      <c r="Y238" s="337"/>
    </row>
    <row r="239" spans="24:25" x14ac:dyDescent="0.3">
      <c r="X239" s="337"/>
      <c r="Y239" s="337"/>
    </row>
    <row r="240" spans="24:25" x14ac:dyDescent="0.3">
      <c r="X240" s="337"/>
      <c r="Y240" s="337"/>
    </row>
    <row r="241" spans="24:25" x14ac:dyDescent="0.3">
      <c r="X241" s="337"/>
      <c r="Y241" s="337"/>
    </row>
    <row r="242" spans="24:25" x14ac:dyDescent="0.3">
      <c r="X242" s="337"/>
      <c r="Y242" s="337"/>
    </row>
    <row r="243" spans="24:25" x14ac:dyDescent="0.3">
      <c r="X243" s="337"/>
      <c r="Y243" s="337"/>
    </row>
    <row r="244" spans="24:25" x14ac:dyDescent="0.3">
      <c r="X244" s="337"/>
      <c r="Y244" s="337"/>
    </row>
    <row r="245" spans="24:25" x14ac:dyDescent="0.3">
      <c r="X245" s="337"/>
      <c r="Y245" s="337"/>
    </row>
    <row r="246" spans="24:25" x14ac:dyDescent="0.3">
      <c r="X246" s="337"/>
      <c r="Y246" s="337"/>
    </row>
    <row r="247" spans="24:25" x14ac:dyDescent="0.3">
      <c r="X247" s="337"/>
      <c r="Y247" s="337"/>
    </row>
    <row r="248" spans="24:25" x14ac:dyDescent="0.3">
      <c r="X248" s="337"/>
      <c r="Y248" s="337"/>
    </row>
    <row r="249" spans="24:25" x14ac:dyDescent="0.3">
      <c r="X249" s="337"/>
      <c r="Y249" s="337"/>
    </row>
    <row r="250" spans="24:25" x14ac:dyDescent="0.3">
      <c r="X250" s="337"/>
      <c r="Y250" s="337"/>
    </row>
    <row r="251" spans="24:25" x14ac:dyDescent="0.3">
      <c r="X251" s="337"/>
      <c r="Y251" s="337"/>
    </row>
    <row r="252" spans="24:25" x14ac:dyDescent="0.3">
      <c r="X252" s="337"/>
      <c r="Y252" s="337"/>
    </row>
    <row r="253" spans="24:25" x14ac:dyDescent="0.3">
      <c r="X253" s="337"/>
      <c r="Y253" s="337"/>
    </row>
    <row r="254" spans="24:25" x14ac:dyDescent="0.3">
      <c r="X254" s="337"/>
      <c r="Y254" s="337"/>
    </row>
    <row r="255" spans="24:25" x14ac:dyDescent="0.3">
      <c r="X255" s="337"/>
      <c r="Y255" s="337"/>
    </row>
    <row r="256" spans="24:25" x14ac:dyDescent="0.3">
      <c r="X256" s="337"/>
      <c r="Y256" s="337"/>
    </row>
    <row r="257" spans="24:25" x14ac:dyDescent="0.3">
      <c r="X257" s="337"/>
      <c r="Y257" s="337"/>
    </row>
    <row r="258" spans="24:25" x14ac:dyDescent="0.3">
      <c r="X258" s="337"/>
      <c r="Y258" s="337"/>
    </row>
    <row r="259" spans="24:25" x14ac:dyDescent="0.3">
      <c r="X259" s="337"/>
      <c r="Y259" s="337"/>
    </row>
    <row r="260" spans="24:25" x14ac:dyDescent="0.3">
      <c r="X260" s="337"/>
      <c r="Y260" s="337"/>
    </row>
    <row r="261" spans="24:25" x14ac:dyDescent="0.3">
      <c r="X261" s="337"/>
      <c r="Y261" s="337"/>
    </row>
    <row r="262" spans="24:25" x14ac:dyDescent="0.3">
      <c r="X262" s="337"/>
      <c r="Y262" s="337"/>
    </row>
    <row r="263" spans="24:25" x14ac:dyDescent="0.3">
      <c r="X263" s="337"/>
      <c r="Y263" s="337"/>
    </row>
    <row r="264" spans="24:25" x14ac:dyDescent="0.3">
      <c r="X264" s="337"/>
      <c r="Y264" s="337"/>
    </row>
    <row r="265" spans="24:25" x14ac:dyDescent="0.3">
      <c r="X265" s="337"/>
      <c r="Y265" s="337"/>
    </row>
    <row r="266" spans="24:25" x14ac:dyDescent="0.3">
      <c r="X266" s="337"/>
      <c r="Y266" s="337"/>
    </row>
    <row r="267" spans="24:25" x14ac:dyDescent="0.3">
      <c r="X267" s="337"/>
      <c r="Y267" s="337"/>
    </row>
    <row r="268" spans="24:25" x14ac:dyDescent="0.3">
      <c r="X268" s="337"/>
      <c r="Y268" s="337"/>
    </row>
    <row r="269" spans="24:25" x14ac:dyDescent="0.3">
      <c r="X269" s="337"/>
      <c r="Y269" s="337"/>
    </row>
    <row r="270" spans="24:25" x14ac:dyDescent="0.3">
      <c r="X270" s="337"/>
      <c r="Y270" s="337"/>
    </row>
    <row r="271" spans="24:25" x14ac:dyDescent="0.3">
      <c r="X271" s="337"/>
      <c r="Y271" s="337"/>
    </row>
    <row r="272" spans="24:25" x14ac:dyDescent="0.3">
      <c r="X272" s="337"/>
      <c r="Y272" s="337"/>
    </row>
    <row r="273" spans="24:25" x14ac:dyDescent="0.3">
      <c r="X273" s="337"/>
      <c r="Y273" s="337"/>
    </row>
    <row r="274" spans="24:25" x14ac:dyDescent="0.3">
      <c r="X274" s="337"/>
      <c r="Y274" s="337"/>
    </row>
    <row r="275" spans="24:25" x14ac:dyDescent="0.3">
      <c r="X275" s="337"/>
      <c r="Y275" s="337"/>
    </row>
    <row r="276" spans="24:25" x14ac:dyDescent="0.3">
      <c r="X276" s="337"/>
      <c r="Y276" s="337"/>
    </row>
    <row r="277" spans="24:25" x14ac:dyDescent="0.3">
      <c r="X277" s="337"/>
      <c r="Y277" s="337"/>
    </row>
    <row r="278" spans="24:25" x14ac:dyDescent="0.3">
      <c r="X278" s="337"/>
      <c r="Y278" s="337"/>
    </row>
    <row r="279" spans="24:25" x14ac:dyDescent="0.3">
      <c r="X279" s="337"/>
      <c r="Y279" s="337"/>
    </row>
    <row r="280" spans="24:25" x14ac:dyDescent="0.3">
      <c r="X280" s="337"/>
      <c r="Y280" s="337"/>
    </row>
    <row r="281" spans="24:25" x14ac:dyDescent="0.3">
      <c r="X281" s="337"/>
      <c r="Y281" s="337"/>
    </row>
    <row r="282" spans="24:25" x14ac:dyDescent="0.3">
      <c r="X282" s="337"/>
      <c r="Y282" s="337"/>
    </row>
    <row r="283" spans="24:25" x14ac:dyDescent="0.3">
      <c r="X283" s="337"/>
      <c r="Y283" s="337"/>
    </row>
    <row r="284" spans="24:25" x14ac:dyDescent="0.3">
      <c r="X284" s="337"/>
      <c r="Y284" s="337"/>
    </row>
    <row r="285" spans="24:25" x14ac:dyDescent="0.3">
      <c r="X285" s="337"/>
      <c r="Y285" s="337"/>
    </row>
    <row r="286" spans="24:25" x14ac:dyDescent="0.3">
      <c r="X286" s="337"/>
      <c r="Y286" s="337"/>
    </row>
    <row r="287" spans="24:25" x14ac:dyDescent="0.3">
      <c r="X287" s="337"/>
      <c r="Y287" s="337"/>
    </row>
    <row r="288" spans="24:25" x14ac:dyDescent="0.3">
      <c r="X288" s="337"/>
      <c r="Y288" s="337"/>
    </row>
    <row r="289" spans="24:25" x14ac:dyDescent="0.3">
      <c r="X289" s="337"/>
      <c r="Y289" s="337"/>
    </row>
    <row r="290" spans="24:25" x14ac:dyDescent="0.3">
      <c r="X290" s="337"/>
      <c r="Y290" s="337"/>
    </row>
    <row r="291" spans="24:25" x14ac:dyDescent="0.3">
      <c r="X291" s="337"/>
      <c r="Y291" s="337"/>
    </row>
    <row r="292" spans="24:25" x14ac:dyDescent="0.3">
      <c r="X292" s="337"/>
      <c r="Y292" s="337"/>
    </row>
    <row r="293" spans="24:25" x14ac:dyDescent="0.3">
      <c r="X293" s="337"/>
      <c r="Y293" s="337"/>
    </row>
    <row r="294" spans="24:25" x14ac:dyDescent="0.3">
      <c r="X294" s="337"/>
      <c r="Y294" s="337"/>
    </row>
    <row r="295" spans="24:25" x14ac:dyDescent="0.3">
      <c r="X295" s="337"/>
      <c r="Y295" s="337"/>
    </row>
    <row r="296" spans="24:25" x14ac:dyDescent="0.3">
      <c r="X296" s="337"/>
      <c r="Y296" s="337"/>
    </row>
    <row r="297" spans="24:25" x14ac:dyDescent="0.3">
      <c r="X297" s="337"/>
      <c r="Y297" s="337"/>
    </row>
    <row r="298" spans="24:25" x14ac:dyDescent="0.3">
      <c r="X298" s="337"/>
      <c r="Y298" s="337"/>
    </row>
    <row r="299" spans="24:25" x14ac:dyDescent="0.3">
      <c r="X299" s="337"/>
      <c r="Y299" s="337"/>
    </row>
    <row r="300" spans="24:25" x14ac:dyDescent="0.3">
      <c r="X300" s="337"/>
      <c r="Y300" s="337"/>
    </row>
    <row r="301" spans="24:25" x14ac:dyDescent="0.3">
      <c r="X301" s="337"/>
      <c r="Y301" s="337"/>
    </row>
    <row r="302" spans="24:25" x14ac:dyDescent="0.3">
      <c r="X302" s="337"/>
      <c r="Y302" s="337"/>
    </row>
    <row r="303" spans="24:25" x14ac:dyDescent="0.3">
      <c r="X303" s="337"/>
      <c r="Y303" s="337"/>
    </row>
    <row r="304" spans="24:25" x14ac:dyDescent="0.3">
      <c r="X304" s="337"/>
      <c r="Y304" s="337"/>
    </row>
    <row r="305" spans="24:25" x14ac:dyDescent="0.3">
      <c r="X305" s="337"/>
      <c r="Y305" s="337"/>
    </row>
    <row r="306" spans="24:25" x14ac:dyDescent="0.3">
      <c r="X306" s="337"/>
      <c r="Y306" s="337"/>
    </row>
    <row r="307" spans="24:25" x14ac:dyDescent="0.3">
      <c r="X307" s="337"/>
      <c r="Y307" s="337"/>
    </row>
    <row r="308" spans="24:25" x14ac:dyDescent="0.3">
      <c r="X308" s="337"/>
      <c r="Y308" s="337"/>
    </row>
    <row r="309" spans="24:25" x14ac:dyDescent="0.3">
      <c r="X309" s="337"/>
      <c r="Y309" s="337"/>
    </row>
    <row r="310" spans="24:25" x14ac:dyDescent="0.3">
      <c r="X310" s="337"/>
      <c r="Y310" s="337"/>
    </row>
    <row r="311" spans="24:25" x14ac:dyDescent="0.3">
      <c r="X311" s="337"/>
      <c r="Y311" s="337"/>
    </row>
    <row r="312" spans="24:25" x14ac:dyDescent="0.3">
      <c r="X312" s="337"/>
      <c r="Y312" s="337"/>
    </row>
    <row r="313" spans="24:25" x14ac:dyDescent="0.3">
      <c r="X313" s="337"/>
      <c r="Y313" s="337"/>
    </row>
    <row r="314" spans="24:25" x14ac:dyDescent="0.3">
      <c r="X314" s="337"/>
      <c r="Y314" s="337"/>
    </row>
    <row r="315" spans="24:25" x14ac:dyDescent="0.3">
      <c r="X315" s="337"/>
      <c r="Y315" s="337"/>
    </row>
    <row r="316" spans="24:25" x14ac:dyDescent="0.3">
      <c r="X316" s="337"/>
      <c r="Y316" s="337"/>
    </row>
    <row r="317" spans="24:25" x14ac:dyDescent="0.3">
      <c r="X317" s="337"/>
      <c r="Y317" s="337"/>
    </row>
    <row r="318" spans="24:25" x14ac:dyDescent="0.3">
      <c r="X318" s="337"/>
      <c r="Y318" s="337"/>
    </row>
    <row r="319" spans="24:25" x14ac:dyDescent="0.3">
      <c r="X319" s="337"/>
      <c r="Y319" s="337"/>
    </row>
    <row r="320" spans="24:25" x14ac:dyDescent="0.3">
      <c r="X320" s="337"/>
      <c r="Y320" s="337"/>
    </row>
    <row r="321" spans="24:25" x14ac:dyDescent="0.3">
      <c r="X321" s="337"/>
      <c r="Y321" s="337"/>
    </row>
    <row r="322" spans="24:25" x14ac:dyDescent="0.3">
      <c r="X322" s="337"/>
      <c r="Y322" s="337"/>
    </row>
    <row r="323" spans="24:25" x14ac:dyDescent="0.3">
      <c r="X323" s="337"/>
      <c r="Y323" s="337"/>
    </row>
    <row r="324" spans="24:25" x14ac:dyDescent="0.3">
      <c r="X324" s="337"/>
      <c r="Y324" s="337"/>
    </row>
    <row r="325" spans="24:25" x14ac:dyDescent="0.3">
      <c r="X325" s="337"/>
      <c r="Y325" s="337"/>
    </row>
    <row r="326" spans="24:25" x14ac:dyDescent="0.3">
      <c r="X326" s="337"/>
      <c r="Y326" s="337"/>
    </row>
    <row r="327" spans="24:25" x14ac:dyDescent="0.3">
      <c r="X327" s="337"/>
      <c r="Y327" s="337"/>
    </row>
    <row r="328" spans="24:25" x14ac:dyDescent="0.3">
      <c r="X328" s="337"/>
      <c r="Y328" s="337"/>
    </row>
    <row r="329" spans="24:25" x14ac:dyDescent="0.3">
      <c r="X329" s="337"/>
      <c r="Y329" s="337"/>
    </row>
    <row r="330" spans="24:25" x14ac:dyDescent="0.3">
      <c r="X330" s="337"/>
      <c r="Y330" s="337"/>
    </row>
    <row r="331" spans="24:25" x14ac:dyDescent="0.3">
      <c r="X331" s="337"/>
      <c r="Y331" s="337"/>
    </row>
    <row r="332" spans="24:25" x14ac:dyDescent="0.3">
      <c r="X332" s="337"/>
      <c r="Y332" s="337"/>
    </row>
    <row r="333" spans="24:25" x14ac:dyDescent="0.3">
      <c r="X333" s="337"/>
      <c r="Y333" s="337"/>
    </row>
    <row r="334" spans="24:25" x14ac:dyDescent="0.3">
      <c r="X334" s="337"/>
      <c r="Y334" s="337"/>
    </row>
    <row r="335" spans="24:25" x14ac:dyDescent="0.3">
      <c r="X335" s="337"/>
      <c r="Y335" s="337"/>
    </row>
    <row r="336" spans="24:25" x14ac:dyDescent="0.3">
      <c r="X336" s="337"/>
      <c r="Y336" s="337"/>
    </row>
    <row r="337" spans="24:25" x14ac:dyDescent="0.3">
      <c r="X337" s="337"/>
      <c r="Y337" s="337"/>
    </row>
    <row r="338" spans="24:25" x14ac:dyDescent="0.3">
      <c r="X338" s="337"/>
      <c r="Y338" s="337"/>
    </row>
    <row r="339" spans="24:25" x14ac:dyDescent="0.3">
      <c r="X339" s="337"/>
      <c r="Y339" s="337"/>
    </row>
    <row r="340" spans="24:25" x14ac:dyDescent="0.3">
      <c r="X340" s="337"/>
      <c r="Y340" s="337"/>
    </row>
    <row r="341" spans="24:25" x14ac:dyDescent="0.3">
      <c r="X341" s="337"/>
      <c r="Y341" s="337"/>
    </row>
    <row r="342" spans="24:25" x14ac:dyDescent="0.3">
      <c r="X342" s="337"/>
      <c r="Y342" s="337"/>
    </row>
    <row r="343" spans="24:25" x14ac:dyDescent="0.3">
      <c r="X343" s="337"/>
      <c r="Y343" s="337"/>
    </row>
    <row r="344" spans="24:25" x14ac:dyDescent="0.3">
      <c r="X344" s="337"/>
      <c r="Y344" s="337"/>
    </row>
    <row r="345" spans="24:25" x14ac:dyDescent="0.3">
      <c r="X345" s="337"/>
      <c r="Y345" s="337"/>
    </row>
    <row r="346" spans="24:25" x14ac:dyDescent="0.3">
      <c r="X346" s="337"/>
      <c r="Y346" s="337"/>
    </row>
    <row r="347" spans="24:25" x14ac:dyDescent="0.3">
      <c r="X347" s="337"/>
      <c r="Y347" s="337"/>
    </row>
    <row r="348" spans="24:25" x14ac:dyDescent="0.3">
      <c r="X348" s="337"/>
      <c r="Y348" s="337"/>
    </row>
    <row r="349" spans="24:25" x14ac:dyDescent="0.3">
      <c r="X349" s="337"/>
      <c r="Y349" s="337"/>
    </row>
    <row r="350" spans="24:25" x14ac:dyDescent="0.3">
      <c r="X350" s="337"/>
      <c r="Y350" s="337"/>
    </row>
    <row r="351" spans="24:25" x14ac:dyDescent="0.3">
      <c r="X351" s="337"/>
      <c r="Y351" s="337"/>
    </row>
    <row r="352" spans="24:25" x14ac:dyDescent="0.3">
      <c r="X352" s="337"/>
      <c r="Y352" s="337"/>
    </row>
    <row r="353" spans="24:25" x14ac:dyDescent="0.3">
      <c r="X353" s="337"/>
      <c r="Y353" s="337"/>
    </row>
    <row r="354" spans="24:25" x14ac:dyDescent="0.3">
      <c r="X354" s="337"/>
      <c r="Y354" s="337"/>
    </row>
    <row r="355" spans="24:25" x14ac:dyDescent="0.3">
      <c r="X355" s="337"/>
      <c r="Y355" s="337"/>
    </row>
    <row r="356" spans="24:25" x14ac:dyDescent="0.3">
      <c r="X356" s="337"/>
      <c r="Y356" s="337"/>
    </row>
    <row r="357" spans="24:25" x14ac:dyDescent="0.3">
      <c r="X357" s="337"/>
      <c r="Y357" s="337"/>
    </row>
    <row r="358" spans="24:25" x14ac:dyDescent="0.3">
      <c r="X358" s="337"/>
      <c r="Y358" s="337"/>
    </row>
    <row r="359" spans="24:25" x14ac:dyDescent="0.3">
      <c r="X359" s="337"/>
      <c r="Y359" s="337"/>
    </row>
    <row r="360" spans="24:25" x14ac:dyDescent="0.3">
      <c r="X360" s="337"/>
      <c r="Y360" s="337"/>
    </row>
    <row r="361" spans="24:25" x14ac:dyDescent="0.3">
      <c r="X361" s="337"/>
      <c r="Y361" s="337"/>
    </row>
    <row r="362" spans="24:25" x14ac:dyDescent="0.3">
      <c r="X362" s="337"/>
      <c r="Y362" s="337"/>
    </row>
    <row r="363" spans="24:25" x14ac:dyDescent="0.3">
      <c r="X363" s="337"/>
      <c r="Y363" s="337"/>
    </row>
    <row r="364" spans="24:25" x14ac:dyDescent="0.3">
      <c r="X364" s="337"/>
      <c r="Y364" s="337"/>
    </row>
    <row r="365" spans="24:25" x14ac:dyDescent="0.3">
      <c r="X365" s="337"/>
      <c r="Y365" s="337"/>
    </row>
    <row r="366" spans="24:25" x14ac:dyDescent="0.3">
      <c r="X366" s="337"/>
      <c r="Y366" s="337"/>
    </row>
    <row r="367" spans="24:25" x14ac:dyDescent="0.3">
      <c r="X367" s="337"/>
      <c r="Y367" s="337"/>
    </row>
    <row r="368" spans="24:25" x14ac:dyDescent="0.3">
      <c r="X368" s="337"/>
      <c r="Y368" s="337"/>
    </row>
    <row r="369" spans="24:25" x14ac:dyDescent="0.3">
      <c r="X369" s="337"/>
      <c r="Y369" s="337"/>
    </row>
    <row r="370" spans="24:25" x14ac:dyDescent="0.3">
      <c r="X370" s="337"/>
      <c r="Y370" s="337"/>
    </row>
    <row r="371" spans="24:25" x14ac:dyDescent="0.3">
      <c r="X371" s="337"/>
      <c r="Y371" s="337"/>
    </row>
    <row r="372" spans="24:25" x14ac:dyDescent="0.3">
      <c r="X372" s="337"/>
      <c r="Y372" s="337"/>
    </row>
    <row r="373" spans="24:25" x14ac:dyDescent="0.3">
      <c r="X373" s="337"/>
      <c r="Y373" s="337"/>
    </row>
    <row r="374" spans="24:25" x14ac:dyDescent="0.3">
      <c r="X374" s="337"/>
      <c r="Y374" s="337"/>
    </row>
    <row r="375" spans="24:25" x14ac:dyDescent="0.3">
      <c r="X375" s="337"/>
      <c r="Y375" s="337"/>
    </row>
    <row r="376" spans="24:25" x14ac:dyDescent="0.3">
      <c r="X376" s="337"/>
      <c r="Y376" s="337"/>
    </row>
    <row r="377" spans="24:25" x14ac:dyDescent="0.3">
      <c r="X377" s="337"/>
      <c r="Y377" s="337"/>
    </row>
    <row r="378" spans="24:25" x14ac:dyDescent="0.3">
      <c r="X378" s="337"/>
      <c r="Y378" s="337"/>
    </row>
    <row r="379" spans="24:25" x14ac:dyDescent="0.3">
      <c r="X379" s="337"/>
      <c r="Y379" s="337"/>
    </row>
    <row r="380" spans="24:25" x14ac:dyDescent="0.3">
      <c r="X380" s="337"/>
      <c r="Y380" s="337"/>
    </row>
    <row r="381" spans="24:25" x14ac:dyDescent="0.3">
      <c r="X381" s="337"/>
      <c r="Y381" s="337"/>
    </row>
    <row r="382" spans="24:25" x14ac:dyDescent="0.3">
      <c r="X382" s="337"/>
      <c r="Y382" s="337"/>
    </row>
    <row r="383" spans="24:25" x14ac:dyDescent="0.3">
      <c r="X383" s="337"/>
      <c r="Y383" s="337"/>
    </row>
    <row r="384" spans="24:25" x14ac:dyDescent="0.3">
      <c r="X384" s="337"/>
      <c r="Y384" s="337"/>
    </row>
    <row r="385" spans="24:25" x14ac:dyDescent="0.3">
      <c r="X385" s="337"/>
      <c r="Y385" s="337"/>
    </row>
    <row r="386" spans="24:25" x14ac:dyDescent="0.3">
      <c r="X386" s="337"/>
      <c r="Y386" s="337"/>
    </row>
    <row r="387" spans="24:25" x14ac:dyDescent="0.3">
      <c r="X387" s="337"/>
      <c r="Y387" s="337"/>
    </row>
    <row r="388" spans="24:25" x14ac:dyDescent="0.3">
      <c r="X388" s="337"/>
      <c r="Y388" s="337"/>
    </row>
    <row r="389" spans="24:25" x14ac:dyDescent="0.3">
      <c r="X389" s="337"/>
      <c r="Y389" s="337"/>
    </row>
    <row r="390" spans="24:25" x14ac:dyDescent="0.3">
      <c r="X390" s="337"/>
      <c r="Y390" s="337"/>
    </row>
    <row r="391" spans="24:25" x14ac:dyDescent="0.3">
      <c r="X391" s="337"/>
      <c r="Y391" s="337"/>
    </row>
    <row r="392" spans="24:25" x14ac:dyDescent="0.3">
      <c r="X392" s="337"/>
      <c r="Y392" s="337"/>
    </row>
    <row r="393" spans="24:25" x14ac:dyDescent="0.3">
      <c r="X393" s="337"/>
      <c r="Y393" s="337"/>
    </row>
    <row r="394" spans="24:25" x14ac:dyDescent="0.3">
      <c r="X394" s="337"/>
      <c r="Y394" s="337"/>
    </row>
    <row r="395" spans="24:25" x14ac:dyDescent="0.3">
      <c r="X395" s="337"/>
      <c r="Y395" s="337"/>
    </row>
    <row r="396" spans="24:25" x14ac:dyDescent="0.3">
      <c r="X396" s="337"/>
      <c r="Y396" s="337"/>
    </row>
    <row r="397" spans="24:25" x14ac:dyDescent="0.3">
      <c r="X397" s="337"/>
      <c r="Y397" s="337"/>
    </row>
    <row r="398" spans="24:25" x14ac:dyDescent="0.3">
      <c r="X398" s="337"/>
      <c r="Y398" s="337"/>
    </row>
    <row r="399" spans="24:25" x14ac:dyDescent="0.3">
      <c r="X399" s="337"/>
      <c r="Y399" s="337"/>
    </row>
    <row r="400" spans="24:25" x14ac:dyDescent="0.3">
      <c r="X400" s="337"/>
      <c r="Y400" s="337"/>
    </row>
    <row r="401" spans="24:25" x14ac:dyDescent="0.3">
      <c r="X401" s="337"/>
      <c r="Y401" s="337"/>
    </row>
    <row r="402" spans="24:25" x14ac:dyDescent="0.3">
      <c r="X402" s="337"/>
      <c r="Y402" s="337"/>
    </row>
    <row r="403" spans="24:25" x14ac:dyDescent="0.3">
      <c r="X403" s="337"/>
      <c r="Y403" s="337"/>
    </row>
    <row r="404" spans="24:25" x14ac:dyDescent="0.3">
      <c r="X404" s="337"/>
      <c r="Y404" s="337"/>
    </row>
    <row r="405" spans="24:25" x14ac:dyDescent="0.3">
      <c r="X405" s="337"/>
      <c r="Y405" s="337"/>
    </row>
    <row r="406" spans="24:25" x14ac:dyDescent="0.3">
      <c r="X406" s="337"/>
      <c r="Y406" s="337"/>
    </row>
    <row r="407" spans="24:25" x14ac:dyDescent="0.3">
      <c r="X407" s="337"/>
      <c r="Y407" s="337"/>
    </row>
    <row r="408" spans="24:25" x14ac:dyDescent="0.3">
      <c r="X408" s="337"/>
      <c r="Y408" s="337"/>
    </row>
    <row r="409" spans="24:25" x14ac:dyDescent="0.3">
      <c r="X409" s="337"/>
      <c r="Y409" s="337"/>
    </row>
    <row r="410" spans="24:25" x14ac:dyDescent="0.3">
      <c r="X410" s="337"/>
      <c r="Y410" s="337"/>
    </row>
    <row r="411" spans="24:25" x14ac:dyDescent="0.3">
      <c r="X411" s="337"/>
      <c r="Y411" s="337"/>
    </row>
    <row r="412" spans="24:25" x14ac:dyDescent="0.3">
      <c r="X412" s="337"/>
      <c r="Y412" s="337"/>
    </row>
    <row r="413" spans="24:25" x14ac:dyDescent="0.3">
      <c r="X413" s="337"/>
      <c r="Y413" s="337"/>
    </row>
    <row r="414" spans="24:25" x14ac:dyDescent="0.3">
      <c r="X414" s="337"/>
      <c r="Y414" s="337"/>
    </row>
    <row r="415" spans="24:25" x14ac:dyDescent="0.3">
      <c r="X415" s="337"/>
      <c r="Y415" s="337"/>
    </row>
    <row r="416" spans="24:25" x14ac:dyDescent="0.3">
      <c r="X416" s="337"/>
      <c r="Y416" s="337"/>
    </row>
    <row r="417" spans="24:25" x14ac:dyDescent="0.3">
      <c r="X417" s="337"/>
      <c r="Y417" s="337"/>
    </row>
    <row r="418" spans="24:25" x14ac:dyDescent="0.3">
      <c r="X418" s="337"/>
      <c r="Y418" s="337"/>
    </row>
    <row r="419" spans="24:25" x14ac:dyDescent="0.3">
      <c r="X419" s="337"/>
      <c r="Y419" s="337"/>
    </row>
    <row r="420" spans="24:25" x14ac:dyDescent="0.3">
      <c r="X420" s="337"/>
      <c r="Y420" s="337"/>
    </row>
    <row r="421" spans="24:25" x14ac:dyDescent="0.3">
      <c r="X421" s="337"/>
      <c r="Y421" s="337"/>
    </row>
    <row r="422" spans="24:25" x14ac:dyDescent="0.3">
      <c r="X422" s="337"/>
      <c r="Y422" s="337"/>
    </row>
    <row r="423" spans="24:25" x14ac:dyDescent="0.3">
      <c r="X423" s="337"/>
      <c r="Y423" s="337"/>
    </row>
    <row r="424" spans="24:25" x14ac:dyDescent="0.3">
      <c r="X424" s="337"/>
      <c r="Y424" s="337"/>
    </row>
    <row r="425" spans="24:25" x14ac:dyDescent="0.3">
      <c r="X425" s="337"/>
      <c r="Y425" s="337"/>
    </row>
    <row r="426" spans="24:25" x14ac:dyDescent="0.3">
      <c r="X426" s="337"/>
      <c r="Y426" s="337"/>
    </row>
    <row r="427" spans="24:25" x14ac:dyDescent="0.3">
      <c r="X427" s="337"/>
      <c r="Y427" s="337"/>
    </row>
    <row r="428" spans="24:25" x14ac:dyDescent="0.3">
      <c r="X428" s="337"/>
      <c r="Y428" s="337"/>
    </row>
    <row r="429" spans="24:25" x14ac:dyDescent="0.3">
      <c r="X429" s="337"/>
      <c r="Y429" s="337"/>
    </row>
    <row r="430" spans="24:25" x14ac:dyDescent="0.3">
      <c r="X430" s="337"/>
      <c r="Y430" s="337"/>
    </row>
    <row r="431" spans="24:25" x14ac:dyDescent="0.3">
      <c r="X431" s="337"/>
      <c r="Y431" s="337"/>
    </row>
    <row r="432" spans="24:25" x14ac:dyDescent="0.3">
      <c r="X432" s="337"/>
      <c r="Y432" s="337"/>
    </row>
    <row r="433" spans="24:25" x14ac:dyDescent="0.3">
      <c r="X433" s="337"/>
      <c r="Y433" s="337"/>
    </row>
    <row r="434" spans="24:25" x14ac:dyDescent="0.3">
      <c r="X434" s="337"/>
      <c r="Y434" s="337"/>
    </row>
    <row r="435" spans="24:25" x14ac:dyDescent="0.3">
      <c r="X435" s="337"/>
      <c r="Y435" s="337"/>
    </row>
    <row r="436" spans="24:25" x14ac:dyDescent="0.3">
      <c r="X436" s="337"/>
      <c r="Y436" s="337"/>
    </row>
    <row r="437" spans="24:25" x14ac:dyDescent="0.3">
      <c r="X437" s="337"/>
      <c r="Y437" s="337"/>
    </row>
    <row r="438" spans="24:25" x14ac:dyDescent="0.3">
      <c r="X438" s="337"/>
      <c r="Y438" s="337"/>
    </row>
    <row r="439" spans="24:25" x14ac:dyDescent="0.3">
      <c r="X439" s="337"/>
      <c r="Y439" s="337"/>
    </row>
    <row r="440" spans="24:25" x14ac:dyDescent="0.3">
      <c r="X440" s="337"/>
      <c r="Y440" s="337"/>
    </row>
    <row r="441" spans="24:25" x14ac:dyDescent="0.3">
      <c r="X441" s="337"/>
      <c r="Y441" s="337"/>
    </row>
    <row r="442" spans="24:25" x14ac:dyDescent="0.3">
      <c r="X442" s="337"/>
      <c r="Y442" s="337"/>
    </row>
    <row r="443" spans="24:25" x14ac:dyDescent="0.3">
      <c r="X443" s="337"/>
      <c r="Y443" s="337"/>
    </row>
    <row r="444" spans="24:25" x14ac:dyDescent="0.3">
      <c r="X444" s="337"/>
      <c r="Y444" s="337"/>
    </row>
    <row r="445" spans="24:25" x14ac:dyDescent="0.3">
      <c r="X445" s="337"/>
      <c r="Y445" s="337"/>
    </row>
    <row r="446" spans="24:25" x14ac:dyDescent="0.3">
      <c r="X446" s="337"/>
      <c r="Y446" s="337"/>
    </row>
    <row r="447" spans="24:25" x14ac:dyDescent="0.3">
      <c r="X447" s="337"/>
      <c r="Y447" s="337"/>
    </row>
    <row r="448" spans="24:25" x14ac:dyDescent="0.3">
      <c r="X448" s="337"/>
      <c r="Y448" s="337"/>
    </row>
    <row r="449" spans="24:25" x14ac:dyDescent="0.3">
      <c r="X449" s="337"/>
      <c r="Y449" s="337"/>
    </row>
    <row r="450" spans="24:25" x14ac:dyDescent="0.3">
      <c r="X450" s="337"/>
      <c r="Y450" s="337"/>
    </row>
    <row r="451" spans="24:25" x14ac:dyDescent="0.3">
      <c r="X451" s="337"/>
      <c r="Y451" s="337"/>
    </row>
    <row r="452" spans="24:25" x14ac:dyDescent="0.3">
      <c r="X452" s="337"/>
      <c r="Y452" s="337"/>
    </row>
    <row r="453" spans="24:25" x14ac:dyDescent="0.3">
      <c r="X453" s="337"/>
      <c r="Y453" s="337"/>
    </row>
    <row r="454" spans="24:25" x14ac:dyDescent="0.3">
      <c r="X454" s="337"/>
      <c r="Y454" s="337"/>
    </row>
    <row r="455" spans="24:25" x14ac:dyDescent="0.3">
      <c r="X455" s="337"/>
      <c r="Y455" s="337"/>
    </row>
    <row r="456" spans="24:25" x14ac:dyDescent="0.3">
      <c r="X456" s="337"/>
      <c r="Y456" s="337"/>
    </row>
    <row r="457" spans="24:25" x14ac:dyDescent="0.3">
      <c r="X457" s="337"/>
      <c r="Y457" s="337"/>
    </row>
    <row r="458" spans="24:25" x14ac:dyDescent="0.3">
      <c r="X458" s="337"/>
      <c r="Y458" s="337"/>
    </row>
    <row r="459" spans="24:25" x14ac:dyDescent="0.3">
      <c r="X459" s="337"/>
      <c r="Y459" s="337"/>
    </row>
    <row r="460" spans="24:25" x14ac:dyDescent="0.3">
      <c r="X460" s="337"/>
      <c r="Y460" s="337"/>
    </row>
    <row r="461" spans="24:25" x14ac:dyDescent="0.3">
      <c r="X461" s="337"/>
      <c r="Y461" s="337"/>
    </row>
    <row r="462" spans="24:25" x14ac:dyDescent="0.3">
      <c r="X462" s="337"/>
      <c r="Y462" s="337"/>
    </row>
    <row r="463" spans="24:25" x14ac:dyDescent="0.3">
      <c r="X463" s="337"/>
      <c r="Y463" s="337"/>
    </row>
    <row r="464" spans="24:25" x14ac:dyDescent="0.3">
      <c r="X464" s="337"/>
      <c r="Y464" s="337"/>
    </row>
    <row r="465" spans="24:25" x14ac:dyDescent="0.3">
      <c r="X465" s="337"/>
      <c r="Y465" s="337"/>
    </row>
    <row r="466" spans="24:25" x14ac:dyDescent="0.3">
      <c r="X466" s="337"/>
      <c r="Y466" s="337"/>
    </row>
    <row r="467" spans="24:25" x14ac:dyDescent="0.3">
      <c r="X467" s="337"/>
      <c r="Y467" s="337"/>
    </row>
    <row r="468" spans="24:25" x14ac:dyDescent="0.3">
      <c r="X468" s="337"/>
      <c r="Y468" s="337"/>
    </row>
    <row r="469" spans="24:25" x14ac:dyDescent="0.3">
      <c r="X469" s="337"/>
      <c r="Y469" s="337"/>
    </row>
    <row r="470" spans="24:25" x14ac:dyDescent="0.3">
      <c r="X470" s="337"/>
      <c r="Y470" s="337"/>
    </row>
    <row r="471" spans="24:25" x14ac:dyDescent="0.3">
      <c r="X471" s="337"/>
      <c r="Y471" s="337"/>
    </row>
    <row r="472" spans="24:25" x14ac:dyDescent="0.3">
      <c r="X472" s="337"/>
      <c r="Y472" s="337"/>
    </row>
    <row r="473" spans="24:25" x14ac:dyDescent="0.3">
      <c r="X473" s="337"/>
      <c r="Y473" s="337"/>
    </row>
    <row r="474" spans="24:25" x14ac:dyDescent="0.3">
      <c r="X474" s="337"/>
      <c r="Y474" s="337"/>
    </row>
    <row r="475" spans="24:25" x14ac:dyDescent="0.3">
      <c r="X475" s="337"/>
      <c r="Y475" s="337"/>
    </row>
    <row r="476" spans="24:25" x14ac:dyDescent="0.3">
      <c r="X476" s="337"/>
      <c r="Y476" s="337"/>
    </row>
    <row r="477" spans="24:25" x14ac:dyDescent="0.3">
      <c r="X477" s="337"/>
      <c r="Y477" s="337"/>
    </row>
    <row r="478" spans="24:25" x14ac:dyDescent="0.3">
      <c r="X478" s="337"/>
      <c r="Y478" s="337"/>
    </row>
    <row r="479" spans="24:25" x14ac:dyDescent="0.3">
      <c r="X479" s="337"/>
      <c r="Y479" s="337"/>
    </row>
    <row r="480" spans="24:25" x14ac:dyDescent="0.3">
      <c r="X480" s="337"/>
      <c r="Y480" s="337"/>
    </row>
    <row r="481" spans="24:25" x14ac:dyDescent="0.3">
      <c r="X481" s="337"/>
      <c r="Y481" s="337"/>
    </row>
    <row r="482" spans="24:25" x14ac:dyDescent="0.3">
      <c r="X482" s="338"/>
      <c r="Y482" s="338"/>
    </row>
  </sheetData>
  <autoFilter ref="A6:X678" xr:uid="{5A72C903-809D-4CE3-8393-CA6ABAC003F6}"/>
  <mergeCells count="24">
    <mergeCell ref="Z4:AE4"/>
    <mergeCell ref="AC5:AE5"/>
    <mergeCell ref="Z5:AB5"/>
    <mergeCell ref="H4:I5"/>
    <mergeCell ref="P5:P6"/>
    <mergeCell ref="Q5:Q6"/>
    <mergeCell ref="O5:O6"/>
    <mergeCell ref="N5:N6"/>
    <mergeCell ref="J4:Q4"/>
    <mergeCell ref="J5:K5"/>
    <mergeCell ref="L5:M5"/>
    <mergeCell ref="Y4:Y6"/>
    <mergeCell ref="T5:U5"/>
    <mergeCell ref="R5:S5"/>
    <mergeCell ref="V5:W5"/>
    <mergeCell ref="R4:W4"/>
    <mergeCell ref="X4:X6"/>
    <mergeCell ref="A4:A6"/>
    <mergeCell ref="B4:B6"/>
    <mergeCell ref="C4:C6"/>
    <mergeCell ref="G4:G6"/>
    <mergeCell ref="F4:F6"/>
    <mergeCell ref="E4:E6"/>
    <mergeCell ref="D4:D6"/>
  </mergeCells>
  <conditionalFormatting sqref="N7:P1048576">
    <cfRule type="cellIs" dxfId="59" priority="3" operator="greaterThan">
      <formula>1</formula>
    </cfRule>
  </conditionalFormatting>
  <conditionalFormatting sqref="B1:B1048576">
    <cfRule type="cellIs" dxfId="58" priority="1" operator="equal">
      <formula>"Not Found"</formula>
    </cfRule>
    <cfRule type="cellIs" dxfId="57" priority="2" operator="equal">
      <formula>"Fail"</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5" operator="greaterThan" id="{2F1B0CF3-57F3-4CD6-98E0-2F1234299FFB}">
            <xm:f>Settings!$B$8</xm:f>
            <x14:dxf>
              <font>
                <color rgb="FF9C0006"/>
              </font>
            </x14:dxf>
          </x14:cfRule>
          <xm:sqref>K7:K1048576 M7:M1048576</xm:sqref>
        </x14:conditionalFormatting>
        <x14:conditionalFormatting xmlns:xm="http://schemas.microsoft.com/office/excel/2006/main">
          <x14:cfRule type="cellIs" priority="4" operator="greaterThan" id="{3D408FF4-4C6B-4871-B756-C37CABC52EF3}">
            <xm:f>Settings!$B$7</xm:f>
            <x14:dxf>
              <font>
                <color rgb="FF9C0006"/>
              </font>
            </x14:dxf>
          </x14:cfRule>
          <xm:sqref>J7:J1048576 L7:L1048576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50A2-09F4-482C-8F69-A3B18EC43925}">
  <sheetPr codeName="PileMenu">
    <tabColor rgb="FF687E67"/>
  </sheetPr>
  <dimension ref="A1:Q206"/>
  <sheetViews>
    <sheetView workbookViewId="0">
      <selection activeCell="B12" sqref="B12"/>
    </sheetView>
  </sheetViews>
  <sheetFormatPr defaultColWidth="9.109375" defaultRowHeight="13.5" customHeight="1" x14ac:dyDescent="0.3"/>
  <cols>
    <col min="1" max="1" width="28.44140625" style="386" customWidth="1"/>
    <col min="2" max="17" width="15.6640625" style="373" customWidth="1"/>
    <col min="18" max="18" width="16.77734375" style="373" customWidth="1"/>
    <col min="19" max="16384" width="9.109375" style="373"/>
  </cols>
  <sheetData>
    <row r="1" spans="1:17" s="150" customFormat="1" ht="13.5" customHeight="1" x14ac:dyDescent="0.3">
      <c r="A1" s="353" t="s">
        <v>1184</v>
      </c>
    </row>
    <row r="2" spans="1:17" ht="13.5" customHeight="1" x14ac:dyDescent="0.3">
      <c r="A2" s="354" t="s">
        <v>1183</v>
      </c>
    </row>
    <row r="4" spans="1:17" ht="13.5" customHeight="1" x14ac:dyDescent="0.3">
      <c r="A4" s="438" t="s">
        <v>1039</v>
      </c>
      <c r="B4" s="424" t="s">
        <v>664</v>
      </c>
      <c r="C4" s="424" t="s">
        <v>1175</v>
      </c>
      <c r="D4" s="424" t="s">
        <v>1021</v>
      </c>
      <c r="E4" s="424" t="s">
        <v>1174</v>
      </c>
      <c r="F4" s="396" t="s">
        <v>1188</v>
      </c>
      <c r="G4" s="396"/>
      <c r="H4" s="396" t="s">
        <v>1189</v>
      </c>
      <c r="I4" s="396"/>
      <c r="J4" s="409" t="s">
        <v>981</v>
      </c>
      <c r="K4" s="411"/>
      <c r="L4" s="414" t="s">
        <v>1422</v>
      </c>
      <c r="M4" s="410"/>
      <c r="N4" s="410"/>
      <c r="O4" s="410"/>
      <c r="P4" s="410"/>
      <c r="Q4" s="415"/>
    </row>
    <row r="5" spans="1:17" ht="13.5" customHeight="1" x14ac:dyDescent="0.3">
      <c r="A5" s="438"/>
      <c r="B5" s="448"/>
      <c r="C5" s="448"/>
      <c r="D5" s="448"/>
      <c r="E5" s="448"/>
      <c r="F5" s="152" t="s">
        <v>1185</v>
      </c>
      <c r="G5" s="152" t="s">
        <v>1186</v>
      </c>
      <c r="H5" s="396"/>
      <c r="I5" s="396"/>
      <c r="J5" s="449"/>
      <c r="K5" s="450"/>
      <c r="L5" s="414" t="s">
        <v>659</v>
      </c>
      <c r="M5" s="410"/>
      <c r="N5" s="415"/>
      <c r="O5" s="414" t="s">
        <v>658</v>
      </c>
      <c r="P5" s="410"/>
      <c r="Q5" s="415"/>
    </row>
    <row r="6" spans="1:17" ht="25.2" customHeight="1" x14ac:dyDescent="0.3">
      <c r="A6" s="438"/>
      <c r="B6" s="425"/>
      <c r="C6" s="425"/>
      <c r="D6" s="425"/>
      <c r="E6" s="425"/>
      <c r="F6" s="372" t="s">
        <v>1187</v>
      </c>
      <c r="G6" s="372" t="s">
        <v>1187</v>
      </c>
      <c r="H6" s="85" t="s">
        <v>671</v>
      </c>
      <c r="I6" s="85" t="s">
        <v>669</v>
      </c>
      <c r="J6" s="85" t="s">
        <v>1173</v>
      </c>
      <c r="K6" s="85" t="s">
        <v>1003</v>
      </c>
      <c r="L6" s="128" t="s">
        <v>1426</v>
      </c>
      <c r="M6" s="128" t="s">
        <v>1427</v>
      </c>
      <c r="N6" s="128" t="s">
        <v>1428</v>
      </c>
      <c r="O6" s="128" t="s">
        <v>1426</v>
      </c>
      <c r="P6" s="128" t="s">
        <v>1427</v>
      </c>
      <c r="Q6" s="128" t="s">
        <v>1428</v>
      </c>
    </row>
    <row r="7" spans="1:17" ht="13.5" customHeight="1" x14ac:dyDescent="0.3">
      <c r="A7" s="383" t="s">
        <v>1235</v>
      </c>
      <c r="B7" s="374" t="s">
        <v>684</v>
      </c>
      <c r="C7" s="374">
        <v>0</v>
      </c>
      <c r="D7" s="374">
        <v>5.125</v>
      </c>
      <c r="E7" s="374">
        <v>12</v>
      </c>
      <c r="F7" s="374">
        <v>0.11650000000000001</v>
      </c>
      <c r="G7" s="374">
        <v>0.59699999999999998</v>
      </c>
      <c r="H7" s="380">
        <v>0.12</v>
      </c>
      <c r="I7" s="380">
        <v>0.5222</v>
      </c>
      <c r="J7" s="376" t="s">
        <v>967</v>
      </c>
      <c r="K7" s="376" t="s">
        <v>970</v>
      </c>
      <c r="L7" s="376">
        <v>112446.31717289719</v>
      </c>
      <c r="M7" s="376">
        <v>-2117.8890186915892</v>
      </c>
      <c r="N7" s="376">
        <v>126072</v>
      </c>
      <c r="O7" s="376">
        <v>13145.356308411216</v>
      </c>
      <c r="P7" s="376">
        <v>-1545.8329439252336</v>
      </c>
      <c r="Q7" s="375">
        <v>33785</v>
      </c>
    </row>
    <row r="8" spans="1:17" ht="13.5" customHeight="1" x14ac:dyDescent="0.3">
      <c r="A8" s="384" t="s">
        <v>1236</v>
      </c>
      <c r="B8" s="376" t="s">
        <v>684</v>
      </c>
      <c r="C8" s="376">
        <v>0</v>
      </c>
      <c r="D8" s="376">
        <v>5.125</v>
      </c>
      <c r="E8" s="376">
        <v>12</v>
      </c>
      <c r="F8" s="376">
        <v>0.2107</v>
      </c>
      <c r="G8" s="376">
        <v>0.96</v>
      </c>
      <c r="H8" s="381">
        <v>0.1038</v>
      </c>
      <c r="I8" s="381">
        <v>0.63849999999999996</v>
      </c>
      <c r="J8" s="376" t="s">
        <v>967</v>
      </c>
      <c r="K8" s="376" t="s">
        <v>970</v>
      </c>
      <c r="L8" s="376">
        <v>169934.03738317758</v>
      </c>
      <c r="M8" s="376">
        <v>-2119.3469626168226</v>
      </c>
      <c r="N8" s="376">
        <v>181084</v>
      </c>
      <c r="O8" s="376">
        <v>10360.308995327103</v>
      </c>
      <c r="P8" s="376">
        <v>-1348.410046728972</v>
      </c>
      <c r="Q8" s="377">
        <v>29872</v>
      </c>
    </row>
    <row r="9" spans="1:17" ht="13.5" customHeight="1" x14ac:dyDescent="0.3">
      <c r="A9" s="384" t="s">
        <v>1237</v>
      </c>
      <c r="B9" s="376" t="s">
        <v>684</v>
      </c>
      <c r="C9" s="376">
        <v>0</v>
      </c>
      <c r="D9" s="376">
        <v>5.125</v>
      </c>
      <c r="E9" s="376">
        <v>12</v>
      </c>
      <c r="F9" s="376">
        <v>7.5399999999999995E-2</v>
      </c>
      <c r="G9" s="376">
        <v>0.42320000000000002</v>
      </c>
      <c r="H9" s="381">
        <v>0.1153</v>
      </c>
      <c r="I9" s="381">
        <v>0.4249</v>
      </c>
      <c r="J9" s="376" t="s">
        <v>967</v>
      </c>
      <c r="K9" s="376" t="s">
        <v>970</v>
      </c>
      <c r="L9" s="376">
        <v>81785.158294392517</v>
      </c>
      <c r="M9" s="376">
        <v>-2055.9970794392525</v>
      </c>
      <c r="N9" s="376">
        <v>96698</v>
      </c>
      <c r="O9" s="376">
        <v>10350.520443925234</v>
      </c>
      <c r="P9" s="376">
        <v>-1347.410046728972</v>
      </c>
      <c r="Q9" s="377">
        <v>29863</v>
      </c>
    </row>
    <row r="10" spans="1:17" ht="13.5" customHeight="1" x14ac:dyDescent="0.3">
      <c r="A10" s="384" t="s">
        <v>1238</v>
      </c>
      <c r="B10" s="376" t="s">
        <v>684</v>
      </c>
      <c r="C10" s="376">
        <v>0</v>
      </c>
      <c r="D10" s="376">
        <v>5.625</v>
      </c>
      <c r="E10" s="376">
        <v>12</v>
      </c>
      <c r="F10" s="376">
        <v>0.12640000000000001</v>
      </c>
      <c r="G10" s="376">
        <v>0.7097</v>
      </c>
      <c r="H10" s="381">
        <v>0.1197</v>
      </c>
      <c r="I10" s="381">
        <v>0.57079999999999997</v>
      </c>
      <c r="J10" s="376" t="s">
        <v>967</v>
      </c>
      <c r="K10" s="376" t="s">
        <v>970</v>
      </c>
      <c r="L10" s="376">
        <v>130593.08564946115</v>
      </c>
      <c r="M10" s="376">
        <v>-1230.7226318774817</v>
      </c>
      <c r="N10" s="376">
        <v>135095</v>
      </c>
      <c r="O10" s="376">
        <v>25028.070901871808</v>
      </c>
      <c r="P10" s="376">
        <v>-1509.3199092456041</v>
      </c>
      <c r="Q10" s="377">
        <v>36625</v>
      </c>
    </row>
    <row r="11" spans="1:17" ht="13.5" customHeight="1" x14ac:dyDescent="0.3">
      <c r="A11" s="384" t="s">
        <v>1239</v>
      </c>
      <c r="B11" s="376" t="s">
        <v>684</v>
      </c>
      <c r="C11" s="376">
        <v>0</v>
      </c>
      <c r="D11" s="376">
        <v>5.625</v>
      </c>
      <c r="E11" s="376">
        <v>12</v>
      </c>
      <c r="F11" s="376">
        <v>0.24490000000000001</v>
      </c>
      <c r="G11" s="376">
        <v>1.2004999999999999</v>
      </c>
      <c r="H11" s="381">
        <v>0.1055</v>
      </c>
      <c r="I11" s="381">
        <v>0.73899999999999999</v>
      </c>
      <c r="J11" s="376" t="s">
        <v>967</v>
      </c>
      <c r="K11" s="376" t="s">
        <v>970</v>
      </c>
      <c r="L11" s="376">
        <v>199960.64208735109</v>
      </c>
      <c r="M11" s="376">
        <v>-991.30031253545087</v>
      </c>
      <c r="N11" s="376">
        <v>202363</v>
      </c>
      <c r="O11" s="376">
        <v>21037.755530345999</v>
      </c>
      <c r="P11" s="376">
        <v>-1442.0879183210436</v>
      </c>
      <c r="Q11" s="377">
        <v>32426</v>
      </c>
    </row>
    <row r="12" spans="1:17" ht="13.5" customHeight="1" x14ac:dyDescent="0.3">
      <c r="A12" s="384" t="s">
        <v>1240</v>
      </c>
      <c r="B12" s="376" t="s">
        <v>684</v>
      </c>
      <c r="C12" s="376">
        <v>0</v>
      </c>
      <c r="D12" s="376">
        <v>5.625</v>
      </c>
      <c r="E12" s="376">
        <v>12</v>
      </c>
      <c r="F12" s="376">
        <v>8.3500000000000005E-2</v>
      </c>
      <c r="G12" s="376">
        <v>0.51359999999999995</v>
      </c>
      <c r="H12" s="381">
        <v>0.1154</v>
      </c>
      <c r="I12" s="381">
        <v>0.46110000000000001</v>
      </c>
      <c r="J12" s="376" t="s">
        <v>967</v>
      </c>
      <c r="K12" s="376" t="s">
        <v>970</v>
      </c>
      <c r="L12" s="376">
        <v>99471.782189449805</v>
      </c>
      <c r="M12" s="376">
        <v>-1293.5791264889392</v>
      </c>
      <c r="N12" s="376">
        <v>105089</v>
      </c>
      <c r="O12" s="376">
        <v>21024.330119115144</v>
      </c>
      <c r="P12" s="376">
        <v>-1442.0879183210436</v>
      </c>
      <c r="Q12" s="377">
        <v>32417</v>
      </c>
    </row>
    <row r="13" spans="1:17" ht="13.5" customHeight="1" x14ac:dyDescent="0.3">
      <c r="A13" s="384" t="s">
        <v>1241</v>
      </c>
      <c r="B13" s="376" t="s">
        <v>684</v>
      </c>
      <c r="C13" s="376">
        <v>0</v>
      </c>
      <c r="D13" s="376">
        <v>6.125</v>
      </c>
      <c r="E13" s="376">
        <v>12</v>
      </c>
      <c r="F13" s="376">
        <v>0.13800000000000001</v>
      </c>
      <c r="G13" s="376">
        <v>0.83919999999999995</v>
      </c>
      <c r="H13" s="381">
        <v>0.1187</v>
      </c>
      <c r="I13" s="381">
        <v>0.68140000000000001</v>
      </c>
      <c r="J13" s="376" t="s">
        <v>967</v>
      </c>
      <c r="K13" s="376" t="s">
        <v>970</v>
      </c>
      <c r="L13" s="376">
        <v>144234.04136789852</v>
      </c>
      <c r="M13" s="376">
        <v>-253.98062603419777</v>
      </c>
      <c r="N13" s="376">
        <v>144448</v>
      </c>
      <c r="O13" s="376">
        <v>35412.717595146169</v>
      </c>
      <c r="P13" s="376">
        <v>-971.79247104247122</v>
      </c>
      <c r="Q13" s="377">
        <v>39635</v>
      </c>
    </row>
    <row r="14" spans="1:17" ht="13.5" customHeight="1" x14ac:dyDescent="0.3">
      <c r="A14" s="384" t="s">
        <v>1242</v>
      </c>
      <c r="B14" s="376" t="s">
        <v>684</v>
      </c>
      <c r="C14" s="376">
        <v>0</v>
      </c>
      <c r="D14" s="376">
        <v>6.125</v>
      </c>
      <c r="E14" s="376">
        <v>12</v>
      </c>
      <c r="F14" s="376">
        <v>0.2787</v>
      </c>
      <c r="G14" s="376">
        <v>1.4574</v>
      </c>
      <c r="H14" s="381">
        <v>0.1062</v>
      </c>
      <c r="I14" s="381">
        <v>0.86729999999999996</v>
      </c>
      <c r="J14" s="376" t="s">
        <v>967</v>
      </c>
      <c r="K14" s="376" t="s">
        <v>970</v>
      </c>
      <c r="L14" s="376">
        <v>221372.94594594598</v>
      </c>
      <c r="M14" s="376">
        <v>275.66756867071109</v>
      </c>
      <c r="N14" s="376">
        <v>221677</v>
      </c>
      <c r="O14" s="376">
        <v>30813.039161610588</v>
      </c>
      <c r="P14" s="376">
        <v>-946.79453943739679</v>
      </c>
      <c r="Q14" s="377">
        <v>35089</v>
      </c>
    </row>
    <row r="15" spans="1:17" ht="13.5" customHeight="1" x14ac:dyDescent="0.3">
      <c r="A15" s="384" t="s">
        <v>1243</v>
      </c>
      <c r="B15" s="376" t="s">
        <v>684</v>
      </c>
      <c r="C15" s="376">
        <v>0</v>
      </c>
      <c r="D15" s="376">
        <v>6.125</v>
      </c>
      <c r="E15" s="376">
        <v>12</v>
      </c>
      <c r="F15" s="376">
        <v>9.1300000000000006E-2</v>
      </c>
      <c r="G15" s="376">
        <v>0.60719999999999996</v>
      </c>
      <c r="H15" s="381">
        <v>0.1154</v>
      </c>
      <c r="I15" s="381">
        <v>0.55700000000000005</v>
      </c>
      <c r="J15" s="376" t="s">
        <v>967</v>
      </c>
      <c r="K15" s="376" t="s">
        <v>970</v>
      </c>
      <c r="L15" s="376">
        <v>111510.11196911195</v>
      </c>
      <c r="M15" s="376">
        <v>-421.97384721456177</v>
      </c>
      <c r="N15" s="376">
        <v>112154</v>
      </c>
      <c r="O15" s="376">
        <v>30803.039161610588</v>
      </c>
      <c r="P15" s="376">
        <v>-947.06894649751803</v>
      </c>
      <c r="Q15" s="377">
        <v>35081</v>
      </c>
    </row>
    <row r="16" spans="1:17" ht="13.5" customHeight="1" x14ac:dyDescent="0.3">
      <c r="A16" s="384" t="s">
        <v>1244</v>
      </c>
      <c r="B16" s="376" t="s">
        <v>684</v>
      </c>
      <c r="C16" s="376">
        <v>0</v>
      </c>
      <c r="D16" s="376">
        <v>6.625</v>
      </c>
      <c r="E16" s="376">
        <v>12</v>
      </c>
      <c r="F16" s="376">
        <v>0.15629999999999999</v>
      </c>
      <c r="G16" s="376">
        <v>1.0122</v>
      </c>
      <c r="H16" s="381">
        <v>0.1188</v>
      </c>
      <c r="I16" s="381">
        <v>0.76160000000000005</v>
      </c>
      <c r="J16" s="376" t="s">
        <v>967</v>
      </c>
      <c r="K16" s="376" t="s">
        <v>970</v>
      </c>
      <c r="L16" s="376">
        <v>155368.58163265308</v>
      </c>
      <c r="M16" s="376">
        <v>811.48221734693823</v>
      </c>
      <c r="N16" s="376">
        <v>157351</v>
      </c>
      <c r="O16" s="376">
        <v>42442.693877551021</v>
      </c>
      <c r="P16" s="376">
        <v>-272.27444897959219</v>
      </c>
      <c r="Q16" s="377">
        <v>42779</v>
      </c>
    </row>
    <row r="17" spans="1:17" ht="13.5" customHeight="1" x14ac:dyDescent="0.3">
      <c r="A17" s="384" t="s">
        <v>1245</v>
      </c>
      <c r="B17" s="376" t="s">
        <v>686</v>
      </c>
      <c r="C17" s="376">
        <v>0</v>
      </c>
      <c r="D17" s="376">
        <v>6.625</v>
      </c>
      <c r="E17" s="376">
        <v>12</v>
      </c>
      <c r="F17" s="376">
        <v>0.24299999999999999</v>
      </c>
      <c r="G17" s="376">
        <v>1.3179000000000001</v>
      </c>
      <c r="H17" s="381">
        <v>0.10489999999999999</v>
      </c>
      <c r="I17" s="381">
        <v>0.62229999999999996</v>
      </c>
      <c r="J17" s="376" t="s">
        <v>967</v>
      </c>
      <c r="K17" s="376" t="s">
        <v>970</v>
      </c>
      <c r="L17" s="376">
        <v>234890.69387755104</v>
      </c>
      <c r="M17" s="376">
        <v>1686.7755102040812</v>
      </c>
      <c r="N17" s="376">
        <v>242214</v>
      </c>
      <c r="O17" s="376">
        <v>37390.469387755096</v>
      </c>
      <c r="P17" s="376">
        <v>-252.57289795918396</v>
      </c>
      <c r="Q17" s="377">
        <v>37718</v>
      </c>
    </row>
    <row r="18" spans="1:17" ht="13.5" customHeight="1" x14ac:dyDescent="0.3">
      <c r="A18" s="384" t="s">
        <v>1246</v>
      </c>
      <c r="B18" s="376" t="s">
        <v>684</v>
      </c>
      <c r="C18" s="376">
        <v>0</v>
      </c>
      <c r="D18" s="376">
        <v>6.625</v>
      </c>
      <c r="E18" s="376">
        <v>12</v>
      </c>
      <c r="F18" s="376">
        <v>0.10340000000000001</v>
      </c>
      <c r="G18" s="376">
        <v>0.72929999999999995</v>
      </c>
      <c r="H18" s="381">
        <v>0.1158</v>
      </c>
      <c r="I18" s="381">
        <v>0.62839999999999996</v>
      </c>
      <c r="J18" s="376" t="s">
        <v>967</v>
      </c>
      <c r="K18" s="376" t="s">
        <v>970</v>
      </c>
      <c r="L18" s="376">
        <v>120440.18367346939</v>
      </c>
      <c r="M18" s="376">
        <v>529.40207857142809</v>
      </c>
      <c r="N18" s="376">
        <v>121439</v>
      </c>
      <c r="O18" s="376">
        <v>37460.061224489793</v>
      </c>
      <c r="P18" s="376">
        <v>-286.51406122449009</v>
      </c>
      <c r="Q18" s="377">
        <v>37862</v>
      </c>
    </row>
    <row r="19" spans="1:17" ht="13.5" customHeight="1" x14ac:dyDescent="0.3">
      <c r="A19" s="384" t="s">
        <v>1247</v>
      </c>
      <c r="B19" s="376" t="s">
        <v>684</v>
      </c>
      <c r="C19" s="376">
        <v>0</v>
      </c>
      <c r="D19" s="376">
        <v>7.125</v>
      </c>
      <c r="E19" s="376">
        <v>12</v>
      </c>
      <c r="F19" s="376">
        <v>0.18240000000000001</v>
      </c>
      <c r="G19" s="376">
        <v>1.2358</v>
      </c>
      <c r="H19" s="381">
        <v>0.1188</v>
      </c>
      <c r="I19" s="381">
        <v>0.79730000000000001</v>
      </c>
      <c r="J19" s="376" t="s">
        <v>967</v>
      </c>
      <c r="K19" s="376" t="s">
        <v>970</v>
      </c>
      <c r="L19" s="376">
        <v>162147.34448510193</v>
      </c>
      <c r="M19" s="376">
        <v>1805.276529012023</v>
      </c>
      <c r="N19" s="376">
        <v>173394</v>
      </c>
      <c r="O19" s="376">
        <v>44830.228959749082</v>
      </c>
      <c r="P19" s="376">
        <v>425.5105372713017</v>
      </c>
      <c r="Q19" s="377">
        <v>46054</v>
      </c>
    </row>
    <row r="20" spans="1:17" ht="13.5" customHeight="1" x14ac:dyDescent="0.3">
      <c r="A20" s="384" t="s">
        <v>1248</v>
      </c>
      <c r="B20" s="376" t="s">
        <v>686</v>
      </c>
      <c r="C20" s="376">
        <v>0</v>
      </c>
      <c r="D20" s="376">
        <v>7.125</v>
      </c>
      <c r="E20" s="376">
        <v>12</v>
      </c>
      <c r="F20" s="376">
        <v>0.2762</v>
      </c>
      <c r="G20" s="376">
        <v>1.5717000000000001</v>
      </c>
      <c r="H20" s="381">
        <v>0.1066</v>
      </c>
      <c r="I20" s="381">
        <v>0.65639999999999998</v>
      </c>
      <c r="J20" s="376" t="s">
        <v>967</v>
      </c>
      <c r="K20" s="376" t="s">
        <v>970</v>
      </c>
      <c r="L20" s="376">
        <v>239858.26032409826</v>
      </c>
      <c r="M20" s="376">
        <v>2837.4093047569263</v>
      </c>
      <c r="N20" s="376">
        <v>262935</v>
      </c>
      <c r="O20" s="376">
        <v>39512.34187140617</v>
      </c>
      <c r="P20" s="376">
        <v>377.41847433350767</v>
      </c>
      <c r="Q20" s="377">
        <v>40581</v>
      </c>
    </row>
    <row r="21" spans="1:17" ht="13.5" customHeight="1" x14ac:dyDescent="0.3">
      <c r="A21" s="384" t="s">
        <v>1249</v>
      </c>
      <c r="B21" s="376" t="s">
        <v>684</v>
      </c>
      <c r="C21" s="376">
        <v>0</v>
      </c>
      <c r="D21" s="376">
        <v>7.125</v>
      </c>
      <c r="E21" s="376">
        <v>12</v>
      </c>
      <c r="F21" s="376">
        <v>0.1179</v>
      </c>
      <c r="G21" s="376">
        <v>0.87280000000000002</v>
      </c>
      <c r="H21" s="381">
        <v>0.11550000000000001</v>
      </c>
      <c r="I21" s="381">
        <v>0.6532</v>
      </c>
      <c r="J21" s="376" t="s">
        <v>967</v>
      </c>
      <c r="K21" s="376" t="s">
        <v>970</v>
      </c>
      <c r="L21" s="376">
        <v>123718.91061160481</v>
      </c>
      <c r="M21" s="376">
        <v>1414.3784631468895</v>
      </c>
      <c r="N21" s="376">
        <v>131587</v>
      </c>
      <c r="O21" s="376">
        <v>39709.852064819657</v>
      </c>
      <c r="P21" s="376">
        <v>375.11521787767907</v>
      </c>
      <c r="Q21" s="377">
        <v>40752</v>
      </c>
    </row>
    <row r="22" spans="1:17" ht="13.5" customHeight="1" x14ac:dyDescent="0.3">
      <c r="A22" s="384"/>
      <c r="B22" s="376"/>
      <c r="C22" s="376"/>
      <c r="D22" s="376"/>
      <c r="E22" s="376"/>
      <c r="F22" s="376"/>
      <c r="G22" s="376"/>
      <c r="H22" s="376"/>
      <c r="I22" s="376"/>
      <c r="J22" s="376"/>
      <c r="K22" s="376"/>
      <c r="L22" s="376"/>
      <c r="M22" s="376"/>
      <c r="N22" s="376"/>
      <c r="O22" s="376"/>
      <c r="P22" s="376"/>
      <c r="Q22" s="377"/>
    </row>
    <row r="23" spans="1:17" ht="13.5" customHeight="1" x14ac:dyDescent="0.3">
      <c r="A23" s="384"/>
      <c r="B23" s="376"/>
      <c r="C23" s="376"/>
      <c r="D23" s="376"/>
      <c r="E23" s="376"/>
      <c r="F23" s="376"/>
      <c r="G23" s="376"/>
      <c r="H23" s="376"/>
      <c r="I23" s="376"/>
      <c r="J23" s="376"/>
      <c r="K23" s="376"/>
      <c r="L23" s="376"/>
      <c r="M23" s="376"/>
      <c r="N23" s="376"/>
      <c r="O23" s="376"/>
      <c r="P23" s="376"/>
      <c r="Q23" s="377"/>
    </row>
    <row r="24" spans="1:17" ht="13.5" customHeight="1" x14ac:dyDescent="0.3">
      <c r="A24" s="384"/>
      <c r="B24" s="376"/>
      <c r="C24" s="376"/>
      <c r="D24" s="376"/>
      <c r="E24" s="376"/>
      <c r="F24" s="376"/>
      <c r="G24" s="376"/>
      <c r="H24" s="376"/>
      <c r="I24" s="376"/>
      <c r="J24" s="376"/>
      <c r="K24" s="376"/>
      <c r="L24" s="376"/>
      <c r="M24" s="376"/>
      <c r="N24" s="376"/>
      <c r="O24" s="376"/>
      <c r="P24" s="376"/>
      <c r="Q24" s="377"/>
    </row>
    <row r="25" spans="1:17" ht="13.5" customHeight="1" x14ac:dyDescent="0.3">
      <c r="A25" s="384"/>
      <c r="B25" s="376"/>
      <c r="C25" s="376"/>
      <c r="D25" s="376"/>
      <c r="E25" s="376"/>
      <c r="F25" s="376"/>
      <c r="G25" s="376"/>
      <c r="H25" s="376"/>
      <c r="I25" s="376"/>
      <c r="J25" s="376"/>
      <c r="K25" s="376"/>
      <c r="L25" s="376"/>
      <c r="M25" s="376"/>
      <c r="N25" s="376"/>
      <c r="O25" s="376"/>
      <c r="P25" s="376"/>
      <c r="Q25" s="377"/>
    </row>
    <row r="26" spans="1:17" ht="13.5" customHeight="1" x14ac:dyDescent="0.3">
      <c r="A26" s="384"/>
      <c r="B26" s="376"/>
      <c r="C26" s="376"/>
      <c r="D26" s="376"/>
      <c r="E26" s="376"/>
      <c r="F26" s="376"/>
      <c r="G26" s="376"/>
      <c r="H26" s="376"/>
      <c r="I26" s="376"/>
      <c r="J26" s="376"/>
      <c r="K26" s="376"/>
      <c r="L26" s="376"/>
      <c r="M26" s="376"/>
      <c r="N26" s="376"/>
      <c r="O26" s="376"/>
      <c r="P26" s="376"/>
      <c r="Q26" s="377"/>
    </row>
    <row r="27" spans="1:17" ht="13.5" customHeight="1" x14ac:dyDescent="0.3">
      <c r="A27" s="384"/>
      <c r="B27" s="376"/>
      <c r="C27" s="376"/>
      <c r="D27" s="376"/>
      <c r="E27" s="376"/>
      <c r="F27" s="376"/>
      <c r="G27" s="376"/>
      <c r="H27" s="376"/>
      <c r="I27" s="376"/>
      <c r="J27" s="376"/>
      <c r="K27" s="376"/>
      <c r="L27" s="376"/>
      <c r="M27" s="376"/>
      <c r="N27" s="376"/>
      <c r="O27" s="376"/>
      <c r="P27" s="376"/>
      <c r="Q27" s="377"/>
    </row>
    <row r="28" spans="1:17" ht="13.5" customHeight="1" x14ac:dyDescent="0.3">
      <c r="A28" s="384"/>
      <c r="B28" s="376"/>
      <c r="C28" s="376"/>
      <c r="D28" s="376"/>
      <c r="E28" s="376"/>
      <c r="F28" s="376"/>
      <c r="G28" s="376"/>
      <c r="H28" s="376"/>
      <c r="I28" s="376"/>
      <c r="J28" s="376"/>
      <c r="K28" s="376"/>
      <c r="L28" s="376"/>
      <c r="M28" s="376"/>
      <c r="N28" s="376"/>
      <c r="O28" s="376"/>
      <c r="P28" s="376"/>
      <c r="Q28" s="377"/>
    </row>
    <row r="29" spans="1:17" ht="13.5" customHeight="1" x14ac:dyDescent="0.3">
      <c r="A29" s="384"/>
      <c r="B29" s="376"/>
      <c r="C29" s="376"/>
      <c r="D29" s="376"/>
      <c r="E29" s="376"/>
      <c r="F29" s="376"/>
      <c r="G29" s="376"/>
      <c r="H29" s="376"/>
      <c r="I29" s="376"/>
      <c r="J29" s="376"/>
      <c r="K29" s="376"/>
      <c r="L29" s="376"/>
      <c r="M29" s="376"/>
      <c r="N29" s="376"/>
      <c r="O29" s="376"/>
      <c r="P29" s="376"/>
      <c r="Q29" s="377"/>
    </row>
    <row r="30" spans="1:17" ht="13.5" customHeight="1" x14ac:dyDescent="0.3">
      <c r="A30" s="384"/>
      <c r="B30" s="376"/>
      <c r="C30" s="376"/>
      <c r="D30" s="376"/>
      <c r="E30" s="376"/>
      <c r="F30" s="376"/>
      <c r="G30" s="376"/>
      <c r="H30" s="376"/>
      <c r="I30" s="376"/>
      <c r="J30" s="376"/>
      <c r="K30" s="376"/>
      <c r="L30" s="376"/>
      <c r="M30" s="376"/>
      <c r="N30" s="376"/>
      <c r="O30" s="376"/>
      <c r="P30" s="376"/>
      <c r="Q30" s="377"/>
    </row>
    <row r="31" spans="1:17" ht="13.5" customHeight="1" x14ac:dyDescent="0.3">
      <c r="A31" s="384"/>
      <c r="B31" s="376"/>
      <c r="C31" s="376"/>
      <c r="D31" s="376"/>
      <c r="E31" s="376"/>
      <c r="F31" s="376"/>
      <c r="G31" s="376"/>
      <c r="H31" s="376"/>
      <c r="I31" s="376"/>
      <c r="J31" s="376"/>
      <c r="K31" s="376"/>
      <c r="L31" s="376"/>
      <c r="M31" s="376"/>
      <c r="N31" s="376"/>
      <c r="O31" s="376"/>
      <c r="P31" s="376"/>
      <c r="Q31" s="377"/>
    </row>
    <row r="32" spans="1:17" ht="13.5" customHeight="1" x14ac:dyDescent="0.3">
      <c r="A32" s="384"/>
      <c r="B32" s="376"/>
      <c r="C32" s="376"/>
      <c r="D32" s="376"/>
      <c r="E32" s="376"/>
      <c r="F32" s="376"/>
      <c r="G32" s="376"/>
      <c r="H32" s="376"/>
      <c r="I32" s="376"/>
      <c r="J32" s="376"/>
      <c r="K32" s="376"/>
      <c r="L32" s="376"/>
      <c r="M32" s="376"/>
      <c r="N32" s="376"/>
      <c r="O32" s="376"/>
      <c r="P32" s="376"/>
      <c r="Q32" s="377"/>
    </row>
    <row r="33" spans="1:17" ht="13.5" customHeight="1" x14ac:dyDescent="0.3">
      <c r="A33" s="384"/>
      <c r="B33" s="376"/>
      <c r="C33" s="376"/>
      <c r="D33" s="376"/>
      <c r="E33" s="376"/>
      <c r="F33" s="376"/>
      <c r="G33" s="376"/>
      <c r="H33" s="376"/>
      <c r="I33" s="376"/>
      <c r="J33" s="376"/>
      <c r="K33" s="376"/>
      <c r="L33" s="376"/>
      <c r="M33" s="376"/>
      <c r="N33" s="376"/>
      <c r="O33" s="376"/>
      <c r="P33" s="376"/>
      <c r="Q33" s="377"/>
    </row>
    <row r="34" spans="1:17" ht="13.5" customHeight="1" x14ac:dyDescent="0.3">
      <c r="A34" s="384"/>
      <c r="B34" s="376"/>
      <c r="C34" s="376"/>
      <c r="D34" s="376"/>
      <c r="E34" s="376"/>
      <c r="F34" s="376"/>
      <c r="G34" s="376"/>
      <c r="H34" s="376"/>
      <c r="I34" s="376"/>
      <c r="J34" s="376"/>
      <c r="K34" s="376"/>
      <c r="L34" s="376"/>
      <c r="M34" s="376"/>
      <c r="N34" s="376"/>
      <c r="O34" s="376"/>
      <c r="P34" s="376"/>
      <c r="Q34" s="377"/>
    </row>
    <row r="35" spans="1:17" ht="13.5" customHeight="1" x14ac:dyDescent="0.3">
      <c r="A35" s="384"/>
      <c r="B35" s="376"/>
      <c r="C35" s="376"/>
      <c r="D35" s="376"/>
      <c r="E35" s="376"/>
      <c r="F35" s="376"/>
      <c r="G35" s="376"/>
      <c r="H35" s="376"/>
      <c r="I35" s="376"/>
      <c r="J35" s="376"/>
      <c r="K35" s="376"/>
      <c r="L35" s="376"/>
      <c r="M35" s="376"/>
      <c r="N35" s="376"/>
      <c r="O35" s="376"/>
      <c r="P35" s="376"/>
      <c r="Q35" s="377"/>
    </row>
    <row r="36" spans="1:17" ht="13.5" customHeight="1" x14ac:dyDescent="0.3">
      <c r="A36" s="384"/>
      <c r="B36" s="376"/>
      <c r="C36" s="376"/>
      <c r="D36" s="376"/>
      <c r="E36" s="376"/>
      <c r="F36" s="376"/>
      <c r="G36" s="376"/>
      <c r="H36" s="376"/>
      <c r="I36" s="376"/>
      <c r="J36" s="376"/>
      <c r="K36" s="376"/>
      <c r="L36" s="376"/>
      <c r="M36" s="376"/>
      <c r="N36" s="376"/>
      <c r="O36" s="376"/>
      <c r="P36" s="376"/>
      <c r="Q36" s="377"/>
    </row>
    <row r="37" spans="1:17" ht="13.5" customHeight="1" x14ac:dyDescent="0.3">
      <c r="A37" s="384"/>
      <c r="B37" s="376"/>
      <c r="C37" s="376"/>
      <c r="D37" s="376"/>
      <c r="E37" s="376"/>
      <c r="F37" s="376"/>
      <c r="G37" s="376"/>
      <c r="H37" s="376"/>
      <c r="I37" s="376"/>
      <c r="J37" s="376"/>
      <c r="K37" s="376"/>
      <c r="L37" s="376"/>
      <c r="M37" s="376"/>
      <c r="N37" s="376"/>
      <c r="O37" s="376"/>
      <c r="P37" s="376"/>
      <c r="Q37" s="377"/>
    </row>
    <row r="38" spans="1:17" ht="13.5" customHeight="1" x14ac:dyDescent="0.3">
      <c r="A38" s="384"/>
      <c r="B38" s="376"/>
      <c r="C38" s="376"/>
      <c r="D38" s="376"/>
      <c r="E38" s="376"/>
      <c r="F38" s="376"/>
      <c r="G38" s="376"/>
      <c r="H38" s="376"/>
      <c r="I38" s="376"/>
      <c r="J38" s="376"/>
      <c r="K38" s="376"/>
      <c r="L38" s="376"/>
      <c r="M38" s="376"/>
      <c r="N38" s="376"/>
      <c r="O38" s="376"/>
      <c r="P38" s="376"/>
      <c r="Q38" s="377"/>
    </row>
    <row r="39" spans="1:17" ht="13.5" customHeight="1" x14ac:dyDescent="0.3">
      <c r="A39" s="384"/>
      <c r="B39" s="376"/>
      <c r="C39" s="376"/>
      <c r="D39" s="376"/>
      <c r="E39" s="376"/>
      <c r="F39" s="376"/>
      <c r="G39" s="376"/>
      <c r="H39" s="376"/>
      <c r="I39" s="376"/>
      <c r="J39" s="376"/>
      <c r="K39" s="376"/>
      <c r="L39" s="376"/>
      <c r="M39" s="376"/>
      <c r="N39" s="376"/>
      <c r="O39" s="376"/>
      <c r="P39" s="376"/>
      <c r="Q39" s="377"/>
    </row>
    <row r="40" spans="1:17" ht="13.5" customHeight="1" x14ac:dyDescent="0.3">
      <c r="A40" s="384"/>
      <c r="B40" s="376"/>
      <c r="C40" s="376"/>
      <c r="D40" s="376"/>
      <c r="E40" s="376"/>
      <c r="F40" s="376"/>
      <c r="G40" s="376"/>
      <c r="H40" s="376"/>
      <c r="I40" s="376"/>
      <c r="J40" s="376"/>
      <c r="K40" s="376"/>
      <c r="L40" s="376"/>
      <c r="M40" s="376"/>
      <c r="N40" s="376"/>
      <c r="O40" s="376"/>
      <c r="P40" s="376"/>
      <c r="Q40" s="377"/>
    </row>
    <row r="41" spans="1:17" ht="13.5" customHeight="1" x14ac:dyDescent="0.3">
      <c r="A41" s="384"/>
      <c r="B41" s="376"/>
      <c r="C41" s="376"/>
      <c r="D41" s="376"/>
      <c r="E41" s="376"/>
      <c r="F41" s="376"/>
      <c r="G41" s="376"/>
      <c r="H41" s="376"/>
      <c r="I41" s="376"/>
      <c r="J41" s="376"/>
      <c r="K41" s="376"/>
      <c r="L41" s="376"/>
      <c r="M41" s="376"/>
      <c r="N41" s="376"/>
      <c r="O41" s="376"/>
      <c r="P41" s="376"/>
      <c r="Q41" s="377"/>
    </row>
    <row r="42" spans="1:17" ht="13.5" customHeight="1" x14ac:dyDescent="0.3">
      <c r="A42" s="384"/>
      <c r="B42" s="376"/>
      <c r="C42" s="376"/>
      <c r="D42" s="376"/>
      <c r="E42" s="376"/>
      <c r="F42" s="376"/>
      <c r="G42" s="376"/>
      <c r="H42" s="376"/>
      <c r="I42" s="376"/>
      <c r="J42" s="376"/>
      <c r="K42" s="376"/>
      <c r="L42" s="376"/>
      <c r="M42" s="376"/>
      <c r="N42" s="376"/>
      <c r="O42" s="376"/>
      <c r="P42" s="376"/>
      <c r="Q42" s="377"/>
    </row>
    <row r="43" spans="1:17" ht="13.5" customHeight="1" x14ac:dyDescent="0.3">
      <c r="A43" s="384"/>
      <c r="B43" s="376"/>
      <c r="C43" s="376"/>
      <c r="D43" s="376"/>
      <c r="E43" s="376"/>
      <c r="F43" s="376"/>
      <c r="G43" s="376"/>
      <c r="H43" s="376"/>
      <c r="I43" s="376"/>
      <c r="J43" s="376"/>
      <c r="K43" s="376"/>
      <c r="L43" s="376"/>
      <c r="M43" s="376"/>
      <c r="N43" s="376"/>
      <c r="O43" s="376"/>
      <c r="P43" s="376"/>
      <c r="Q43" s="377"/>
    </row>
    <row r="44" spans="1:17" ht="13.5" customHeight="1" x14ac:dyDescent="0.3">
      <c r="A44" s="384"/>
      <c r="B44" s="376"/>
      <c r="C44" s="376"/>
      <c r="D44" s="376"/>
      <c r="E44" s="376"/>
      <c r="F44" s="376"/>
      <c r="G44" s="376"/>
      <c r="H44" s="376"/>
      <c r="I44" s="376"/>
      <c r="J44" s="376"/>
      <c r="K44" s="376"/>
      <c r="L44" s="376"/>
      <c r="M44" s="376"/>
      <c r="N44" s="376"/>
      <c r="O44" s="376"/>
      <c r="P44" s="376"/>
      <c r="Q44" s="377"/>
    </row>
    <row r="45" spans="1:17" ht="13.5" customHeight="1" x14ac:dyDescent="0.3">
      <c r="A45" s="384"/>
      <c r="B45" s="376"/>
      <c r="C45" s="376"/>
      <c r="D45" s="376"/>
      <c r="E45" s="376"/>
      <c r="F45" s="376"/>
      <c r="G45" s="376"/>
      <c r="H45" s="376"/>
      <c r="I45" s="376"/>
      <c r="J45" s="376"/>
      <c r="K45" s="376"/>
      <c r="L45" s="376"/>
      <c r="M45" s="376"/>
      <c r="N45" s="376"/>
      <c r="O45" s="376"/>
      <c r="P45" s="376"/>
      <c r="Q45" s="377"/>
    </row>
    <row r="46" spans="1:17" ht="13.5" customHeight="1" x14ac:dyDescent="0.3">
      <c r="A46" s="384"/>
      <c r="B46" s="376"/>
      <c r="C46" s="376"/>
      <c r="D46" s="376"/>
      <c r="E46" s="376"/>
      <c r="F46" s="376"/>
      <c r="G46" s="376"/>
      <c r="H46" s="376"/>
      <c r="I46" s="376"/>
      <c r="J46" s="376"/>
      <c r="K46" s="376"/>
      <c r="L46" s="376"/>
      <c r="M46" s="376"/>
      <c r="N46" s="376"/>
      <c r="O46" s="376"/>
      <c r="P46" s="376"/>
      <c r="Q46" s="377"/>
    </row>
    <row r="47" spans="1:17" ht="13.5" customHeight="1" x14ac:dyDescent="0.3">
      <c r="A47" s="384"/>
      <c r="B47" s="376"/>
      <c r="C47" s="376"/>
      <c r="D47" s="376"/>
      <c r="E47" s="376"/>
      <c r="F47" s="376"/>
      <c r="G47" s="376"/>
      <c r="H47" s="376"/>
      <c r="I47" s="376"/>
      <c r="J47" s="376"/>
      <c r="K47" s="376"/>
      <c r="L47" s="376"/>
      <c r="M47" s="376"/>
      <c r="N47" s="376"/>
      <c r="O47" s="376"/>
      <c r="P47" s="376"/>
      <c r="Q47" s="377"/>
    </row>
    <row r="48" spans="1:17" ht="13.5" customHeight="1" x14ac:dyDescent="0.3">
      <c r="A48" s="384"/>
      <c r="B48" s="376"/>
      <c r="C48" s="376"/>
      <c r="D48" s="376"/>
      <c r="E48" s="376"/>
      <c r="F48" s="376"/>
      <c r="G48" s="376"/>
      <c r="H48" s="376"/>
      <c r="I48" s="376"/>
      <c r="J48" s="376"/>
      <c r="K48" s="376"/>
      <c r="L48" s="376"/>
      <c r="M48" s="376"/>
      <c r="N48" s="376"/>
      <c r="O48" s="376"/>
      <c r="P48" s="376"/>
      <c r="Q48" s="377"/>
    </row>
    <row r="49" spans="1:17" ht="13.5" customHeight="1" x14ac:dyDescent="0.3">
      <c r="A49" s="384"/>
      <c r="B49" s="376"/>
      <c r="C49" s="376"/>
      <c r="D49" s="376"/>
      <c r="E49" s="376"/>
      <c r="F49" s="376"/>
      <c r="G49" s="376"/>
      <c r="H49" s="376"/>
      <c r="I49" s="376"/>
      <c r="J49" s="376"/>
      <c r="K49" s="376"/>
      <c r="L49" s="376"/>
      <c r="M49" s="376"/>
      <c r="N49" s="376"/>
      <c r="O49" s="376"/>
      <c r="P49" s="376"/>
      <c r="Q49" s="377"/>
    </row>
    <row r="50" spans="1:17" ht="13.5" customHeight="1" x14ac:dyDescent="0.3">
      <c r="A50" s="384"/>
      <c r="B50" s="376"/>
      <c r="C50" s="376"/>
      <c r="D50" s="376"/>
      <c r="E50" s="376"/>
      <c r="F50" s="376"/>
      <c r="G50" s="376"/>
      <c r="H50" s="376"/>
      <c r="I50" s="376"/>
      <c r="J50" s="376"/>
      <c r="K50" s="376"/>
      <c r="L50" s="376"/>
      <c r="M50" s="376"/>
      <c r="N50" s="376"/>
      <c r="O50" s="376"/>
      <c r="P50" s="376"/>
      <c r="Q50" s="377"/>
    </row>
    <row r="51" spans="1:17" ht="13.5" customHeight="1" x14ac:dyDescent="0.3">
      <c r="A51" s="384"/>
      <c r="B51" s="376"/>
      <c r="C51" s="376"/>
      <c r="D51" s="376"/>
      <c r="E51" s="376"/>
      <c r="F51" s="376"/>
      <c r="G51" s="376"/>
      <c r="H51" s="376"/>
      <c r="I51" s="376"/>
      <c r="J51" s="376"/>
      <c r="K51" s="376"/>
      <c r="L51" s="376"/>
      <c r="M51" s="376"/>
      <c r="N51" s="376"/>
      <c r="O51" s="376"/>
      <c r="P51" s="376"/>
      <c r="Q51" s="377"/>
    </row>
    <row r="52" spans="1:17" ht="13.5" customHeight="1" x14ac:dyDescent="0.3">
      <c r="A52" s="384"/>
      <c r="B52" s="376"/>
      <c r="C52" s="376"/>
      <c r="D52" s="376"/>
      <c r="E52" s="376"/>
      <c r="F52" s="376"/>
      <c r="G52" s="376"/>
      <c r="H52" s="376"/>
      <c r="I52" s="376"/>
      <c r="J52" s="376"/>
      <c r="K52" s="376"/>
      <c r="L52" s="376"/>
      <c r="M52" s="376"/>
      <c r="N52" s="376"/>
      <c r="O52" s="376"/>
      <c r="P52" s="376"/>
      <c r="Q52" s="377"/>
    </row>
    <row r="53" spans="1:17" ht="13.5" customHeight="1" x14ac:dyDescent="0.3">
      <c r="A53" s="384"/>
      <c r="B53" s="376"/>
      <c r="C53" s="376"/>
      <c r="D53" s="376"/>
      <c r="E53" s="376"/>
      <c r="F53" s="376"/>
      <c r="G53" s="376"/>
      <c r="H53" s="376"/>
      <c r="I53" s="376"/>
      <c r="J53" s="376"/>
      <c r="K53" s="376"/>
      <c r="L53" s="376"/>
      <c r="M53" s="376"/>
      <c r="N53" s="376"/>
      <c r="O53" s="376"/>
      <c r="P53" s="376"/>
      <c r="Q53" s="377"/>
    </row>
    <row r="54" spans="1:17" ht="13.5" customHeight="1" x14ac:dyDescent="0.3">
      <c r="A54" s="384"/>
      <c r="B54" s="376"/>
      <c r="C54" s="376"/>
      <c r="D54" s="376"/>
      <c r="E54" s="376"/>
      <c r="F54" s="376"/>
      <c r="G54" s="376"/>
      <c r="H54" s="376"/>
      <c r="I54" s="376"/>
      <c r="J54" s="376"/>
      <c r="K54" s="376"/>
      <c r="L54" s="376"/>
      <c r="M54" s="376"/>
      <c r="N54" s="376"/>
      <c r="O54" s="376"/>
      <c r="P54" s="376"/>
      <c r="Q54" s="377"/>
    </row>
    <row r="55" spans="1:17" ht="13.5" customHeight="1" x14ac:dyDescent="0.3">
      <c r="A55" s="384"/>
      <c r="B55" s="376"/>
      <c r="C55" s="376"/>
      <c r="D55" s="376"/>
      <c r="E55" s="376"/>
      <c r="F55" s="376"/>
      <c r="G55" s="376"/>
      <c r="H55" s="376"/>
      <c r="I55" s="376"/>
      <c r="J55" s="376"/>
      <c r="K55" s="376"/>
      <c r="L55" s="376"/>
      <c r="M55" s="376"/>
      <c r="N55" s="376"/>
      <c r="O55" s="376"/>
      <c r="P55" s="376"/>
      <c r="Q55" s="377"/>
    </row>
    <row r="56" spans="1:17" ht="13.5" customHeight="1" x14ac:dyDescent="0.3">
      <c r="A56" s="384"/>
      <c r="B56" s="376"/>
      <c r="C56" s="376"/>
      <c r="D56" s="376"/>
      <c r="E56" s="376"/>
      <c r="F56" s="376"/>
      <c r="G56" s="376"/>
      <c r="H56" s="376"/>
      <c r="I56" s="376"/>
      <c r="J56" s="376"/>
      <c r="K56" s="376"/>
      <c r="L56" s="376"/>
      <c r="M56" s="376"/>
      <c r="N56" s="376"/>
      <c r="O56" s="376"/>
      <c r="P56" s="376"/>
      <c r="Q56" s="377"/>
    </row>
    <row r="57" spans="1:17" ht="13.5" customHeight="1" x14ac:dyDescent="0.3">
      <c r="A57" s="384"/>
      <c r="B57" s="376"/>
      <c r="C57" s="376"/>
      <c r="D57" s="376"/>
      <c r="E57" s="376"/>
      <c r="F57" s="376"/>
      <c r="G57" s="376"/>
      <c r="H57" s="376"/>
      <c r="I57" s="376"/>
      <c r="J57" s="376"/>
      <c r="K57" s="376"/>
      <c r="L57" s="376"/>
      <c r="M57" s="376"/>
      <c r="N57" s="376"/>
      <c r="O57" s="376"/>
      <c r="P57" s="376"/>
      <c r="Q57" s="377"/>
    </row>
    <row r="58" spans="1:17" ht="13.5" customHeight="1" x14ac:dyDescent="0.3">
      <c r="A58" s="384"/>
      <c r="B58" s="376"/>
      <c r="C58" s="376"/>
      <c r="D58" s="376"/>
      <c r="E58" s="376"/>
      <c r="F58" s="376"/>
      <c r="G58" s="376"/>
      <c r="H58" s="376"/>
      <c r="I58" s="376"/>
      <c r="J58" s="376"/>
      <c r="K58" s="376"/>
      <c r="L58" s="376"/>
      <c r="M58" s="376"/>
      <c r="N58" s="376"/>
      <c r="O58" s="376"/>
      <c r="P58" s="376"/>
      <c r="Q58" s="377"/>
    </row>
    <row r="59" spans="1:17" ht="13.5" customHeight="1" x14ac:dyDescent="0.3">
      <c r="A59" s="384"/>
      <c r="B59" s="376"/>
      <c r="C59" s="376"/>
      <c r="D59" s="376"/>
      <c r="E59" s="376"/>
      <c r="F59" s="376"/>
      <c r="G59" s="376"/>
      <c r="H59" s="376"/>
      <c r="I59" s="376"/>
      <c r="J59" s="376"/>
      <c r="K59" s="376"/>
      <c r="L59" s="376"/>
      <c r="M59" s="376"/>
      <c r="N59" s="376"/>
      <c r="O59" s="376"/>
      <c r="P59" s="376"/>
      <c r="Q59" s="377"/>
    </row>
    <row r="60" spans="1:17" ht="13.5" customHeight="1" x14ac:dyDescent="0.3">
      <c r="A60" s="384"/>
      <c r="B60" s="376"/>
      <c r="C60" s="376"/>
      <c r="D60" s="376"/>
      <c r="E60" s="376"/>
      <c r="F60" s="376"/>
      <c r="G60" s="376"/>
      <c r="H60" s="376"/>
      <c r="I60" s="376"/>
      <c r="J60" s="376"/>
      <c r="K60" s="376"/>
      <c r="L60" s="376"/>
      <c r="M60" s="376"/>
      <c r="N60" s="376"/>
      <c r="O60" s="376"/>
      <c r="P60" s="376"/>
      <c r="Q60" s="377"/>
    </row>
    <row r="61" spans="1:17" ht="13.5" customHeight="1" x14ac:dyDescent="0.3">
      <c r="A61" s="384"/>
      <c r="B61" s="376"/>
      <c r="C61" s="376"/>
      <c r="D61" s="376"/>
      <c r="E61" s="376"/>
      <c r="F61" s="376"/>
      <c r="G61" s="376"/>
      <c r="H61" s="376"/>
      <c r="I61" s="376"/>
      <c r="J61" s="376"/>
      <c r="K61" s="376"/>
      <c r="L61" s="376"/>
      <c r="M61" s="376"/>
      <c r="N61" s="376"/>
      <c r="O61" s="376"/>
      <c r="P61" s="376"/>
      <c r="Q61" s="377"/>
    </row>
    <row r="62" spans="1:17" ht="13.5" customHeight="1" x14ac:dyDescent="0.3">
      <c r="A62" s="384"/>
      <c r="B62" s="376"/>
      <c r="C62" s="376"/>
      <c r="D62" s="376"/>
      <c r="E62" s="376"/>
      <c r="F62" s="376"/>
      <c r="G62" s="376"/>
      <c r="H62" s="376"/>
      <c r="I62" s="376"/>
      <c r="J62" s="376"/>
      <c r="K62" s="376"/>
      <c r="L62" s="376"/>
      <c r="M62" s="376"/>
      <c r="N62" s="376"/>
      <c r="O62" s="376"/>
      <c r="P62" s="376"/>
      <c r="Q62" s="377"/>
    </row>
    <row r="63" spans="1:17" ht="13.5" customHeight="1" x14ac:dyDescent="0.3">
      <c r="A63" s="384"/>
      <c r="B63" s="376"/>
      <c r="C63" s="376"/>
      <c r="D63" s="376"/>
      <c r="E63" s="376"/>
      <c r="F63" s="376"/>
      <c r="G63" s="376"/>
      <c r="H63" s="376"/>
      <c r="I63" s="376"/>
      <c r="J63" s="376"/>
      <c r="K63" s="376"/>
      <c r="L63" s="376"/>
      <c r="M63" s="376"/>
      <c r="N63" s="376"/>
      <c r="O63" s="376"/>
      <c r="P63" s="376"/>
      <c r="Q63" s="377"/>
    </row>
    <row r="64" spans="1:17" ht="13.5" customHeight="1" x14ac:dyDescent="0.3">
      <c r="A64" s="384"/>
      <c r="B64" s="376"/>
      <c r="C64" s="376"/>
      <c r="D64" s="376"/>
      <c r="E64" s="376"/>
      <c r="F64" s="376"/>
      <c r="G64" s="376"/>
      <c r="H64" s="376"/>
      <c r="I64" s="376"/>
      <c r="J64" s="376"/>
      <c r="K64" s="376"/>
      <c r="L64" s="376"/>
      <c r="M64" s="376"/>
      <c r="N64" s="376"/>
      <c r="O64" s="376"/>
      <c r="P64" s="376"/>
      <c r="Q64" s="377"/>
    </row>
    <row r="65" spans="1:17" ht="13.5" customHeight="1" x14ac:dyDescent="0.3">
      <c r="A65" s="384"/>
      <c r="B65" s="376"/>
      <c r="C65" s="376"/>
      <c r="D65" s="376"/>
      <c r="E65" s="376"/>
      <c r="F65" s="376"/>
      <c r="G65" s="376"/>
      <c r="H65" s="376"/>
      <c r="I65" s="376"/>
      <c r="J65" s="376"/>
      <c r="K65" s="376"/>
      <c r="L65" s="376"/>
      <c r="M65" s="376"/>
      <c r="N65" s="376"/>
      <c r="O65" s="376"/>
      <c r="P65" s="376"/>
      <c r="Q65" s="377"/>
    </row>
    <row r="66" spans="1:17" ht="13.5" customHeight="1" x14ac:dyDescent="0.3">
      <c r="A66" s="384"/>
      <c r="B66" s="376"/>
      <c r="C66" s="376"/>
      <c r="D66" s="376"/>
      <c r="E66" s="376"/>
      <c r="F66" s="376"/>
      <c r="G66" s="376"/>
      <c r="H66" s="376"/>
      <c r="I66" s="376"/>
      <c r="J66" s="376"/>
      <c r="K66" s="376"/>
      <c r="L66" s="376"/>
      <c r="M66" s="376"/>
      <c r="N66" s="376"/>
      <c r="O66" s="376"/>
      <c r="P66" s="376"/>
      <c r="Q66" s="377"/>
    </row>
    <row r="67" spans="1:17" ht="13.5" customHeight="1" x14ac:dyDescent="0.3">
      <c r="A67" s="384"/>
      <c r="B67" s="376"/>
      <c r="C67" s="376"/>
      <c r="D67" s="376"/>
      <c r="E67" s="376"/>
      <c r="F67" s="376"/>
      <c r="G67" s="376"/>
      <c r="H67" s="376"/>
      <c r="I67" s="376"/>
      <c r="J67" s="376"/>
      <c r="K67" s="376"/>
      <c r="L67" s="376"/>
      <c r="M67" s="376"/>
      <c r="N67" s="376"/>
      <c r="O67" s="376"/>
      <c r="P67" s="376"/>
      <c r="Q67" s="377"/>
    </row>
    <row r="68" spans="1:17" ht="13.5" customHeight="1" x14ac:dyDescent="0.3">
      <c r="A68" s="384"/>
      <c r="B68" s="376"/>
      <c r="C68" s="376"/>
      <c r="D68" s="376"/>
      <c r="E68" s="376"/>
      <c r="F68" s="376"/>
      <c r="G68" s="376"/>
      <c r="H68" s="376"/>
      <c r="I68" s="376"/>
      <c r="J68" s="376"/>
      <c r="K68" s="376"/>
      <c r="L68" s="376"/>
      <c r="M68" s="376"/>
      <c r="N68" s="376"/>
      <c r="O68" s="376"/>
      <c r="P68" s="376"/>
      <c r="Q68" s="377"/>
    </row>
    <row r="69" spans="1:17" ht="13.5" customHeight="1" x14ac:dyDescent="0.3">
      <c r="A69" s="384"/>
      <c r="B69" s="376"/>
      <c r="C69" s="376"/>
      <c r="D69" s="376"/>
      <c r="E69" s="376"/>
      <c r="F69" s="376"/>
      <c r="G69" s="376"/>
      <c r="H69" s="376"/>
      <c r="I69" s="376"/>
      <c r="J69" s="376"/>
      <c r="K69" s="376"/>
      <c r="L69" s="376"/>
      <c r="M69" s="376"/>
      <c r="N69" s="376"/>
      <c r="O69" s="376"/>
      <c r="P69" s="376"/>
      <c r="Q69" s="377"/>
    </row>
    <row r="70" spans="1:17" ht="13.5" customHeight="1" x14ac:dyDescent="0.3">
      <c r="A70" s="384"/>
      <c r="B70" s="376"/>
      <c r="C70" s="376"/>
      <c r="D70" s="376"/>
      <c r="E70" s="376"/>
      <c r="F70" s="376"/>
      <c r="G70" s="376"/>
      <c r="H70" s="376"/>
      <c r="I70" s="376"/>
      <c r="J70" s="376"/>
      <c r="K70" s="376"/>
      <c r="L70" s="376"/>
      <c r="M70" s="376"/>
      <c r="N70" s="376"/>
      <c r="O70" s="376"/>
      <c r="P70" s="376"/>
      <c r="Q70" s="377"/>
    </row>
    <row r="71" spans="1:17" ht="13.5" customHeight="1" x14ac:dyDescent="0.3">
      <c r="A71" s="384"/>
      <c r="B71" s="376"/>
      <c r="C71" s="376"/>
      <c r="D71" s="376"/>
      <c r="E71" s="376"/>
      <c r="F71" s="376"/>
      <c r="G71" s="376"/>
      <c r="H71" s="376"/>
      <c r="I71" s="376"/>
      <c r="J71" s="376"/>
      <c r="K71" s="376"/>
      <c r="L71" s="376"/>
      <c r="M71" s="376"/>
      <c r="N71" s="376"/>
      <c r="O71" s="376"/>
      <c r="P71" s="376"/>
      <c r="Q71" s="377"/>
    </row>
    <row r="72" spans="1:17" ht="13.5" customHeight="1" x14ac:dyDescent="0.3">
      <c r="A72" s="384"/>
      <c r="B72" s="376"/>
      <c r="C72" s="376"/>
      <c r="D72" s="376"/>
      <c r="E72" s="376"/>
      <c r="F72" s="376"/>
      <c r="G72" s="376"/>
      <c r="H72" s="376"/>
      <c r="I72" s="376"/>
      <c r="J72" s="376"/>
      <c r="K72" s="376"/>
      <c r="L72" s="376"/>
      <c r="M72" s="376"/>
      <c r="N72" s="376"/>
      <c r="O72" s="376"/>
      <c r="P72" s="376"/>
      <c r="Q72" s="377"/>
    </row>
    <row r="73" spans="1:17" ht="13.5" customHeight="1" x14ac:dyDescent="0.3">
      <c r="A73" s="384"/>
      <c r="B73" s="376"/>
      <c r="C73" s="376"/>
      <c r="D73" s="376"/>
      <c r="E73" s="376"/>
      <c r="F73" s="376"/>
      <c r="G73" s="376"/>
      <c r="H73" s="376"/>
      <c r="I73" s="376"/>
      <c r="J73" s="376"/>
      <c r="K73" s="376"/>
      <c r="L73" s="376"/>
      <c r="M73" s="376"/>
      <c r="N73" s="376"/>
      <c r="O73" s="376"/>
      <c r="P73" s="376"/>
      <c r="Q73" s="377"/>
    </row>
    <row r="74" spans="1:17" ht="13.5" customHeight="1" x14ac:dyDescent="0.3">
      <c r="A74" s="384"/>
      <c r="B74" s="376"/>
      <c r="C74" s="376"/>
      <c r="D74" s="376"/>
      <c r="E74" s="376"/>
      <c r="F74" s="376"/>
      <c r="G74" s="376"/>
      <c r="H74" s="376"/>
      <c r="I74" s="376"/>
      <c r="J74" s="376"/>
      <c r="K74" s="376"/>
      <c r="L74" s="376"/>
      <c r="M74" s="376"/>
      <c r="N74" s="376"/>
      <c r="O74" s="376"/>
      <c r="P74" s="376"/>
      <c r="Q74" s="377"/>
    </row>
    <row r="75" spans="1:17" ht="13.5" customHeight="1" x14ac:dyDescent="0.3">
      <c r="A75" s="384"/>
      <c r="B75" s="376"/>
      <c r="C75" s="376"/>
      <c r="D75" s="376"/>
      <c r="E75" s="376"/>
      <c r="F75" s="376"/>
      <c r="G75" s="376"/>
      <c r="H75" s="376"/>
      <c r="I75" s="376"/>
      <c r="J75" s="376"/>
      <c r="K75" s="376"/>
      <c r="L75" s="376"/>
      <c r="M75" s="376"/>
      <c r="N75" s="376"/>
      <c r="O75" s="376"/>
      <c r="P75" s="376"/>
      <c r="Q75" s="377"/>
    </row>
    <row r="76" spans="1:17" ht="13.5" customHeight="1" x14ac:dyDescent="0.3">
      <c r="A76" s="384"/>
      <c r="B76" s="376"/>
      <c r="C76" s="376"/>
      <c r="D76" s="376"/>
      <c r="E76" s="376"/>
      <c r="F76" s="376"/>
      <c r="G76" s="376"/>
      <c r="H76" s="376"/>
      <c r="I76" s="376"/>
      <c r="J76" s="376"/>
      <c r="K76" s="376"/>
      <c r="L76" s="376"/>
      <c r="M76" s="376"/>
      <c r="N76" s="376"/>
      <c r="O76" s="376"/>
      <c r="P76" s="376"/>
      <c r="Q76" s="377"/>
    </row>
    <row r="77" spans="1:17" ht="13.5" customHeight="1" x14ac:dyDescent="0.3">
      <c r="A77" s="384"/>
      <c r="B77" s="376"/>
      <c r="C77" s="376"/>
      <c r="D77" s="376"/>
      <c r="E77" s="376"/>
      <c r="F77" s="376"/>
      <c r="G77" s="376"/>
      <c r="H77" s="376"/>
      <c r="I77" s="376"/>
      <c r="J77" s="376"/>
      <c r="K77" s="376"/>
      <c r="L77" s="376"/>
      <c r="M77" s="376"/>
      <c r="N77" s="376"/>
      <c r="O77" s="376"/>
      <c r="P77" s="376"/>
      <c r="Q77" s="377"/>
    </row>
    <row r="78" spans="1:17" ht="13.5" customHeight="1" x14ac:dyDescent="0.3">
      <c r="A78" s="384"/>
      <c r="B78" s="376"/>
      <c r="C78" s="376"/>
      <c r="D78" s="376"/>
      <c r="E78" s="376"/>
      <c r="F78" s="376"/>
      <c r="G78" s="376"/>
      <c r="H78" s="376"/>
      <c r="I78" s="376"/>
      <c r="J78" s="376"/>
      <c r="K78" s="376"/>
      <c r="L78" s="376"/>
      <c r="M78" s="376"/>
      <c r="N78" s="376"/>
      <c r="O78" s="376"/>
      <c r="P78" s="376"/>
      <c r="Q78" s="377"/>
    </row>
    <row r="79" spans="1:17" ht="13.5" customHeight="1" x14ac:dyDescent="0.3">
      <c r="A79" s="384"/>
      <c r="B79" s="376"/>
      <c r="C79" s="376"/>
      <c r="D79" s="376"/>
      <c r="E79" s="376"/>
      <c r="F79" s="376"/>
      <c r="G79" s="376"/>
      <c r="H79" s="376"/>
      <c r="I79" s="376"/>
      <c r="J79" s="376"/>
      <c r="K79" s="376"/>
      <c r="L79" s="376"/>
      <c r="M79" s="376"/>
      <c r="N79" s="376"/>
      <c r="O79" s="376"/>
      <c r="P79" s="376"/>
      <c r="Q79" s="377"/>
    </row>
    <row r="80" spans="1:17" ht="13.5" customHeight="1" x14ac:dyDescent="0.3">
      <c r="A80" s="384"/>
      <c r="B80" s="376"/>
      <c r="C80" s="376"/>
      <c r="D80" s="376"/>
      <c r="E80" s="376"/>
      <c r="F80" s="376"/>
      <c r="G80" s="376"/>
      <c r="H80" s="376"/>
      <c r="I80" s="376"/>
      <c r="J80" s="376"/>
      <c r="K80" s="376"/>
      <c r="L80" s="376"/>
      <c r="M80" s="376"/>
      <c r="N80" s="376"/>
      <c r="O80" s="376"/>
      <c r="P80" s="376"/>
      <c r="Q80" s="377"/>
    </row>
    <row r="81" spans="1:17" ht="13.5" customHeight="1" x14ac:dyDescent="0.3">
      <c r="A81" s="384"/>
      <c r="B81" s="376"/>
      <c r="C81" s="376"/>
      <c r="D81" s="376"/>
      <c r="E81" s="376"/>
      <c r="F81" s="376"/>
      <c r="G81" s="376"/>
      <c r="H81" s="376"/>
      <c r="I81" s="376"/>
      <c r="J81" s="376"/>
      <c r="K81" s="376"/>
      <c r="L81" s="376"/>
      <c r="M81" s="376"/>
      <c r="N81" s="376"/>
      <c r="O81" s="376"/>
      <c r="P81" s="376"/>
      <c r="Q81" s="377"/>
    </row>
    <row r="82" spans="1:17" ht="13.5" customHeight="1" x14ac:dyDescent="0.3">
      <c r="A82" s="384"/>
      <c r="B82" s="376"/>
      <c r="C82" s="376"/>
      <c r="D82" s="376"/>
      <c r="E82" s="376"/>
      <c r="F82" s="376"/>
      <c r="G82" s="376"/>
      <c r="H82" s="376"/>
      <c r="I82" s="376"/>
      <c r="J82" s="376"/>
      <c r="K82" s="376"/>
      <c r="L82" s="376"/>
      <c r="M82" s="376"/>
      <c r="N82" s="376"/>
      <c r="O82" s="376"/>
      <c r="P82" s="376"/>
      <c r="Q82" s="377"/>
    </row>
    <row r="83" spans="1:17" ht="13.5" customHeight="1" x14ac:dyDescent="0.3">
      <c r="A83" s="384"/>
      <c r="B83" s="376"/>
      <c r="C83" s="376"/>
      <c r="D83" s="376"/>
      <c r="E83" s="376"/>
      <c r="F83" s="376"/>
      <c r="G83" s="376"/>
      <c r="H83" s="376"/>
      <c r="I83" s="376"/>
      <c r="J83" s="376"/>
      <c r="K83" s="376"/>
      <c r="L83" s="376"/>
      <c r="M83" s="376"/>
      <c r="N83" s="376"/>
      <c r="O83" s="376"/>
      <c r="P83" s="376"/>
      <c r="Q83" s="377"/>
    </row>
    <row r="84" spans="1:17" ht="13.5" customHeight="1" x14ac:dyDescent="0.3">
      <c r="A84" s="384"/>
      <c r="B84" s="376"/>
      <c r="C84" s="376"/>
      <c r="D84" s="376"/>
      <c r="E84" s="376"/>
      <c r="F84" s="376"/>
      <c r="G84" s="376"/>
      <c r="H84" s="376"/>
      <c r="I84" s="376"/>
      <c r="J84" s="376"/>
      <c r="K84" s="376"/>
      <c r="L84" s="376"/>
      <c r="M84" s="376"/>
      <c r="N84" s="376"/>
      <c r="O84" s="376"/>
      <c r="P84" s="376"/>
      <c r="Q84" s="377"/>
    </row>
    <row r="85" spans="1:17" ht="13.5" customHeight="1" x14ac:dyDescent="0.3">
      <c r="A85" s="384"/>
      <c r="B85" s="376"/>
      <c r="C85" s="376"/>
      <c r="D85" s="376"/>
      <c r="E85" s="376"/>
      <c r="F85" s="376"/>
      <c r="G85" s="376"/>
      <c r="H85" s="376"/>
      <c r="I85" s="376"/>
      <c r="J85" s="376"/>
      <c r="K85" s="376"/>
      <c r="L85" s="376"/>
      <c r="M85" s="376"/>
      <c r="N85" s="376"/>
      <c r="O85" s="376"/>
      <c r="P85" s="376"/>
      <c r="Q85" s="377"/>
    </row>
    <row r="86" spans="1:17" ht="13.5" customHeight="1" x14ac:dyDescent="0.3">
      <c r="A86" s="384"/>
      <c r="B86" s="376"/>
      <c r="C86" s="376"/>
      <c r="D86" s="376"/>
      <c r="E86" s="376"/>
      <c r="F86" s="376"/>
      <c r="G86" s="376"/>
      <c r="H86" s="376"/>
      <c r="I86" s="376"/>
      <c r="J86" s="376"/>
      <c r="K86" s="376"/>
      <c r="L86" s="376"/>
      <c r="M86" s="376"/>
      <c r="N86" s="376"/>
      <c r="O86" s="376"/>
      <c r="P86" s="376"/>
      <c r="Q86" s="377"/>
    </row>
    <row r="87" spans="1:17" ht="13.5" customHeight="1" x14ac:dyDescent="0.3">
      <c r="A87" s="384"/>
      <c r="B87" s="376"/>
      <c r="C87" s="376"/>
      <c r="D87" s="376"/>
      <c r="E87" s="376"/>
      <c r="F87" s="376"/>
      <c r="G87" s="376"/>
      <c r="H87" s="376"/>
      <c r="I87" s="376"/>
      <c r="J87" s="376"/>
      <c r="K87" s="376"/>
      <c r="L87" s="376"/>
      <c r="M87" s="376"/>
      <c r="N87" s="376"/>
      <c r="O87" s="376"/>
      <c r="P87" s="376"/>
      <c r="Q87" s="377"/>
    </row>
    <row r="88" spans="1:17" ht="13.5" customHeight="1" x14ac:dyDescent="0.3">
      <c r="A88" s="384"/>
      <c r="B88" s="376"/>
      <c r="C88" s="376"/>
      <c r="D88" s="376"/>
      <c r="E88" s="376"/>
      <c r="F88" s="376"/>
      <c r="G88" s="376"/>
      <c r="H88" s="376"/>
      <c r="I88" s="376"/>
      <c r="J88" s="376"/>
      <c r="K88" s="376"/>
      <c r="L88" s="376"/>
      <c r="M88" s="376"/>
      <c r="N88" s="376"/>
      <c r="O88" s="376"/>
      <c r="P88" s="376"/>
      <c r="Q88" s="377"/>
    </row>
    <row r="89" spans="1:17" ht="13.5" customHeight="1" x14ac:dyDescent="0.3">
      <c r="A89" s="384"/>
      <c r="B89" s="376"/>
      <c r="C89" s="376"/>
      <c r="D89" s="376"/>
      <c r="E89" s="376"/>
      <c r="F89" s="376"/>
      <c r="G89" s="376"/>
      <c r="H89" s="376"/>
      <c r="I89" s="376"/>
      <c r="J89" s="376"/>
      <c r="K89" s="376"/>
      <c r="L89" s="376"/>
      <c r="M89" s="376"/>
      <c r="N89" s="376"/>
      <c r="O89" s="376"/>
      <c r="P89" s="376"/>
      <c r="Q89" s="377"/>
    </row>
    <row r="90" spans="1:17" ht="13.5" customHeight="1" x14ac:dyDescent="0.3">
      <c r="A90" s="384"/>
      <c r="B90" s="376"/>
      <c r="C90" s="376"/>
      <c r="D90" s="376"/>
      <c r="E90" s="376"/>
      <c r="F90" s="376"/>
      <c r="G90" s="376"/>
      <c r="H90" s="376"/>
      <c r="I90" s="376"/>
      <c r="J90" s="376"/>
      <c r="K90" s="376"/>
      <c r="L90" s="376"/>
      <c r="M90" s="376"/>
      <c r="N90" s="376"/>
      <c r="O90" s="376"/>
      <c r="P90" s="376"/>
      <c r="Q90" s="377"/>
    </row>
    <row r="91" spans="1:17" ht="13.5" customHeight="1" x14ac:dyDescent="0.3">
      <c r="A91" s="384"/>
      <c r="B91" s="376"/>
      <c r="C91" s="376"/>
      <c r="D91" s="376"/>
      <c r="E91" s="376"/>
      <c r="F91" s="376"/>
      <c r="G91" s="376"/>
      <c r="H91" s="376"/>
      <c r="I91" s="376"/>
      <c r="J91" s="376"/>
      <c r="K91" s="376"/>
      <c r="L91" s="376"/>
      <c r="M91" s="376"/>
      <c r="N91" s="376"/>
      <c r="O91" s="376"/>
      <c r="P91" s="376"/>
      <c r="Q91" s="377"/>
    </row>
    <row r="92" spans="1:17" ht="13.5" customHeight="1" x14ac:dyDescent="0.3">
      <c r="A92" s="384"/>
      <c r="B92" s="376"/>
      <c r="C92" s="376"/>
      <c r="D92" s="376"/>
      <c r="E92" s="376"/>
      <c r="F92" s="376"/>
      <c r="G92" s="376"/>
      <c r="H92" s="376"/>
      <c r="I92" s="376"/>
      <c r="J92" s="376"/>
      <c r="K92" s="376"/>
      <c r="L92" s="376"/>
      <c r="M92" s="376"/>
      <c r="N92" s="376"/>
      <c r="O92" s="376"/>
      <c r="P92" s="376"/>
      <c r="Q92" s="377"/>
    </row>
    <row r="93" spans="1:17" ht="13.5" customHeight="1" x14ac:dyDescent="0.3">
      <c r="A93" s="384"/>
      <c r="B93" s="376"/>
      <c r="C93" s="376"/>
      <c r="D93" s="376"/>
      <c r="E93" s="376"/>
      <c r="F93" s="376"/>
      <c r="G93" s="376"/>
      <c r="H93" s="376"/>
      <c r="I93" s="376"/>
      <c r="J93" s="376"/>
      <c r="K93" s="376"/>
      <c r="L93" s="376"/>
      <c r="M93" s="376"/>
      <c r="N93" s="376"/>
      <c r="O93" s="376"/>
      <c r="P93" s="376"/>
      <c r="Q93" s="377"/>
    </row>
    <row r="94" spans="1:17" ht="13.5" customHeight="1" x14ac:dyDescent="0.3">
      <c r="A94" s="384"/>
      <c r="B94" s="376"/>
      <c r="C94" s="376"/>
      <c r="D94" s="376"/>
      <c r="E94" s="376"/>
      <c r="F94" s="376"/>
      <c r="G94" s="376"/>
      <c r="H94" s="376"/>
      <c r="I94" s="376"/>
      <c r="J94" s="376"/>
      <c r="K94" s="376"/>
      <c r="L94" s="376"/>
      <c r="M94" s="376"/>
      <c r="N94" s="376"/>
      <c r="O94" s="376"/>
      <c r="P94" s="376"/>
      <c r="Q94" s="377"/>
    </row>
    <row r="95" spans="1:17" ht="13.5" customHeight="1" x14ac:dyDescent="0.3">
      <c r="A95" s="384"/>
      <c r="B95" s="376"/>
      <c r="C95" s="376"/>
      <c r="D95" s="376"/>
      <c r="E95" s="376"/>
      <c r="F95" s="376"/>
      <c r="G95" s="376"/>
      <c r="H95" s="376"/>
      <c r="I95" s="376"/>
      <c r="J95" s="376"/>
      <c r="K95" s="376"/>
      <c r="L95" s="376"/>
      <c r="M95" s="376"/>
      <c r="N95" s="376"/>
      <c r="O95" s="376"/>
      <c r="P95" s="376"/>
      <c r="Q95" s="377"/>
    </row>
    <row r="96" spans="1:17" ht="13.5" customHeight="1" x14ac:dyDescent="0.3">
      <c r="A96" s="384"/>
      <c r="B96" s="376"/>
      <c r="C96" s="376"/>
      <c r="D96" s="376"/>
      <c r="E96" s="376"/>
      <c r="F96" s="376"/>
      <c r="G96" s="376"/>
      <c r="H96" s="376"/>
      <c r="I96" s="376"/>
      <c r="J96" s="376"/>
      <c r="K96" s="376"/>
      <c r="L96" s="376"/>
      <c r="M96" s="376"/>
      <c r="N96" s="376"/>
      <c r="O96" s="376"/>
      <c r="P96" s="376"/>
      <c r="Q96" s="377"/>
    </row>
    <row r="97" spans="1:17" ht="13.5" customHeight="1" x14ac:dyDescent="0.3">
      <c r="A97" s="384"/>
      <c r="B97" s="376"/>
      <c r="C97" s="376"/>
      <c r="D97" s="376"/>
      <c r="E97" s="376"/>
      <c r="F97" s="376"/>
      <c r="G97" s="376"/>
      <c r="H97" s="376"/>
      <c r="I97" s="376"/>
      <c r="J97" s="376"/>
      <c r="K97" s="376"/>
      <c r="L97" s="376"/>
      <c r="M97" s="376"/>
      <c r="N97" s="376"/>
      <c r="O97" s="376"/>
      <c r="P97" s="376"/>
      <c r="Q97" s="377"/>
    </row>
    <row r="98" spans="1:17" ht="13.5" customHeight="1" x14ac:dyDescent="0.3">
      <c r="A98" s="384"/>
      <c r="B98" s="376"/>
      <c r="C98" s="376"/>
      <c r="D98" s="376"/>
      <c r="E98" s="376"/>
      <c r="F98" s="376"/>
      <c r="G98" s="376"/>
      <c r="H98" s="376"/>
      <c r="I98" s="376"/>
      <c r="J98" s="376"/>
      <c r="K98" s="376"/>
      <c r="L98" s="376"/>
      <c r="M98" s="376"/>
      <c r="N98" s="376"/>
      <c r="O98" s="376"/>
      <c r="P98" s="376"/>
      <c r="Q98" s="377"/>
    </row>
    <row r="99" spans="1:17" ht="13.5" customHeight="1" x14ac:dyDescent="0.3">
      <c r="A99" s="384"/>
      <c r="B99" s="376"/>
      <c r="C99" s="376"/>
      <c r="D99" s="376"/>
      <c r="E99" s="376"/>
      <c r="F99" s="376"/>
      <c r="G99" s="376"/>
      <c r="H99" s="376"/>
      <c r="I99" s="376"/>
      <c r="J99" s="376"/>
      <c r="K99" s="376"/>
      <c r="L99" s="376"/>
      <c r="M99" s="376"/>
      <c r="N99" s="376"/>
      <c r="O99" s="376"/>
      <c r="P99" s="376"/>
      <c r="Q99" s="377"/>
    </row>
    <row r="100" spans="1:17" ht="13.5" customHeight="1" x14ac:dyDescent="0.3">
      <c r="A100" s="384"/>
      <c r="B100" s="376"/>
      <c r="C100" s="376"/>
      <c r="D100" s="376"/>
      <c r="E100" s="376"/>
      <c r="F100" s="376"/>
      <c r="G100" s="376"/>
      <c r="H100" s="376"/>
      <c r="I100" s="376"/>
      <c r="J100" s="376"/>
      <c r="K100" s="376"/>
      <c r="L100" s="376"/>
      <c r="M100" s="376"/>
      <c r="N100" s="376"/>
      <c r="O100" s="376"/>
      <c r="P100" s="376"/>
      <c r="Q100" s="377"/>
    </row>
    <row r="101" spans="1:17" ht="13.5" customHeight="1" x14ac:dyDescent="0.3">
      <c r="A101" s="384"/>
      <c r="B101" s="376"/>
      <c r="C101" s="376"/>
      <c r="D101" s="376"/>
      <c r="E101" s="376"/>
      <c r="F101" s="376"/>
      <c r="G101" s="376"/>
      <c r="H101" s="376"/>
      <c r="I101" s="376"/>
      <c r="J101" s="376"/>
      <c r="K101" s="376"/>
      <c r="L101" s="376"/>
      <c r="M101" s="376"/>
      <c r="N101" s="376"/>
      <c r="O101" s="376"/>
      <c r="P101" s="376"/>
      <c r="Q101" s="377"/>
    </row>
    <row r="102" spans="1:17" ht="13.5" customHeight="1" x14ac:dyDescent="0.3">
      <c r="A102" s="384"/>
      <c r="B102" s="376"/>
      <c r="C102" s="376"/>
      <c r="D102" s="376"/>
      <c r="E102" s="376"/>
      <c r="F102" s="376"/>
      <c r="G102" s="376"/>
      <c r="H102" s="376"/>
      <c r="I102" s="376"/>
      <c r="J102" s="376"/>
      <c r="K102" s="376"/>
      <c r="L102" s="376"/>
      <c r="M102" s="376"/>
      <c r="N102" s="376"/>
      <c r="O102" s="376"/>
      <c r="P102" s="376"/>
      <c r="Q102" s="377"/>
    </row>
    <row r="103" spans="1:17" ht="13.5" customHeight="1" x14ac:dyDescent="0.3">
      <c r="A103" s="384"/>
      <c r="B103" s="376"/>
      <c r="C103" s="376"/>
      <c r="D103" s="376"/>
      <c r="E103" s="376"/>
      <c r="F103" s="376"/>
      <c r="G103" s="376"/>
      <c r="H103" s="376"/>
      <c r="I103" s="376"/>
      <c r="J103" s="376"/>
      <c r="K103" s="376"/>
      <c r="L103" s="376"/>
      <c r="M103" s="376"/>
      <c r="N103" s="376"/>
      <c r="O103" s="376"/>
      <c r="P103" s="376"/>
      <c r="Q103" s="377"/>
    </row>
    <row r="104" spans="1:17" ht="13.5" customHeight="1" x14ac:dyDescent="0.3">
      <c r="A104" s="384"/>
      <c r="B104" s="376"/>
      <c r="C104" s="376"/>
      <c r="D104" s="376"/>
      <c r="E104" s="376"/>
      <c r="F104" s="376"/>
      <c r="G104" s="376"/>
      <c r="H104" s="376"/>
      <c r="I104" s="376"/>
      <c r="J104" s="376"/>
      <c r="K104" s="376"/>
      <c r="L104" s="376"/>
      <c r="M104" s="376"/>
      <c r="N104" s="376"/>
      <c r="O104" s="376"/>
      <c r="P104" s="376"/>
      <c r="Q104" s="377"/>
    </row>
    <row r="105" spans="1:17" ht="13.5" customHeight="1" x14ac:dyDescent="0.3">
      <c r="A105" s="384"/>
      <c r="B105" s="376"/>
      <c r="C105" s="376"/>
      <c r="D105" s="376"/>
      <c r="E105" s="376"/>
      <c r="F105" s="376"/>
      <c r="G105" s="376"/>
      <c r="H105" s="376"/>
      <c r="I105" s="376"/>
      <c r="J105" s="376"/>
      <c r="K105" s="376"/>
      <c r="L105" s="376"/>
      <c r="M105" s="376"/>
      <c r="N105" s="376"/>
      <c r="O105" s="376"/>
      <c r="P105" s="376"/>
      <c r="Q105" s="377"/>
    </row>
    <row r="106" spans="1:17" ht="13.5" customHeight="1" x14ac:dyDescent="0.3">
      <c r="A106" s="384"/>
      <c r="B106" s="376"/>
      <c r="C106" s="376"/>
      <c r="D106" s="376"/>
      <c r="E106" s="376"/>
      <c r="F106" s="376"/>
      <c r="G106" s="376"/>
      <c r="H106" s="376"/>
      <c r="I106" s="376"/>
      <c r="J106" s="376"/>
      <c r="K106" s="376"/>
      <c r="L106" s="376"/>
      <c r="M106" s="376"/>
      <c r="N106" s="376"/>
      <c r="O106" s="376"/>
      <c r="P106" s="376"/>
      <c r="Q106" s="377"/>
    </row>
    <row r="107" spans="1:17" ht="13.5" customHeight="1" x14ac:dyDescent="0.3">
      <c r="A107" s="384"/>
      <c r="B107" s="376"/>
      <c r="C107" s="376"/>
      <c r="D107" s="376"/>
      <c r="E107" s="376"/>
      <c r="F107" s="376"/>
      <c r="G107" s="376"/>
      <c r="H107" s="376"/>
      <c r="I107" s="376"/>
      <c r="J107" s="376"/>
      <c r="K107" s="376"/>
      <c r="L107" s="376"/>
      <c r="M107" s="376"/>
      <c r="N107" s="376"/>
      <c r="O107" s="376"/>
      <c r="P107" s="376"/>
      <c r="Q107" s="377"/>
    </row>
    <row r="108" spans="1:17" ht="13.5" customHeight="1" x14ac:dyDescent="0.3">
      <c r="A108" s="384"/>
      <c r="B108" s="376"/>
      <c r="C108" s="376"/>
      <c r="D108" s="376"/>
      <c r="E108" s="376"/>
      <c r="F108" s="376"/>
      <c r="G108" s="376"/>
      <c r="H108" s="376"/>
      <c r="I108" s="376"/>
      <c r="J108" s="376"/>
      <c r="K108" s="376"/>
      <c r="L108" s="376"/>
      <c r="M108" s="376"/>
      <c r="N108" s="376"/>
      <c r="O108" s="376"/>
      <c r="P108" s="376"/>
      <c r="Q108" s="377"/>
    </row>
    <row r="109" spans="1:17" ht="13.5" customHeight="1" x14ac:dyDescent="0.3">
      <c r="A109" s="384"/>
      <c r="B109" s="376"/>
      <c r="C109" s="376"/>
      <c r="D109" s="376"/>
      <c r="E109" s="376"/>
      <c r="F109" s="376"/>
      <c r="G109" s="376"/>
      <c r="H109" s="376"/>
      <c r="I109" s="376"/>
      <c r="J109" s="376"/>
      <c r="K109" s="376"/>
      <c r="L109" s="376"/>
      <c r="M109" s="376"/>
      <c r="N109" s="376"/>
      <c r="O109" s="376"/>
      <c r="P109" s="376"/>
      <c r="Q109" s="377"/>
    </row>
    <row r="110" spans="1:17" ht="13.5" customHeight="1" x14ac:dyDescent="0.3">
      <c r="A110" s="384"/>
      <c r="B110" s="376"/>
      <c r="C110" s="376"/>
      <c r="D110" s="376"/>
      <c r="E110" s="376"/>
      <c r="F110" s="376"/>
      <c r="G110" s="376"/>
      <c r="H110" s="376"/>
      <c r="I110" s="376"/>
      <c r="J110" s="376"/>
      <c r="K110" s="376"/>
      <c r="L110" s="376"/>
      <c r="M110" s="376"/>
      <c r="N110" s="376"/>
      <c r="O110" s="376"/>
      <c r="P110" s="376"/>
      <c r="Q110" s="377"/>
    </row>
    <row r="111" spans="1:17" ht="13.5" customHeight="1" x14ac:dyDescent="0.3">
      <c r="A111" s="384"/>
      <c r="B111" s="376"/>
      <c r="C111" s="376"/>
      <c r="D111" s="376"/>
      <c r="E111" s="376"/>
      <c r="F111" s="376"/>
      <c r="G111" s="376"/>
      <c r="H111" s="376"/>
      <c r="I111" s="376"/>
      <c r="J111" s="376"/>
      <c r="K111" s="376"/>
      <c r="L111" s="376"/>
      <c r="M111" s="376"/>
      <c r="N111" s="376"/>
      <c r="O111" s="376"/>
      <c r="P111" s="376"/>
      <c r="Q111" s="377"/>
    </row>
    <row r="112" spans="1:17" ht="13.5" customHeight="1" x14ac:dyDescent="0.3">
      <c r="A112" s="384"/>
      <c r="B112" s="376"/>
      <c r="C112" s="376"/>
      <c r="D112" s="376"/>
      <c r="E112" s="376"/>
      <c r="F112" s="376"/>
      <c r="G112" s="376"/>
      <c r="H112" s="376"/>
      <c r="I112" s="376"/>
      <c r="J112" s="376"/>
      <c r="K112" s="376"/>
      <c r="L112" s="376"/>
      <c r="M112" s="376"/>
      <c r="N112" s="376"/>
      <c r="O112" s="376"/>
      <c r="P112" s="376"/>
      <c r="Q112" s="377"/>
    </row>
    <row r="113" spans="1:17" ht="13.5" customHeight="1" x14ac:dyDescent="0.3">
      <c r="A113" s="384"/>
      <c r="B113" s="376"/>
      <c r="C113" s="376"/>
      <c r="D113" s="376"/>
      <c r="E113" s="376"/>
      <c r="F113" s="376"/>
      <c r="G113" s="376"/>
      <c r="H113" s="376"/>
      <c r="I113" s="376"/>
      <c r="J113" s="376"/>
      <c r="K113" s="376"/>
      <c r="L113" s="376"/>
      <c r="M113" s="376"/>
      <c r="N113" s="376"/>
      <c r="O113" s="376"/>
      <c r="P113" s="376"/>
      <c r="Q113" s="377"/>
    </row>
    <row r="114" spans="1:17" ht="13.5" customHeight="1" x14ac:dyDescent="0.3">
      <c r="A114" s="384"/>
      <c r="B114" s="376"/>
      <c r="C114" s="376"/>
      <c r="D114" s="376"/>
      <c r="E114" s="376"/>
      <c r="F114" s="376"/>
      <c r="G114" s="376"/>
      <c r="H114" s="376"/>
      <c r="I114" s="376"/>
      <c r="J114" s="376"/>
      <c r="K114" s="376"/>
      <c r="L114" s="376"/>
      <c r="M114" s="376"/>
      <c r="N114" s="376"/>
      <c r="O114" s="376"/>
      <c r="P114" s="376"/>
      <c r="Q114" s="377"/>
    </row>
    <row r="115" spans="1:17" ht="13.5" customHeight="1" x14ac:dyDescent="0.3">
      <c r="A115" s="384"/>
      <c r="B115" s="376"/>
      <c r="C115" s="376"/>
      <c r="D115" s="376"/>
      <c r="E115" s="376"/>
      <c r="F115" s="376"/>
      <c r="G115" s="376"/>
      <c r="H115" s="376"/>
      <c r="I115" s="376"/>
      <c r="J115" s="376"/>
      <c r="K115" s="376"/>
      <c r="L115" s="376"/>
      <c r="M115" s="376"/>
      <c r="N115" s="376"/>
      <c r="O115" s="376"/>
      <c r="P115" s="376"/>
      <c r="Q115" s="377"/>
    </row>
    <row r="116" spans="1:17" ht="13.5" customHeight="1" x14ac:dyDescent="0.3">
      <c r="A116" s="384"/>
      <c r="B116" s="376"/>
      <c r="C116" s="376"/>
      <c r="D116" s="376"/>
      <c r="E116" s="376"/>
      <c r="F116" s="376"/>
      <c r="G116" s="376"/>
      <c r="H116" s="376"/>
      <c r="I116" s="376"/>
      <c r="J116" s="376"/>
      <c r="K116" s="376"/>
      <c r="L116" s="376"/>
      <c r="M116" s="376"/>
      <c r="N116" s="376"/>
      <c r="O116" s="376"/>
      <c r="P116" s="376"/>
      <c r="Q116" s="377"/>
    </row>
    <row r="117" spans="1:17" ht="13.5" customHeight="1" x14ac:dyDescent="0.3">
      <c r="A117" s="384"/>
      <c r="B117" s="376"/>
      <c r="C117" s="376"/>
      <c r="D117" s="376"/>
      <c r="E117" s="376"/>
      <c r="F117" s="376"/>
      <c r="G117" s="376"/>
      <c r="H117" s="376"/>
      <c r="I117" s="376"/>
      <c r="J117" s="376"/>
      <c r="K117" s="376"/>
      <c r="L117" s="376"/>
      <c r="M117" s="376"/>
      <c r="N117" s="376"/>
      <c r="O117" s="376"/>
      <c r="P117" s="376"/>
      <c r="Q117" s="377"/>
    </row>
    <row r="118" spans="1:17" ht="13.5" customHeight="1" x14ac:dyDescent="0.3">
      <c r="A118" s="384"/>
      <c r="B118" s="376"/>
      <c r="C118" s="376"/>
      <c r="D118" s="376"/>
      <c r="E118" s="376"/>
      <c r="F118" s="376"/>
      <c r="G118" s="376"/>
      <c r="H118" s="376"/>
      <c r="I118" s="376"/>
      <c r="J118" s="376"/>
      <c r="K118" s="376"/>
      <c r="L118" s="376"/>
      <c r="M118" s="376"/>
      <c r="N118" s="376"/>
      <c r="O118" s="376"/>
      <c r="P118" s="376"/>
      <c r="Q118" s="377"/>
    </row>
    <row r="119" spans="1:17" ht="13.5" customHeight="1" x14ac:dyDescent="0.3">
      <c r="A119" s="384"/>
      <c r="B119" s="376"/>
      <c r="C119" s="376"/>
      <c r="D119" s="376"/>
      <c r="E119" s="376"/>
      <c r="F119" s="376"/>
      <c r="G119" s="376"/>
      <c r="H119" s="376"/>
      <c r="I119" s="376"/>
      <c r="J119" s="376"/>
      <c r="K119" s="376"/>
      <c r="L119" s="376"/>
      <c r="M119" s="376"/>
      <c r="N119" s="376"/>
      <c r="O119" s="376"/>
      <c r="P119" s="376"/>
      <c r="Q119" s="377"/>
    </row>
    <row r="120" spans="1:17" ht="13.5" customHeight="1" x14ac:dyDescent="0.3">
      <c r="A120" s="384"/>
      <c r="B120" s="376"/>
      <c r="C120" s="376"/>
      <c r="D120" s="376"/>
      <c r="E120" s="376"/>
      <c r="F120" s="376"/>
      <c r="G120" s="376"/>
      <c r="H120" s="376"/>
      <c r="I120" s="376"/>
      <c r="J120" s="376"/>
      <c r="K120" s="376"/>
      <c r="L120" s="376"/>
      <c r="M120" s="376"/>
      <c r="N120" s="376"/>
      <c r="O120" s="376"/>
      <c r="P120" s="376"/>
      <c r="Q120" s="377"/>
    </row>
    <row r="121" spans="1:17" ht="13.5" customHeight="1" x14ac:dyDescent="0.3">
      <c r="A121" s="384"/>
      <c r="B121" s="376"/>
      <c r="C121" s="376"/>
      <c r="D121" s="376"/>
      <c r="E121" s="376"/>
      <c r="F121" s="376"/>
      <c r="G121" s="376"/>
      <c r="H121" s="376"/>
      <c r="I121" s="376"/>
      <c r="J121" s="376"/>
      <c r="K121" s="376"/>
      <c r="L121" s="376"/>
      <c r="M121" s="376"/>
      <c r="N121" s="376"/>
      <c r="O121" s="376"/>
      <c r="P121" s="376"/>
      <c r="Q121" s="377"/>
    </row>
    <row r="122" spans="1:17" ht="13.5" customHeight="1" x14ac:dyDescent="0.3">
      <c r="A122" s="384"/>
      <c r="B122" s="376"/>
      <c r="C122" s="376"/>
      <c r="D122" s="376"/>
      <c r="E122" s="376"/>
      <c r="F122" s="376"/>
      <c r="G122" s="376"/>
      <c r="H122" s="376"/>
      <c r="I122" s="376"/>
      <c r="J122" s="376"/>
      <c r="K122" s="376"/>
      <c r="L122" s="376"/>
      <c r="M122" s="376"/>
      <c r="N122" s="376"/>
      <c r="O122" s="376"/>
      <c r="P122" s="376"/>
      <c r="Q122" s="377"/>
    </row>
    <row r="123" spans="1:17" ht="13.5" customHeight="1" x14ac:dyDescent="0.3">
      <c r="A123" s="384"/>
      <c r="B123" s="376"/>
      <c r="C123" s="376"/>
      <c r="D123" s="376"/>
      <c r="E123" s="376"/>
      <c r="F123" s="376"/>
      <c r="G123" s="376"/>
      <c r="H123" s="376"/>
      <c r="I123" s="376"/>
      <c r="J123" s="376"/>
      <c r="K123" s="376"/>
      <c r="L123" s="376"/>
      <c r="M123" s="376"/>
      <c r="N123" s="376"/>
      <c r="O123" s="376"/>
      <c r="P123" s="376"/>
      <c r="Q123" s="377"/>
    </row>
    <row r="124" spans="1:17" ht="13.5" customHeight="1" x14ac:dyDescent="0.3">
      <c r="A124" s="384"/>
      <c r="B124" s="376"/>
      <c r="C124" s="376"/>
      <c r="D124" s="376"/>
      <c r="E124" s="376"/>
      <c r="F124" s="376"/>
      <c r="G124" s="376"/>
      <c r="H124" s="376"/>
      <c r="I124" s="376"/>
      <c r="J124" s="376"/>
      <c r="K124" s="376"/>
      <c r="L124" s="376"/>
      <c r="M124" s="376"/>
      <c r="N124" s="376"/>
      <c r="O124" s="376"/>
      <c r="P124" s="376"/>
      <c r="Q124" s="377"/>
    </row>
    <row r="125" spans="1:17" ht="13.5" customHeight="1" x14ac:dyDescent="0.3">
      <c r="A125" s="384"/>
      <c r="B125" s="376"/>
      <c r="C125" s="376"/>
      <c r="D125" s="376"/>
      <c r="E125" s="376"/>
      <c r="F125" s="376"/>
      <c r="G125" s="376"/>
      <c r="H125" s="376"/>
      <c r="I125" s="376"/>
      <c r="J125" s="376"/>
      <c r="K125" s="376"/>
      <c r="L125" s="376"/>
      <c r="M125" s="376"/>
      <c r="N125" s="376"/>
      <c r="O125" s="376"/>
      <c r="P125" s="376"/>
      <c r="Q125" s="377"/>
    </row>
    <row r="126" spans="1:17" ht="13.5" customHeight="1" x14ac:dyDescent="0.3">
      <c r="A126" s="384"/>
      <c r="B126" s="376"/>
      <c r="C126" s="376"/>
      <c r="D126" s="376"/>
      <c r="E126" s="376"/>
      <c r="F126" s="376"/>
      <c r="G126" s="376"/>
      <c r="H126" s="376"/>
      <c r="I126" s="376"/>
      <c r="J126" s="376"/>
      <c r="K126" s="376"/>
      <c r="L126" s="376"/>
      <c r="M126" s="376"/>
      <c r="N126" s="376"/>
      <c r="O126" s="376"/>
      <c r="P126" s="376"/>
      <c r="Q126" s="377"/>
    </row>
    <row r="127" spans="1:17" ht="13.5" customHeight="1" x14ac:dyDescent="0.3">
      <c r="A127" s="384"/>
      <c r="B127" s="376"/>
      <c r="C127" s="376"/>
      <c r="D127" s="376"/>
      <c r="E127" s="376"/>
      <c r="F127" s="376"/>
      <c r="G127" s="376"/>
      <c r="H127" s="376"/>
      <c r="I127" s="376"/>
      <c r="J127" s="376"/>
      <c r="K127" s="376"/>
      <c r="L127" s="376"/>
      <c r="M127" s="376"/>
      <c r="N127" s="376"/>
      <c r="O127" s="376"/>
      <c r="P127" s="376"/>
      <c r="Q127" s="377"/>
    </row>
    <row r="128" spans="1:17" ht="13.5" customHeight="1" x14ac:dyDescent="0.3">
      <c r="A128" s="384"/>
      <c r="B128" s="376"/>
      <c r="C128" s="376"/>
      <c r="D128" s="376"/>
      <c r="E128" s="376"/>
      <c r="F128" s="376"/>
      <c r="G128" s="376"/>
      <c r="H128" s="376"/>
      <c r="I128" s="376"/>
      <c r="J128" s="376"/>
      <c r="K128" s="376"/>
      <c r="L128" s="376"/>
      <c r="M128" s="376"/>
      <c r="N128" s="376"/>
      <c r="O128" s="376"/>
      <c r="P128" s="376"/>
      <c r="Q128" s="377"/>
    </row>
    <row r="129" spans="1:17" ht="13.5" customHeight="1" x14ac:dyDescent="0.3">
      <c r="A129" s="384"/>
      <c r="B129" s="376"/>
      <c r="C129" s="376"/>
      <c r="D129" s="376"/>
      <c r="E129" s="376"/>
      <c r="F129" s="376"/>
      <c r="G129" s="376"/>
      <c r="H129" s="376"/>
      <c r="I129" s="376"/>
      <c r="J129" s="376"/>
      <c r="K129" s="376"/>
      <c r="L129" s="376"/>
      <c r="M129" s="376"/>
      <c r="N129" s="376"/>
      <c r="O129" s="376"/>
      <c r="P129" s="376"/>
      <c r="Q129" s="377"/>
    </row>
    <row r="130" spans="1:17" ht="13.5" customHeight="1" x14ac:dyDescent="0.3">
      <c r="A130" s="384"/>
      <c r="B130" s="376"/>
      <c r="C130" s="376"/>
      <c r="D130" s="376"/>
      <c r="E130" s="376"/>
      <c r="F130" s="376"/>
      <c r="G130" s="376"/>
      <c r="H130" s="376"/>
      <c r="I130" s="376"/>
      <c r="J130" s="376"/>
      <c r="K130" s="376"/>
      <c r="L130" s="376"/>
      <c r="M130" s="376"/>
      <c r="N130" s="376"/>
      <c r="O130" s="376"/>
      <c r="P130" s="376"/>
      <c r="Q130" s="377"/>
    </row>
    <row r="131" spans="1:17" ht="13.5" customHeight="1" x14ac:dyDescent="0.3">
      <c r="A131" s="384"/>
      <c r="B131" s="376"/>
      <c r="C131" s="376"/>
      <c r="D131" s="376"/>
      <c r="E131" s="376"/>
      <c r="F131" s="376"/>
      <c r="G131" s="376"/>
      <c r="H131" s="376"/>
      <c r="I131" s="376"/>
      <c r="J131" s="376"/>
      <c r="K131" s="376"/>
      <c r="L131" s="376"/>
      <c r="M131" s="376"/>
      <c r="N131" s="376"/>
      <c r="O131" s="376"/>
      <c r="P131" s="376"/>
      <c r="Q131" s="377"/>
    </row>
    <row r="132" spans="1:17" ht="13.5" customHeight="1" x14ac:dyDescent="0.3">
      <c r="A132" s="384"/>
      <c r="B132" s="376"/>
      <c r="C132" s="376"/>
      <c r="D132" s="376"/>
      <c r="E132" s="376"/>
      <c r="F132" s="376"/>
      <c r="G132" s="376"/>
      <c r="H132" s="376"/>
      <c r="I132" s="376"/>
      <c r="J132" s="376"/>
      <c r="K132" s="376"/>
      <c r="L132" s="376"/>
      <c r="M132" s="376"/>
      <c r="N132" s="376"/>
      <c r="O132" s="376"/>
      <c r="P132" s="376"/>
      <c r="Q132" s="377"/>
    </row>
    <row r="133" spans="1:17" ht="13.5" customHeight="1" x14ac:dyDescent="0.3">
      <c r="A133" s="384"/>
      <c r="B133" s="376"/>
      <c r="C133" s="376"/>
      <c r="D133" s="376"/>
      <c r="E133" s="376"/>
      <c r="F133" s="376"/>
      <c r="G133" s="376"/>
      <c r="H133" s="376"/>
      <c r="I133" s="376"/>
      <c r="J133" s="376"/>
      <c r="K133" s="376"/>
      <c r="L133" s="376"/>
      <c r="M133" s="376"/>
      <c r="N133" s="376"/>
      <c r="O133" s="376"/>
      <c r="P133" s="376"/>
      <c r="Q133" s="377"/>
    </row>
    <row r="134" spans="1:17" ht="13.5" customHeight="1" x14ac:dyDescent="0.3">
      <c r="A134" s="384"/>
      <c r="B134" s="376"/>
      <c r="C134" s="376"/>
      <c r="D134" s="376"/>
      <c r="E134" s="376"/>
      <c r="F134" s="376"/>
      <c r="G134" s="376"/>
      <c r="H134" s="376"/>
      <c r="I134" s="376"/>
      <c r="J134" s="376"/>
      <c r="K134" s="376"/>
      <c r="L134" s="376"/>
      <c r="M134" s="376"/>
      <c r="N134" s="376"/>
      <c r="O134" s="376"/>
      <c r="P134" s="376"/>
      <c r="Q134" s="377"/>
    </row>
    <row r="135" spans="1:17" ht="13.5" customHeight="1" x14ac:dyDescent="0.3">
      <c r="A135" s="384"/>
      <c r="B135" s="376"/>
      <c r="C135" s="376"/>
      <c r="D135" s="376"/>
      <c r="E135" s="376"/>
      <c r="F135" s="376"/>
      <c r="G135" s="376"/>
      <c r="H135" s="376"/>
      <c r="I135" s="376"/>
      <c r="J135" s="376"/>
      <c r="K135" s="376"/>
      <c r="L135" s="376"/>
      <c r="M135" s="376"/>
      <c r="N135" s="376"/>
      <c r="O135" s="376"/>
      <c r="P135" s="376"/>
      <c r="Q135" s="377"/>
    </row>
    <row r="136" spans="1:17" ht="13.5" customHeight="1" x14ac:dyDescent="0.3">
      <c r="A136" s="384"/>
      <c r="B136" s="376"/>
      <c r="C136" s="376"/>
      <c r="D136" s="376"/>
      <c r="E136" s="376"/>
      <c r="F136" s="376"/>
      <c r="G136" s="376"/>
      <c r="H136" s="376"/>
      <c r="I136" s="376"/>
      <c r="J136" s="376"/>
      <c r="K136" s="376"/>
      <c r="L136" s="376"/>
      <c r="M136" s="376"/>
      <c r="N136" s="376"/>
      <c r="O136" s="376"/>
      <c r="P136" s="376"/>
      <c r="Q136" s="377"/>
    </row>
    <row r="137" spans="1:17" ht="13.5" customHeight="1" x14ac:dyDescent="0.3">
      <c r="A137" s="384"/>
      <c r="B137" s="376"/>
      <c r="C137" s="376"/>
      <c r="D137" s="376"/>
      <c r="E137" s="376"/>
      <c r="F137" s="376"/>
      <c r="G137" s="376"/>
      <c r="H137" s="376"/>
      <c r="I137" s="376"/>
      <c r="J137" s="376"/>
      <c r="K137" s="376"/>
      <c r="L137" s="376"/>
      <c r="M137" s="376"/>
      <c r="N137" s="376"/>
      <c r="O137" s="376"/>
      <c r="P137" s="376"/>
      <c r="Q137" s="377"/>
    </row>
    <row r="138" spans="1:17" ht="13.5" customHeight="1" x14ac:dyDescent="0.3">
      <c r="A138" s="384"/>
      <c r="B138" s="376"/>
      <c r="C138" s="376"/>
      <c r="D138" s="376"/>
      <c r="E138" s="376"/>
      <c r="F138" s="376"/>
      <c r="G138" s="376"/>
      <c r="H138" s="376"/>
      <c r="I138" s="376"/>
      <c r="J138" s="376"/>
      <c r="K138" s="376"/>
      <c r="L138" s="376"/>
      <c r="M138" s="376"/>
      <c r="N138" s="376"/>
      <c r="O138" s="376"/>
      <c r="P138" s="376"/>
      <c r="Q138" s="377"/>
    </row>
    <row r="139" spans="1:17" ht="13.5" customHeight="1" x14ac:dyDescent="0.3">
      <c r="A139" s="384"/>
      <c r="B139" s="376"/>
      <c r="C139" s="376"/>
      <c r="D139" s="376"/>
      <c r="E139" s="376"/>
      <c r="F139" s="376"/>
      <c r="G139" s="376"/>
      <c r="H139" s="376"/>
      <c r="I139" s="376"/>
      <c r="J139" s="376"/>
      <c r="K139" s="376"/>
      <c r="L139" s="376"/>
      <c r="M139" s="376"/>
      <c r="N139" s="376"/>
      <c r="O139" s="376"/>
      <c r="P139" s="376"/>
      <c r="Q139" s="377"/>
    </row>
    <row r="140" spans="1:17" ht="13.5" customHeight="1" x14ac:dyDescent="0.3">
      <c r="A140" s="384"/>
      <c r="B140" s="376"/>
      <c r="C140" s="376"/>
      <c r="D140" s="376"/>
      <c r="E140" s="376"/>
      <c r="F140" s="376"/>
      <c r="G140" s="376"/>
      <c r="H140" s="376"/>
      <c r="I140" s="376"/>
      <c r="J140" s="376"/>
      <c r="K140" s="376"/>
      <c r="L140" s="376"/>
      <c r="M140" s="376"/>
      <c r="N140" s="376"/>
      <c r="O140" s="376"/>
      <c r="P140" s="376"/>
      <c r="Q140" s="377"/>
    </row>
    <row r="141" spans="1:17" ht="13.5" customHeight="1" x14ac:dyDescent="0.3">
      <c r="A141" s="384"/>
      <c r="B141" s="376"/>
      <c r="C141" s="376"/>
      <c r="D141" s="376"/>
      <c r="E141" s="376"/>
      <c r="F141" s="376"/>
      <c r="G141" s="376"/>
      <c r="H141" s="376"/>
      <c r="I141" s="376"/>
      <c r="J141" s="376"/>
      <c r="K141" s="376"/>
      <c r="L141" s="376"/>
      <c r="M141" s="376"/>
      <c r="N141" s="376"/>
      <c r="O141" s="376"/>
      <c r="P141" s="376"/>
      <c r="Q141" s="377"/>
    </row>
    <row r="142" spans="1:17" ht="13.5" customHeight="1" x14ac:dyDescent="0.3">
      <c r="A142" s="384"/>
      <c r="B142" s="376"/>
      <c r="C142" s="376"/>
      <c r="D142" s="376"/>
      <c r="E142" s="376"/>
      <c r="F142" s="376"/>
      <c r="G142" s="376"/>
      <c r="H142" s="376"/>
      <c r="I142" s="376"/>
      <c r="J142" s="376"/>
      <c r="K142" s="376"/>
      <c r="L142" s="376"/>
      <c r="M142" s="376"/>
      <c r="N142" s="376"/>
      <c r="O142" s="376"/>
      <c r="P142" s="376"/>
      <c r="Q142" s="377"/>
    </row>
    <row r="143" spans="1:17" ht="13.5" customHeight="1" x14ac:dyDescent="0.3">
      <c r="A143" s="384"/>
      <c r="B143" s="376"/>
      <c r="C143" s="376"/>
      <c r="D143" s="376"/>
      <c r="E143" s="376"/>
      <c r="F143" s="376"/>
      <c r="G143" s="376"/>
      <c r="H143" s="376"/>
      <c r="I143" s="376"/>
      <c r="J143" s="376"/>
      <c r="K143" s="376"/>
      <c r="L143" s="376"/>
      <c r="M143" s="376"/>
      <c r="N143" s="376"/>
      <c r="O143" s="376"/>
      <c r="P143" s="376"/>
      <c r="Q143" s="377"/>
    </row>
    <row r="144" spans="1:17" ht="13.5" customHeight="1" x14ac:dyDescent="0.3">
      <c r="A144" s="384"/>
      <c r="B144" s="376"/>
      <c r="C144" s="376"/>
      <c r="D144" s="376"/>
      <c r="E144" s="376"/>
      <c r="F144" s="376"/>
      <c r="G144" s="376"/>
      <c r="H144" s="376"/>
      <c r="I144" s="376"/>
      <c r="J144" s="376"/>
      <c r="K144" s="376"/>
      <c r="L144" s="376"/>
      <c r="M144" s="376"/>
      <c r="N144" s="376"/>
      <c r="O144" s="376"/>
      <c r="P144" s="376"/>
      <c r="Q144" s="377"/>
    </row>
    <row r="145" spans="1:17" ht="13.5" customHeight="1" x14ac:dyDescent="0.3">
      <c r="A145" s="384"/>
      <c r="B145" s="376"/>
      <c r="C145" s="376"/>
      <c r="D145" s="376"/>
      <c r="E145" s="376"/>
      <c r="F145" s="376"/>
      <c r="G145" s="376"/>
      <c r="H145" s="376"/>
      <c r="I145" s="376"/>
      <c r="J145" s="376"/>
      <c r="K145" s="376"/>
      <c r="L145" s="376"/>
      <c r="M145" s="376"/>
      <c r="N145" s="376"/>
      <c r="O145" s="376"/>
      <c r="P145" s="376"/>
      <c r="Q145" s="377"/>
    </row>
    <row r="146" spans="1:17" ht="13.5" customHeight="1" x14ac:dyDescent="0.3">
      <c r="A146" s="384"/>
      <c r="B146" s="376"/>
      <c r="C146" s="376"/>
      <c r="D146" s="376"/>
      <c r="E146" s="376"/>
      <c r="F146" s="376"/>
      <c r="G146" s="376"/>
      <c r="H146" s="376"/>
      <c r="I146" s="376"/>
      <c r="J146" s="376"/>
      <c r="K146" s="376"/>
      <c r="L146" s="376"/>
      <c r="M146" s="376"/>
      <c r="N146" s="376"/>
      <c r="O146" s="376"/>
      <c r="P146" s="376"/>
      <c r="Q146" s="377"/>
    </row>
    <row r="147" spans="1:17" ht="13.5" customHeight="1" x14ac:dyDescent="0.3">
      <c r="A147" s="384"/>
      <c r="B147" s="376"/>
      <c r="C147" s="376"/>
      <c r="D147" s="376"/>
      <c r="E147" s="376"/>
      <c r="F147" s="376"/>
      <c r="G147" s="376"/>
      <c r="H147" s="376"/>
      <c r="I147" s="376"/>
      <c r="J147" s="376"/>
      <c r="K147" s="376"/>
      <c r="L147" s="376"/>
      <c r="M147" s="376"/>
      <c r="N147" s="376"/>
      <c r="O147" s="376"/>
      <c r="P147" s="376"/>
      <c r="Q147" s="377"/>
    </row>
    <row r="148" spans="1:17" ht="13.5" customHeight="1" x14ac:dyDescent="0.3">
      <c r="A148" s="384"/>
      <c r="B148" s="376"/>
      <c r="C148" s="376"/>
      <c r="D148" s="376"/>
      <c r="E148" s="376"/>
      <c r="F148" s="376"/>
      <c r="G148" s="376"/>
      <c r="H148" s="376"/>
      <c r="I148" s="376"/>
      <c r="J148" s="376"/>
      <c r="K148" s="376"/>
      <c r="L148" s="376"/>
      <c r="M148" s="376"/>
      <c r="N148" s="376"/>
      <c r="O148" s="376"/>
      <c r="P148" s="376"/>
      <c r="Q148" s="377"/>
    </row>
    <row r="149" spans="1:17" ht="13.5" customHeight="1" x14ac:dyDescent="0.3">
      <c r="A149" s="384"/>
      <c r="B149" s="376"/>
      <c r="C149" s="376"/>
      <c r="D149" s="376"/>
      <c r="E149" s="376"/>
      <c r="F149" s="376"/>
      <c r="G149" s="376"/>
      <c r="H149" s="376"/>
      <c r="I149" s="376"/>
      <c r="J149" s="376"/>
      <c r="K149" s="376"/>
      <c r="L149" s="376"/>
      <c r="M149" s="376"/>
      <c r="N149" s="376"/>
      <c r="O149" s="376"/>
      <c r="P149" s="376"/>
      <c r="Q149" s="377"/>
    </row>
    <row r="150" spans="1:17" ht="13.5" customHeight="1" x14ac:dyDescent="0.3">
      <c r="A150" s="384"/>
      <c r="B150" s="376"/>
      <c r="C150" s="376"/>
      <c r="D150" s="376"/>
      <c r="E150" s="376"/>
      <c r="F150" s="376"/>
      <c r="G150" s="376"/>
      <c r="H150" s="376"/>
      <c r="I150" s="376"/>
      <c r="J150" s="376"/>
      <c r="K150" s="376"/>
      <c r="L150" s="376"/>
      <c r="M150" s="376"/>
      <c r="N150" s="376"/>
      <c r="O150" s="376"/>
      <c r="P150" s="376"/>
      <c r="Q150" s="377"/>
    </row>
    <row r="151" spans="1:17" ht="13.5" customHeight="1" x14ac:dyDescent="0.3">
      <c r="A151" s="384"/>
      <c r="B151" s="376"/>
      <c r="C151" s="376"/>
      <c r="D151" s="376"/>
      <c r="E151" s="376"/>
      <c r="F151" s="376"/>
      <c r="G151" s="376"/>
      <c r="H151" s="376"/>
      <c r="I151" s="376"/>
      <c r="J151" s="376"/>
      <c r="K151" s="376"/>
      <c r="L151" s="376"/>
      <c r="M151" s="376"/>
      <c r="N151" s="376"/>
      <c r="O151" s="376"/>
      <c r="P151" s="376"/>
      <c r="Q151" s="377"/>
    </row>
    <row r="152" spans="1:17" ht="13.5" customHeight="1" x14ac:dyDescent="0.3">
      <c r="A152" s="384"/>
      <c r="B152" s="376"/>
      <c r="C152" s="376"/>
      <c r="D152" s="376"/>
      <c r="E152" s="376"/>
      <c r="F152" s="376"/>
      <c r="G152" s="376"/>
      <c r="H152" s="376"/>
      <c r="I152" s="376"/>
      <c r="J152" s="376"/>
      <c r="K152" s="376"/>
      <c r="L152" s="376"/>
      <c r="M152" s="376"/>
      <c r="N152" s="376"/>
      <c r="O152" s="376"/>
      <c r="P152" s="376"/>
      <c r="Q152" s="377"/>
    </row>
    <row r="153" spans="1:17" ht="13.5" customHeight="1" x14ac:dyDescent="0.3">
      <c r="A153" s="384"/>
      <c r="B153" s="376"/>
      <c r="C153" s="376"/>
      <c r="D153" s="376"/>
      <c r="E153" s="376"/>
      <c r="F153" s="376"/>
      <c r="G153" s="376"/>
      <c r="H153" s="376"/>
      <c r="I153" s="376"/>
      <c r="J153" s="376"/>
      <c r="K153" s="376"/>
      <c r="L153" s="376"/>
      <c r="M153" s="376"/>
      <c r="N153" s="376"/>
      <c r="O153" s="376"/>
      <c r="P153" s="376"/>
      <c r="Q153" s="377"/>
    </row>
    <row r="154" spans="1:17" ht="13.5" customHeight="1" x14ac:dyDescent="0.3">
      <c r="A154" s="384"/>
      <c r="B154" s="376"/>
      <c r="C154" s="376"/>
      <c r="D154" s="376"/>
      <c r="E154" s="376"/>
      <c r="F154" s="376"/>
      <c r="G154" s="376"/>
      <c r="H154" s="376"/>
      <c r="I154" s="376"/>
      <c r="J154" s="376"/>
      <c r="K154" s="376"/>
      <c r="L154" s="376"/>
      <c r="M154" s="376"/>
      <c r="N154" s="376"/>
      <c r="O154" s="376"/>
      <c r="P154" s="376"/>
      <c r="Q154" s="377"/>
    </row>
    <row r="155" spans="1:17" ht="13.5" customHeight="1" x14ac:dyDescent="0.3">
      <c r="A155" s="384"/>
      <c r="B155" s="376"/>
      <c r="C155" s="376"/>
      <c r="D155" s="376"/>
      <c r="E155" s="376"/>
      <c r="F155" s="376"/>
      <c r="G155" s="376"/>
      <c r="H155" s="376"/>
      <c r="I155" s="376"/>
      <c r="J155" s="376"/>
      <c r="K155" s="376"/>
      <c r="L155" s="376"/>
      <c r="M155" s="376"/>
      <c r="N155" s="376"/>
      <c r="O155" s="376"/>
      <c r="P155" s="376"/>
      <c r="Q155" s="377"/>
    </row>
    <row r="156" spans="1:17" ht="13.5" customHeight="1" x14ac:dyDescent="0.3">
      <c r="A156" s="384"/>
      <c r="B156" s="376"/>
      <c r="C156" s="376"/>
      <c r="D156" s="376"/>
      <c r="E156" s="376"/>
      <c r="F156" s="376"/>
      <c r="G156" s="376"/>
      <c r="H156" s="376"/>
      <c r="I156" s="376"/>
      <c r="J156" s="376"/>
      <c r="K156" s="376"/>
      <c r="L156" s="376"/>
      <c r="M156" s="376"/>
      <c r="N156" s="376"/>
      <c r="O156" s="376"/>
      <c r="P156" s="376"/>
      <c r="Q156" s="377"/>
    </row>
    <row r="157" spans="1:17" ht="13.5" customHeight="1" x14ac:dyDescent="0.3">
      <c r="A157" s="384"/>
      <c r="B157" s="376"/>
      <c r="C157" s="376"/>
      <c r="D157" s="376"/>
      <c r="E157" s="376"/>
      <c r="F157" s="376"/>
      <c r="G157" s="376"/>
      <c r="H157" s="376"/>
      <c r="I157" s="376"/>
      <c r="J157" s="376"/>
      <c r="K157" s="376"/>
      <c r="L157" s="376"/>
      <c r="M157" s="376"/>
      <c r="N157" s="376"/>
      <c r="O157" s="376"/>
      <c r="P157" s="376"/>
      <c r="Q157" s="377"/>
    </row>
    <row r="158" spans="1:17" ht="13.5" customHeight="1" x14ac:dyDescent="0.3">
      <c r="A158" s="384"/>
      <c r="B158" s="376"/>
      <c r="C158" s="376"/>
      <c r="D158" s="376"/>
      <c r="E158" s="376"/>
      <c r="F158" s="376"/>
      <c r="G158" s="376"/>
      <c r="H158" s="376"/>
      <c r="I158" s="376"/>
      <c r="J158" s="376"/>
      <c r="K158" s="376"/>
      <c r="L158" s="376"/>
      <c r="M158" s="376"/>
      <c r="N158" s="376"/>
      <c r="O158" s="376"/>
      <c r="P158" s="376"/>
      <c r="Q158" s="377"/>
    </row>
    <row r="159" spans="1:17" ht="13.5" customHeight="1" x14ac:dyDescent="0.3">
      <c r="A159" s="384"/>
      <c r="B159" s="376"/>
      <c r="C159" s="376"/>
      <c r="D159" s="376"/>
      <c r="E159" s="376"/>
      <c r="F159" s="376"/>
      <c r="G159" s="376"/>
      <c r="H159" s="376"/>
      <c r="I159" s="376"/>
      <c r="J159" s="376"/>
      <c r="K159" s="376"/>
      <c r="L159" s="376"/>
      <c r="M159" s="376"/>
      <c r="N159" s="376"/>
      <c r="O159" s="376"/>
      <c r="P159" s="376"/>
      <c r="Q159" s="377"/>
    </row>
    <row r="160" spans="1:17" ht="13.5" customHeight="1" x14ac:dyDescent="0.3">
      <c r="A160" s="384"/>
      <c r="B160" s="376"/>
      <c r="C160" s="376"/>
      <c r="D160" s="376"/>
      <c r="E160" s="376"/>
      <c r="F160" s="376"/>
      <c r="G160" s="376"/>
      <c r="H160" s="376"/>
      <c r="I160" s="376"/>
      <c r="J160" s="376"/>
      <c r="K160" s="376"/>
      <c r="L160" s="376"/>
      <c r="M160" s="376"/>
      <c r="N160" s="376"/>
      <c r="O160" s="376"/>
      <c r="P160" s="376"/>
      <c r="Q160" s="377"/>
    </row>
    <row r="161" spans="1:17" ht="13.5" customHeight="1" x14ac:dyDescent="0.3">
      <c r="A161" s="384"/>
      <c r="B161" s="376"/>
      <c r="C161" s="376"/>
      <c r="D161" s="376"/>
      <c r="E161" s="376"/>
      <c r="F161" s="376"/>
      <c r="G161" s="376"/>
      <c r="H161" s="376"/>
      <c r="I161" s="376"/>
      <c r="J161" s="376"/>
      <c r="K161" s="376"/>
      <c r="L161" s="376"/>
      <c r="M161" s="376"/>
      <c r="N161" s="376"/>
      <c r="O161" s="376"/>
      <c r="P161" s="376"/>
      <c r="Q161" s="377"/>
    </row>
    <row r="162" spans="1:17" ht="13.5" customHeight="1" x14ac:dyDescent="0.3">
      <c r="A162" s="384"/>
      <c r="B162" s="376"/>
      <c r="C162" s="376"/>
      <c r="D162" s="376"/>
      <c r="E162" s="376"/>
      <c r="F162" s="376"/>
      <c r="G162" s="376"/>
      <c r="H162" s="376"/>
      <c r="I162" s="376"/>
      <c r="J162" s="376"/>
      <c r="K162" s="376"/>
      <c r="L162" s="376"/>
      <c r="M162" s="376"/>
      <c r="N162" s="376"/>
      <c r="O162" s="376"/>
      <c r="P162" s="376"/>
      <c r="Q162" s="377"/>
    </row>
    <row r="163" spans="1:17" ht="13.5" customHeight="1" x14ac:dyDescent="0.3">
      <c r="A163" s="384"/>
      <c r="B163" s="376"/>
      <c r="C163" s="376"/>
      <c r="D163" s="376"/>
      <c r="E163" s="376"/>
      <c r="F163" s="376"/>
      <c r="G163" s="376"/>
      <c r="H163" s="376"/>
      <c r="I163" s="376"/>
      <c r="J163" s="376"/>
      <c r="K163" s="376"/>
      <c r="L163" s="376"/>
      <c r="M163" s="376"/>
      <c r="N163" s="376"/>
      <c r="O163" s="376"/>
      <c r="P163" s="376"/>
      <c r="Q163" s="377"/>
    </row>
    <row r="164" spans="1:17" ht="13.5" customHeight="1" x14ac:dyDescent="0.3">
      <c r="A164" s="384"/>
      <c r="B164" s="376"/>
      <c r="C164" s="376"/>
      <c r="D164" s="376"/>
      <c r="E164" s="376"/>
      <c r="F164" s="376"/>
      <c r="G164" s="376"/>
      <c r="H164" s="376"/>
      <c r="I164" s="376"/>
      <c r="J164" s="376"/>
      <c r="K164" s="376"/>
      <c r="L164" s="376"/>
      <c r="M164" s="376"/>
      <c r="N164" s="376"/>
      <c r="O164" s="376"/>
      <c r="P164" s="376"/>
      <c r="Q164" s="377"/>
    </row>
    <row r="165" spans="1:17" ht="13.5" customHeight="1" x14ac:dyDescent="0.3">
      <c r="A165" s="384"/>
      <c r="B165" s="376"/>
      <c r="C165" s="376"/>
      <c r="D165" s="376"/>
      <c r="E165" s="376"/>
      <c r="F165" s="376"/>
      <c r="G165" s="376"/>
      <c r="H165" s="376"/>
      <c r="I165" s="376"/>
      <c r="J165" s="376"/>
      <c r="K165" s="376"/>
      <c r="L165" s="376"/>
      <c r="M165" s="376"/>
      <c r="N165" s="376"/>
      <c r="O165" s="376"/>
      <c r="P165" s="376"/>
      <c r="Q165" s="377"/>
    </row>
    <row r="166" spans="1:17" ht="13.5" customHeight="1" x14ac:dyDescent="0.3">
      <c r="A166" s="384"/>
      <c r="B166" s="376"/>
      <c r="C166" s="376"/>
      <c r="D166" s="376"/>
      <c r="E166" s="376"/>
      <c r="F166" s="376"/>
      <c r="G166" s="376"/>
      <c r="H166" s="376"/>
      <c r="I166" s="376"/>
      <c r="J166" s="376"/>
      <c r="K166" s="376"/>
      <c r="L166" s="376"/>
      <c r="M166" s="376"/>
      <c r="N166" s="376"/>
      <c r="O166" s="376"/>
      <c r="P166" s="376"/>
      <c r="Q166" s="377"/>
    </row>
    <row r="167" spans="1:17" ht="13.5" customHeight="1" x14ac:dyDescent="0.3">
      <c r="A167" s="384"/>
      <c r="B167" s="376"/>
      <c r="C167" s="376"/>
      <c r="D167" s="376"/>
      <c r="E167" s="376"/>
      <c r="F167" s="376"/>
      <c r="G167" s="376"/>
      <c r="H167" s="376"/>
      <c r="I167" s="376"/>
      <c r="J167" s="376"/>
      <c r="K167" s="376"/>
      <c r="L167" s="376"/>
      <c r="M167" s="376"/>
      <c r="N167" s="376"/>
      <c r="O167" s="376"/>
      <c r="P167" s="376"/>
      <c r="Q167" s="377"/>
    </row>
    <row r="168" spans="1:17" ht="13.5" customHeight="1" x14ac:dyDescent="0.3">
      <c r="A168" s="384"/>
      <c r="B168" s="376"/>
      <c r="C168" s="376"/>
      <c r="D168" s="376"/>
      <c r="E168" s="376"/>
      <c r="F168" s="376"/>
      <c r="G168" s="376"/>
      <c r="H168" s="376"/>
      <c r="I168" s="376"/>
      <c r="J168" s="376"/>
      <c r="K168" s="376"/>
      <c r="L168" s="376"/>
      <c r="M168" s="376"/>
      <c r="N168" s="376"/>
      <c r="O168" s="376"/>
      <c r="P168" s="376"/>
      <c r="Q168" s="377"/>
    </row>
    <row r="169" spans="1:17" ht="13.5" customHeight="1" x14ac:dyDescent="0.3">
      <c r="A169" s="384"/>
      <c r="B169" s="376"/>
      <c r="C169" s="376"/>
      <c r="D169" s="376"/>
      <c r="E169" s="376"/>
      <c r="F169" s="376"/>
      <c r="G169" s="376"/>
      <c r="H169" s="376"/>
      <c r="I169" s="376"/>
      <c r="J169" s="376"/>
      <c r="K169" s="376"/>
      <c r="L169" s="376"/>
      <c r="M169" s="376"/>
      <c r="N169" s="376"/>
      <c r="O169" s="376"/>
      <c r="P169" s="376"/>
      <c r="Q169" s="377"/>
    </row>
    <row r="170" spans="1:17" ht="13.5" customHeight="1" x14ac:dyDescent="0.3">
      <c r="A170" s="384"/>
      <c r="B170" s="376"/>
      <c r="C170" s="376"/>
      <c r="D170" s="376"/>
      <c r="E170" s="376"/>
      <c r="F170" s="376"/>
      <c r="G170" s="376"/>
      <c r="H170" s="376"/>
      <c r="I170" s="376"/>
      <c r="J170" s="376"/>
      <c r="K170" s="376"/>
      <c r="L170" s="376"/>
      <c r="M170" s="376"/>
      <c r="N170" s="376"/>
      <c r="O170" s="376"/>
      <c r="P170" s="376"/>
      <c r="Q170" s="377"/>
    </row>
    <row r="171" spans="1:17" ht="13.5" customHeight="1" x14ac:dyDescent="0.3">
      <c r="A171" s="384"/>
      <c r="B171" s="376"/>
      <c r="C171" s="376"/>
      <c r="D171" s="376"/>
      <c r="E171" s="376"/>
      <c r="F171" s="376"/>
      <c r="G171" s="376"/>
      <c r="H171" s="376"/>
      <c r="I171" s="376"/>
      <c r="J171" s="376"/>
      <c r="K171" s="376"/>
      <c r="L171" s="376"/>
      <c r="M171" s="376"/>
      <c r="N171" s="376"/>
      <c r="O171" s="376"/>
      <c r="P171" s="376"/>
      <c r="Q171" s="377"/>
    </row>
    <row r="172" spans="1:17" ht="13.5" customHeight="1" x14ac:dyDescent="0.3">
      <c r="A172" s="384"/>
      <c r="B172" s="376"/>
      <c r="C172" s="376"/>
      <c r="D172" s="376"/>
      <c r="E172" s="376"/>
      <c r="F172" s="376"/>
      <c r="G172" s="376"/>
      <c r="H172" s="376"/>
      <c r="I172" s="376"/>
      <c r="J172" s="376"/>
      <c r="K172" s="376"/>
      <c r="L172" s="376"/>
      <c r="M172" s="376"/>
      <c r="N172" s="376"/>
      <c r="O172" s="376"/>
      <c r="P172" s="376"/>
      <c r="Q172" s="377"/>
    </row>
    <row r="173" spans="1:17" ht="13.5" customHeight="1" x14ac:dyDescent="0.3">
      <c r="A173" s="384"/>
      <c r="B173" s="376"/>
      <c r="C173" s="376"/>
      <c r="D173" s="376"/>
      <c r="E173" s="376"/>
      <c r="F173" s="376"/>
      <c r="G173" s="376"/>
      <c r="H173" s="376"/>
      <c r="I173" s="376"/>
      <c r="J173" s="376"/>
      <c r="K173" s="376"/>
      <c r="L173" s="376"/>
      <c r="M173" s="376"/>
      <c r="N173" s="376"/>
      <c r="O173" s="376"/>
      <c r="P173" s="376"/>
      <c r="Q173" s="377"/>
    </row>
    <row r="174" spans="1:17" ht="13.5" customHeight="1" x14ac:dyDescent="0.3">
      <c r="A174" s="384"/>
      <c r="B174" s="376"/>
      <c r="C174" s="376"/>
      <c r="D174" s="376"/>
      <c r="E174" s="376"/>
      <c r="F174" s="376"/>
      <c r="G174" s="376"/>
      <c r="H174" s="376"/>
      <c r="I174" s="376"/>
      <c r="J174" s="376"/>
      <c r="K174" s="376"/>
      <c r="L174" s="376"/>
      <c r="M174" s="376"/>
      <c r="N174" s="376"/>
      <c r="O174" s="376"/>
      <c r="P174" s="376"/>
      <c r="Q174" s="377"/>
    </row>
    <row r="175" spans="1:17" ht="13.5" customHeight="1" x14ac:dyDescent="0.3">
      <c r="A175" s="384"/>
      <c r="B175" s="376"/>
      <c r="C175" s="376"/>
      <c r="D175" s="376"/>
      <c r="E175" s="376"/>
      <c r="F175" s="376"/>
      <c r="G175" s="376"/>
      <c r="H175" s="376"/>
      <c r="I175" s="376"/>
      <c r="J175" s="376"/>
      <c r="K175" s="376"/>
      <c r="L175" s="376"/>
      <c r="M175" s="376"/>
      <c r="N175" s="376"/>
      <c r="O175" s="376"/>
      <c r="P175" s="376"/>
      <c r="Q175" s="377"/>
    </row>
    <row r="176" spans="1:17" ht="13.5" customHeight="1" x14ac:dyDescent="0.3">
      <c r="A176" s="384"/>
      <c r="B176" s="376"/>
      <c r="C176" s="376"/>
      <c r="D176" s="376"/>
      <c r="E176" s="376"/>
      <c r="F176" s="376"/>
      <c r="G176" s="376"/>
      <c r="H176" s="376"/>
      <c r="I176" s="376"/>
      <c r="J176" s="376"/>
      <c r="K176" s="376"/>
      <c r="L176" s="376"/>
      <c r="M176" s="376"/>
      <c r="N176" s="376"/>
      <c r="O176" s="376"/>
      <c r="P176" s="376"/>
      <c r="Q176" s="377"/>
    </row>
    <row r="177" spans="1:17" ht="13.5" customHeight="1" x14ac:dyDescent="0.3">
      <c r="A177" s="384"/>
      <c r="B177" s="376"/>
      <c r="C177" s="376"/>
      <c r="D177" s="376"/>
      <c r="E177" s="376"/>
      <c r="F177" s="376"/>
      <c r="G177" s="376"/>
      <c r="H177" s="376"/>
      <c r="I177" s="376"/>
      <c r="J177" s="376"/>
      <c r="K177" s="376"/>
      <c r="L177" s="376"/>
      <c r="M177" s="376"/>
      <c r="N177" s="376"/>
      <c r="O177" s="376"/>
      <c r="P177" s="376"/>
      <c r="Q177" s="377"/>
    </row>
    <row r="178" spans="1:17" ht="13.5" customHeight="1" x14ac:dyDescent="0.3">
      <c r="A178" s="384"/>
      <c r="B178" s="376"/>
      <c r="C178" s="376"/>
      <c r="D178" s="376"/>
      <c r="E178" s="376"/>
      <c r="F178" s="376"/>
      <c r="G178" s="376"/>
      <c r="H178" s="376"/>
      <c r="I178" s="376"/>
      <c r="J178" s="376"/>
      <c r="K178" s="376"/>
      <c r="L178" s="376"/>
      <c r="M178" s="376"/>
      <c r="N178" s="376"/>
      <c r="O178" s="376"/>
      <c r="P178" s="376"/>
      <c r="Q178" s="377"/>
    </row>
    <row r="179" spans="1:17" ht="13.5" customHeight="1" x14ac:dyDescent="0.3">
      <c r="A179" s="384"/>
      <c r="B179" s="376"/>
      <c r="C179" s="376"/>
      <c r="D179" s="376"/>
      <c r="E179" s="376"/>
      <c r="F179" s="376"/>
      <c r="G179" s="376"/>
      <c r="H179" s="376"/>
      <c r="I179" s="376"/>
      <c r="J179" s="376"/>
      <c r="K179" s="376"/>
      <c r="L179" s="376"/>
      <c r="M179" s="376"/>
      <c r="N179" s="376"/>
      <c r="O179" s="376"/>
      <c r="P179" s="376"/>
      <c r="Q179" s="377"/>
    </row>
    <row r="180" spans="1:17" ht="13.5" customHeight="1" x14ac:dyDescent="0.3">
      <c r="A180" s="384"/>
      <c r="B180" s="376"/>
      <c r="C180" s="376"/>
      <c r="D180" s="376"/>
      <c r="E180" s="376"/>
      <c r="F180" s="376"/>
      <c r="G180" s="376"/>
      <c r="H180" s="376"/>
      <c r="I180" s="376"/>
      <c r="J180" s="376"/>
      <c r="K180" s="376"/>
      <c r="L180" s="376"/>
      <c r="M180" s="376"/>
      <c r="N180" s="376"/>
      <c r="O180" s="376"/>
      <c r="P180" s="376"/>
      <c r="Q180" s="377"/>
    </row>
    <row r="181" spans="1:17" ht="13.5" customHeight="1" x14ac:dyDescent="0.3">
      <c r="A181" s="384"/>
      <c r="B181" s="376"/>
      <c r="C181" s="376"/>
      <c r="D181" s="376"/>
      <c r="E181" s="376"/>
      <c r="F181" s="376"/>
      <c r="G181" s="376"/>
      <c r="H181" s="376"/>
      <c r="I181" s="376"/>
      <c r="J181" s="376"/>
      <c r="K181" s="376"/>
      <c r="L181" s="376"/>
      <c r="M181" s="376"/>
      <c r="N181" s="376"/>
      <c r="O181" s="376"/>
      <c r="P181" s="376"/>
      <c r="Q181" s="377"/>
    </row>
    <row r="182" spans="1:17" ht="13.5" customHeight="1" x14ac:dyDescent="0.3">
      <c r="A182" s="384"/>
      <c r="B182" s="376"/>
      <c r="C182" s="376"/>
      <c r="D182" s="376"/>
      <c r="E182" s="376"/>
      <c r="F182" s="376"/>
      <c r="G182" s="376"/>
      <c r="H182" s="376"/>
      <c r="I182" s="376"/>
      <c r="J182" s="376"/>
      <c r="K182" s="376"/>
      <c r="L182" s="376"/>
      <c r="M182" s="376"/>
      <c r="N182" s="376"/>
      <c r="O182" s="376"/>
      <c r="P182" s="376"/>
      <c r="Q182" s="377"/>
    </row>
    <row r="183" spans="1:17" ht="13.5" customHeight="1" x14ac:dyDescent="0.3">
      <c r="A183" s="384"/>
      <c r="B183" s="376"/>
      <c r="C183" s="376"/>
      <c r="D183" s="376"/>
      <c r="E183" s="376"/>
      <c r="F183" s="376"/>
      <c r="G183" s="376"/>
      <c r="H183" s="376"/>
      <c r="I183" s="376"/>
      <c r="J183" s="376"/>
      <c r="K183" s="376"/>
      <c r="L183" s="376"/>
      <c r="M183" s="376"/>
      <c r="N183" s="376"/>
      <c r="O183" s="376"/>
      <c r="P183" s="376"/>
      <c r="Q183" s="377"/>
    </row>
    <row r="184" spans="1:17" ht="13.5" customHeight="1" x14ac:dyDescent="0.3">
      <c r="A184" s="384"/>
      <c r="B184" s="376"/>
      <c r="C184" s="376"/>
      <c r="D184" s="376"/>
      <c r="E184" s="376"/>
      <c r="F184" s="376"/>
      <c r="G184" s="376"/>
      <c r="H184" s="376"/>
      <c r="I184" s="376"/>
      <c r="J184" s="376"/>
      <c r="K184" s="376"/>
      <c r="L184" s="376"/>
      <c r="M184" s="376"/>
      <c r="N184" s="376"/>
      <c r="O184" s="376"/>
      <c r="P184" s="376"/>
      <c r="Q184" s="377"/>
    </row>
    <row r="185" spans="1:17" ht="13.5" customHeight="1" x14ac:dyDescent="0.3">
      <c r="A185" s="384"/>
      <c r="B185" s="376"/>
      <c r="C185" s="376"/>
      <c r="D185" s="376"/>
      <c r="E185" s="376"/>
      <c r="F185" s="376"/>
      <c r="G185" s="376"/>
      <c r="H185" s="376"/>
      <c r="I185" s="376"/>
      <c r="J185" s="376"/>
      <c r="K185" s="376"/>
      <c r="L185" s="376"/>
      <c r="M185" s="376"/>
      <c r="N185" s="376"/>
      <c r="O185" s="376"/>
      <c r="P185" s="376"/>
      <c r="Q185" s="377"/>
    </row>
    <row r="186" spans="1:17" ht="13.5" customHeight="1" x14ac:dyDescent="0.3">
      <c r="A186" s="384"/>
      <c r="B186" s="376"/>
      <c r="C186" s="376"/>
      <c r="D186" s="376"/>
      <c r="E186" s="376"/>
      <c r="F186" s="376"/>
      <c r="G186" s="376"/>
      <c r="H186" s="376"/>
      <c r="I186" s="376"/>
      <c r="J186" s="376"/>
      <c r="K186" s="376"/>
      <c r="L186" s="376"/>
      <c r="M186" s="376"/>
      <c r="N186" s="376"/>
      <c r="O186" s="376"/>
      <c r="P186" s="376"/>
      <c r="Q186" s="377"/>
    </row>
    <row r="187" spans="1:17" ht="13.5" customHeight="1" x14ac:dyDescent="0.3">
      <c r="A187" s="384"/>
      <c r="B187" s="376"/>
      <c r="C187" s="376"/>
      <c r="D187" s="376"/>
      <c r="E187" s="376"/>
      <c r="F187" s="376"/>
      <c r="G187" s="376"/>
      <c r="H187" s="376"/>
      <c r="I187" s="376"/>
      <c r="J187" s="376"/>
      <c r="K187" s="376"/>
      <c r="L187" s="376"/>
      <c r="M187" s="376"/>
      <c r="N187" s="376"/>
      <c r="O187" s="376"/>
      <c r="P187" s="376"/>
      <c r="Q187" s="377"/>
    </row>
    <row r="188" spans="1:17" ht="13.5" customHeight="1" x14ac:dyDescent="0.3">
      <c r="A188" s="384"/>
      <c r="B188" s="376"/>
      <c r="C188" s="376"/>
      <c r="D188" s="376"/>
      <c r="E188" s="376"/>
      <c r="F188" s="376"/>
      <c r="G188" s="376"/>
      <c r="H188" s="376"/>
      <c r="I188" s="376"/>
      <c r="J188" s="376"/>
      <c r="K188" s="376"/>
      <c r="L188" s="376"/>
      <c r="M188" s="376"/>
      <c r="N188" s="376"/>
      <c r="O188" s="376"/>
      <c r="P188" s="376"/>
      <c r="Q188" s="377"/>
    </row>
    <row r="189" spans="1:17" ht="13.5" customHeight="1" x14ac:dyDescent="0.3">
      <c r="A189" s="384"/>
      <c r="B189" s="376"/>
      <c r="C189" s="376"/>
      <c r="D189" s="376"/>
      <c r="E189" s="376"/>
      <c r="F189" s="376"/>
      <c r="G189" s="376"/>
      <c r="H189" s="376"/>
      <c r="I189" s="376"/>
      <c r="J189" s="376"/>
      <c r="K189" s="376"/>
      <c r="L189" s="376"/>
      <c r="M189" s="376"/>
      <c r="N189" s="376"/>
      <c r="O189" s="376"/>
      <c r="P189" s="376"/>
      <c r="Q189" s="377"/>
    </row>
    <row r="190" spans="1:17" ht="13.5" customHeight="1" x14ac:dyDescent="0.3">
      <c r="A190" s="384"/>
      <c r="B190" s="376"/>
      <c r="C190" s="376"/>
      <c r="D190" s="376"/>
      <c r="E190" s="376"/>
      <c r="F190" s="376"/>
      <c r="G190" s="376"/>
      <c r="H190" s="376"/>
      <c r="I190" s="376"/>
      <c r="J190" s="376"/>
      <c r="K190" s="376"/>
      <c r="L190" s="376"/>
      <c r="M190" s="376"/>
      <c r="N190" s="376"/>
      <c r="O190" s="376"/>
      <c r="P190" s="376"/>
      <c r="Q190" s="377"/>
    </row>
    <row r="191" spans="1:17" ht="13.5" customHeight="1" x14ac:dyDescent="0.3">
      <c r="A191" s="384"/>
      <c r="B191" s="376"/>
      <c r="C191" s="376"/>
      <c r="D191" s="376"/>
      <c r="E191" s="376"/>
      <c r="F191" s="376"/>
      <c r="G191" s="376"/>
      <c r="H191" s="376"/>
      <c r="I191" s="376"/>
      <c r="J191" s="376"/>
      <c r="K191" s="376"/>
      <c r="L191" s="376"/>
      <c r="M191" s="376"/>
      <c r="N191" s="376"/>
      <c r="O191" s="376"/>
      <c r="P191" s="376"/>
      <c r="Q191" s="377"/>
    </row>
    <row r="192" spans="1:17" ht="13.5" customHeight="1" x14ac:dyDescent="0.3">
      <c r="A192" s="384"/>
      <c r="B192" s="376"/>
      <c r="C192" s="376"/>
      <c r="D192" s="376"/>
      <c r="E192" s="376"/>
      <c r="F192" s="376"/>
      <c r="G192" s="376"/>
      <c r="H192" s="376"/>
      <c r="I192" s="376"/>
      <c r="J192" s="376"/>
      <c r="K192" s="376"/>
      <c r="L192" s="376"/>
      <c r="M192" s="376"/>
      <c r="N192" s="376"/>
      <c r="O192" s="376"/>
      <c r="P192" s="376"/>
      <c r="Q192" s="377"/>
    </row>
    <row r="193" spans="1:17" ht="13.5" customHeight="1" x14ac:dyDescent="0.3">
      <c r="A193" s="384"/>
      <c r="B193" s="376"/>
      <c r="C193" s="376"/>
      <c r="D193" s="376"/>
      <c r="E193" s="376"/>
      <c r="F193" s="376"/>
      <c r="G193" s="376"/>
      <c r="H193" s="376"/>
      <c r="I193" s="376"/>
      <c r="J193" s="376"/>
      <c r="K193" s="376"/>
      <c r="L193" s="376"/>
      <c r="M193" s="376"/>
      <c r="N193" s="376"/>
      <c r="O193" s="376"/>
      <c r="P193" s="376"/>
      <c r="Q193" s="377"/>
    </row>
    <row r="194" spans="1:17" ht="13.5" customHeight="1" x14ac:dyDescent="0.3">
      <c r="A194" s="384"/>
      <c r="B194" s="376"/>
      <c r="C194" s="376"/>
      <c r="D194" s="376"/>
      <c r="E194" s="376"/>
      <c r="F194" s="376"/>
      <c r="G194" s="376"/>
      <c r="H194" s="376"/>
      <c r="I194" s="376"/>
      <c r="J194" s="376"/>
      <c r="K194" s="376"/>
      <c r="L194" s="376"/>
      <c r="M194" s="376"/>
      <c r="N194" s="376"/>
      <c r="O194" s="376"/>
      <c r="P194" s="376"/>
      <c r="Q194" s="377"/>
    </row>
    <row r="195" spans="1:17" ht="13.5" customHeight="1" x14ac:dyDescent="0.3">
      <c r="A195" s="384"/>
      <c r="B195" s="376"/>
      <c r="C195" s="376"/>
      <c r="D195" s="376"/>
      <c r="E195" s="376"/>
      <c r="F195" s="376"/>
      <c r="G195" s="376"/>
      <c r="H195" s="376"/>
      <c r="I195" s="376"/>
      <c r="J195" s="376"/>
      <c r="K195" s="376"/>
      <c r="L195" s="376"/>
      <c r="M195" s="376"/>
      <c r="N195" s="376"/>
      <c r="O195" s="376"/>
      <c r="P195" s="376"/>
      <c r="Q195" s="377"/>
    </row>
    <row r="196" spans="1:17" ht="13.5" customHeight="1" x14ac:dyDescent="0.3">
      <c r="A196" s="384"/>
      <c r="B196" s="376"/>
      <c r="C196" s="376"/>
      <c r="D196" s="376"/>
      <c r="E196" s="376"/>
      <c r="F196" s="376"/>
      <c r="G196" s="376"/>
      <c r="H196" s="376"/>
      <c r="I196" s="376"/>
      <c r="J196" s="376"/>
      <c r="K196" s="376"/>
      <c r="L196" s="376"/>
      <c r="M196" s="376"/>
      <c r="N196" s="376"/>
      <c r="O196" s="376"/>
      <c r="P196" s="376"/>
      <c r="Q196" s="377"/>
    </row>
    <row r="197" spans="1:17" ht="13.5" customHeight="1" x14ac:dyDescent="0.3">
      <c r="A197" s="384"/>
      <c r="B197" s="376"/>
      <c r="C197" s="376"/>
      <c r="D197" s="376"/>
      <c r="E197" s="376"/>
      <c r="F197" s="376"/>
      <c r="G197" s="376"/>
      <c r="H197" s="376"/>
      <c r="I197" s="376"/>
      <c r="J197" s="376"/>
      <c r="K197" s="376"/>
      <c r="L197" s="376"/>
      <c r="M197" s="376"/>
      <c r="N197" s="376"/>
      <c r="O197" s="376"/>
      <c r="P197" s="376"/>
      <c r="Q197" s="377"/>
    </row>
    <row r="198" spans="1:17" ht="13.5" customHeight="1" x14ac:dyDescent="0.3">
      <c r="A198" s="384"/>
      <c r="B198" s="376"/>
      <c r="C198" s="376"/>
      <c r="D198" s="376"/>
      <c r="E198" s="376"/>
      <c r="F198" s="376"/>
      <c r="G198" s="376"/>
      <c r="H198" s="376"/>
      <c r="I198" s="376"/>
      <c r="J198" s="376"/>
      <c r="K198" s="376"/>
      <c r="L198" s="376"/>
      <c r="M198" s="376"/>
      <c r="N198" s="376"/>
      <c r="O198" s="376"/>
      <c r="P198" s="376"/>
      <c r="Q198" s="377"/>
    </row>
    <row r="199" spans="1:17" ht="13.5" customHeight="1" x14ac:dyDescent="0.3">
      <c r="A199" s="384"/>
      <c r="B199" s="376"/>
      <c r="C199" s="376"/>
      <c r="D199" s="376"/>
      <c r="E199" s="376"/>
      <c r="F199" s="376"/>
      <c r="G199" s="376"/>
      <c r="H199" s="376"/>
      <c r="I199" s="376"/>
      <c r="J199" s="376"/>
      <c r="K199" s="376"/>
      <c r="L199" s="376"/>
      <c r="M199" s="376"/>
      <c r="N199" s="376"/>
      <c r="O199" s="376"/>
      <c r="P199" s="376"/>
      <c r="Q199" s="377"/>
    </row>
    <row r="200" spans="1:17" ht="13.5" customHeight="1" x14ac:dyDescent="0.3">
      <c r="A200" s="384"/>
      <c r="B200" s="376"/>
      <c r="C200" s="376"/>
      <c r="D200" s="376"/>
      <c r="E200" s="376"/>
      <c r="F200" s="376"/>
      <c r="G200" s="376"/>
      <c r="H200" s="376"/>
      <c r="I200" s="376"/>
      <c r="J200" s="376"/>
      <c r="K200" s="376"/>
      <c r="L200" s="376"/>
      <c r="M200" s="376"/>
      <c r="N200" s="376"/>
      <c r="O200" s="376"/>
      <c r="P200" s="376"/>
      <c r="Q200" s="377"/>
    </row>
    <row r="201" spans="1:17" ht="13.5" customHeight="1" x14ac:dyDescent="0.3">
      <c r="A201" s="384"/>
      <c r="B201" s="376"/>
      <c r="C201" s="376"/>
      <c r="D201" s="376"/>
      <c r="E201" s="376"/>
      <c r="F201" s="376"/>
      <c r="G201" s="376"/>
      <c r="H201" s="376"/>
      <c r="I201" s="376"/>
      <c r="J201" s="376"/>
      <c r="K201" s="376"/>
      <c r="L201" s="376"/>
      <c r="M201" s="376"/>
      <c r="N201" s="376"/>
      <c r="O201" s="376"/>
      <c r="P201" s="376"/>
      <c r="Q201" s="377"/>
    </row>
    <row r="202" spans="1:17" ht="13.5" customHeight="1" x14ac:dyDescent="0.3">
      <c r="A202" s="384"/>
      <c r="B202" s="376"/>
      <c r="C202" s="376"/>
      <c r="D202" s="376"/>
      <c r="E202" s="376"/>
      <c r="F202" s="376"/>
      <c r="G202" s="376"/>
      <c r="H202" s="376"/>
      <c r="I202" s="376"/>
      <c r="J202" s="376"/>
      <c r="K202" s="376"/>
      <c r="L202" s="376"/>
      <c r="M202" s="376"/>
      <c r="N202" s="376"/>
      <c r="O202" s="376"/>
      <c r="P202" s="376"/>
      <c r="Q202" s="377"/>
    </row>
    <row r="203" spans="1:17" ht="13.5" customHeight="1" x14ac:dyDescent="0.3">
      <c r="A203" s="384"/>
      <c r="B203" s="376"/>
      <c r="C203" s="376"/>
      <c r="D203" s="376"/>
      <c r="E203" s="376"/>
      <c r="F203" s="376"/>
      <c r="G203" s="376"/>
      <c r="H203" s="376"/>
      <c r="I203" s="376"/>
      <c r="J203" s="376"/>
      <c r="K203" s="376"/>
      <c r="L203" s="376"/>
      <c r="M203" s="376"/>
      <c r="N203" s="376"/>
      <c r="O203" s="376"/>
      <c r="P203" s="376"/>
      <c r="Q203" s="377"/>
    </row>
    <row r="204" spans="1:17" ht="13.5" customHeight="1" x14ac:dyDescent="0.3">
      <c r="A204" s="384"/>
      <c r="B204" s="376"/>
      <c r="C204" s="376"/>
      <c r="D204" s="376"/>
      <c r="E204" s="376"/>
      <c r="F204" s="376"/>
      <c r="G204" s="376"/>
      <c r="H204" s="376"/>
      <c r="I204" s="376"/>
      <c r="J204" s="376"/>
      <c r="K204" s="376"/>
      <c r="L204" s="376"/>
      <c r="M204" s="376"/>
      <c r="N204" s="376"/>
      <c r="O204" s="376"/>
      <c r="P204" s="376"/>
      <c r="Q204" s="377"/>
    </row>
    <row r="205" spans="1:17" ht="13.5" customHeight="1" x14ac:dyDescent="0.3">
      <c r="A205" s="384"/>
      <c r="B205" s="376"/>
      <c r="C205" s="376"/>
      <c r="D205" s="376"/>
      <c r="E205" s="376"/>
      <c r="F205" s="376"/>
      <c r="G205" s="376"/>
      <c r="H205" s="376"/>
      <c r="I205" s="376"/>
      <c r="J205" s="376"/>
      <c r="K205" s="376"/>
      <c r="L205" s="376"/>
      <c r="M205" s="376"/>
      <c r="N205" s="376"/>
      <c r="O205" s="376"/>
      <c r="P205" s="376"/>
      <c r="Q205" s="377"/>
    </row>
    <row r="206" spans="1:17" ht="13.5" customHeight="1" x14ac:dyDescent="0.3">
      <c r="A206" s="385"/>
      <c r="B206" s="378"/>
      <c r="C206" s="378"/>
      <c r="D206" s="378"/>
      <c r="E206" s="378"/>
      <c r="F206" s="378"/>
      <c r="G206" s="378"/>
      <c r="H206" s="378"/>
      <c r="I206" s="378"/>
      <c r="J206" s="378"/>
      <c r="K206" s="376"/>
      <c r="L206" s="378"/>
      <c r="M206" s="378"/>
      <c r="N206" s="378"/>
      <c r="O206" s="378"/>
      <c r="P206" s="378"/>
      <c r="Q206" s="379"/>
    </row>
  </sheetData>
  <mergeCells count="11">
    <mergeCell ref="L4:Q4"/>
    <mergeCell ref="L5:N5"/>
    <mergeCell ref="O5:Q5"/>
    <mergeCell ref="J4:K5"/>
    <mergeCell ref="H4:I5"/>
    <mergeCell ref="F4:G4"/>
    <mergeCell ref="B4:B6"/>
    <mergeCell ref="A4:A6"/>
    <mergeCell ref="C4:C6"/>
    <mergeCell ref="D4:D6"/>
    <mergeCell ref="E4:E6"/>
  </mergeCells>
  <conditionalFormatting sqref="B1">
    <cfRule type="cellIs" dxfId="54" priority="1" operator="equal">
      <formula>"Fail"</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9533B-DB74-4C9B-B62E-A45C8587F07A}">
  <sheetPr codeName="PileSection">
    <tabColor theme="0" tint="-0.34998626667073579"/>
  </sheetPr>
  <dimension ref="A1:BH374"/>
  <sheetViews>
    <sheetView workbookViewId="0"/>
  </sheetViews>
  <sheetFormatPr defaultColWidth="8.6640625" defaultRowHeight="13.8" x14ac:dyDescent="0.3"/>
  <cols>
    <col min="1" max="1" width="33.109375" style="164" bestFit="1" customWidth="1"/>
    <col min="2" max="14" width="10.5546875" style="164" customWidth="1"/>
    <col min="15" max="15" width="16.5546875" style="164" customWidth="1"/>
    <col min="16" max="16" width="11.109375" style="164" customWidth="1"/>
    <col min="17" max="17" width="10.5546875" style="164" customWidth="1"/>
    <col min="18" max="18" width="9.5546875" style="164" customWidth="1"/>
    <col min="19" max="23" width="8.6640625" style="164" customWidth="1"/>
    <col min="24" max="24" width="11.5546875" style="164" customWidth="1"/>
    <col min="25" max="25" width="8.6640625" style="164" customWidth="1"/>
    <col min="26" max="26" width="11.44140625" style="164" customWidth="1"/>
    <col min="27" max="29" width="8.6640625" style="164" customWidth="1"/>
    <col min="30" max="31" width="9.5546875" style="164" customWidth="1"/>
    <col min="32" max="32" width="8.6640625" style="164" customWidth="1"/>
    <col min="33" max="33" width="22.44140625" style="164" customWidth="1"/>
    <col min="34" max="34" width="16.5546875" style="164" customWidth="1"/>
    <col min="35" max="36" width="16.5546875" style="167" customWidth="1"/>
    <col min="37" max="37" width="14.44140625" style="164" customWidth="1"/>
    <col min="38" max="38" width="12.33203125" style="164" customWidth="1"/>
    <col min="39" max="40" width="18.33203125" style="167" customWidth="1"/>
    <col min="41" max="43" width="18.33203125" style="164" customWidth="1"/>
    <col min="44" max="45" width="18.33203125" style="167" customWidth="1"/>
    <col min="46" max="48" width="25.5546875" style="164" customWidth="1"/>
    <col min="49" max="51" width="26.5546875" style="164" customWidth="1"/>
    <col min="52" max="52" width="21" style="164" bestFit="1" customWidth="1"/>
    <col min="53" max="53" width="22.33203125" style="164" bestFit="1" customWidth="1"/>
    <col min="54" max="54" width="11.33203125" style="164" bestFit="1" customWidth="1"/>
    <col min="55" max="55" width="9" style="164" bestFit="1" customWidth="1"/>
    <col min="56" max="56" width="8.6640625" style="164"/>
    <col min="57" max="57" width="10" style="164" bestFit="1" customWidth="1"/>
    <col min="58" max="60" width="9" style="164" bestFit="1" customWidth="1"/>
    <col min="61" max="16384" width="8.6640625" style="164"/>
  </cols>
  <sheetData>
    <row r="1" spans="1:52" x14ac:dyDescent="0.3">
      <c r="A1" s="164" t="s">
        <v>40</v>
      </c>
      <c r="B1" s="165">
        <f>Dashboard!F7/1000</f>
        <v>0</v>
      </c>
      <c r="C1" s="166"/>
    </row>
    <row r="2" spans="1:52" x14ac:dyDescent="0.3">
      <c r="A2" s="164" t="s">
        <v>41</v>
      </c>
      <c r="B2" s="164">
        <v>0</v>
      </c>
    </row>
    <row r="3" spans="1:52" x14ac:dyDescent="0.3">
      <c r="A3" s="164" t="s">
        <v>42</v>
      </c>
      <c r="B3" s="168">
        <f>Dashboard!F10/1000</f>
        <v>0.04</v>
      </c>
      <c r="F3" s="164">
        <f>2*((1/12)*E90*C90^3)</f>
        <v>1.5879318033333329</v>
      </c>
      <c r="G3" s="164">
        <f>(1/12)*(B90-2*E90)*D90^3</f>
        <v>1.1215209375000001E-3</v>
      </c>
      <c r="H3" s="164">
        <f>4*((AX90^2-PI()*AX90^2/4)*(D90/2+(AX90-(AX90/(6-3*PI()/2))))^2)</f>
        <v>1.5272666631038331E-3</v>
      </c>
      <c r="I3" s="164">
        <f>2*((1/12)*E90*C90^3)+(1/12)*(B90-2*E90)*D90^3+4*((AX90^2-PI()*AX90^2/4)*(D90/2+(AX90-(AX90/(6-3*PI()/2))))^2)</f>
        <v>1.5905805909339368</v>
      </c>
      <c r="J3" s="164">
        <f>H90/(B90/2)</f>
        <v>4.2568599775071387</v>
      </c>
      <c r="K3" s="164">
        <f>(F90/2)*(B90/2-((C90*E90*(E90/2)+E90*(B90/2-E90))/(C90*E90+D90*(B90/2-E90))))*2</f>
        <v>4.977284310002263</v>
      </c>
      <c r="L3" s="164">
        <f>(((C90*E90*(E90/2))+(D90*(B90/2-E90)*(((B90/2-E90))/2))+((2*(AX90^2-PI()*AX90^2/4))*(E90+(AX90-AX90/(6-3*PI()/2))))/(F90/2)))</f>
        <v>0.56396577967694661</v>
      </c>
      <c r="M3" s="164">
        <f>(F90)*(B90/2-((C90*E90*(E90/2))+(D90*(B90/2-E90)*(((E90+B90/2-E90))/2))/(F90/2)))</f>
        <v>4.8202767449999993</v>
      </c>
      <c r="N3" s="164">
        <f>(F90)*(B90/2-((C90*E90*(E90/2))+(D90*(B90/2-E90)*(((B90/2-E90))/2))/(F90/2)))</f>
        <v>4.8793527449999994</v>
      </c>
    </row>
    <row r="4" spans="1:52" ht="29.25" customHeight="1" x14ac:dyDescent="0.3">
      <c r="A4" s="164" t="s">
        <v>43</v>
      </c>
      <c r="B4" s="164">
        <f>Dashboard!F13</f>
        <v>29000</v>
      </c>
      <c r="C4" s="164" t="s">
        <v>44</v>
      </c>
      <c r="F4" s="168">
        <f>F90</f>
        <v>2.0699999999999998</v>
      </c>
      <c r="G4" s="164">
        <f>(B90/2)</f>
        <v>2.895</v>
      </c>
      <c r="H4" s="164">
        <f>(C90*E90*(E90/2))</f>
        <v>4.9984000000000001E-2</v>
      </c>
      <c r="I4" s="164">
        <f>(D90*(B90/2-E90)*(E90+(B90/2-E90)/2))</f>
        <v>0.56399118749999999</v>
      </c>
      <c r="J4" s="164">
        <f>(2*(AX90^2-PI()*AX90^2/4)*(E90+(AX90-AX90/(6-3*PI()/2))))</f>
        <v>9.3839229031397967E-3</v>
      </c>
      <c r="K4" s="164">
        <f>(F90/2)</f>
        <v>1.0349999999999999</v>
      </c>
      <c r="L4" s="164">
        <f>F90*((B90/2)-((C90*E90*(E90/2))+(D90*(B90/2-E90)*(E90+(B90/2-E90)/2))+(2*(AX90^2-PI()*AX90^2/4)*(E90+(AX90-AX90/(6-3*PI()/2)))))/(F90/2))</f>
        <v>4.7459317791937199</v>
      </c>
      <c r="R4" s="453" t="s">
        <v>45</v>
      </c>
      <c r="S4" s="453" t="s">
        <v>46</v>
      </c>
      <c r="T4" s="453" t="s">
        <v>47</v>
      </c>
      <c r="U4" s="453" t="s">
        <v>48</v>
      </c>
      <c r="V4" s="453" t="s">
        <v>49</v>
      </c>
      <c r="X4" s="453" t="s">
        <v>50</v>
      </c>
      <c r="Z4" s="453" t="s">
        <v>51</v>
      </c>
      <c r="AB4" s="452" t="s">
        <v>52</v>
      </c>
      <c r="AC4" s="452"/>
      <c r="AD4" s="452" t="s">
        <v>47</v>
      </c>
      <c r="AE4" s="452"/>
      <c r="AF4" s="453" t="s">
        <v>53</v>
      </c>
      <c r="AG4" s="452" t="s">
        <v>54</v>
      </c>
      <c r="AH4" s="452"/>
      <c r="AI4" s="452"/>
      <c r="AJ4" s="452"/>
      <c r="AK4" s="452" t="s">
        <v>55</v>
      </c>
      <c r="AL4" s="452"/>
      <c r="AM4" s="452"/>
      <c r="AN4" s="452"/>
      <c r="AO4" s="452" t="s">
        <v>56</v>
      </c>
      <c r="AP4" s="452"/>
      <c r="AQ4" s="452"/>
      <c r="AR4" s="452"/>
      <c r="AS4" s="452"/>
    </row>
    <row r="5" spans="1:52" x14ac:dyDescent="0.3">
      <c r="A5" s="164" t="s">
        <v>57</v>
      </c>
      <c r="B5" s="164">
        <f>Dashboard!F8</f>
        <v>7.125</v>
      </c>
      <c r="C5" s="164" t="s">
        <v>58</v>
      </c>
      <c r="R5" s="453"/>
      <c r="S5" s="453"/>
      <c r="T5" s="453"/>
      <c r="U5" s="453"/>
      <c r="V5" s="453"/>
      <c r="X5" s="453"/>
      <c r="Z5" s="453"/>
      <c r="AB5" s="452"/>
      <c r="AC5" s="452"/>
      <c r="AD5" s="452"/>
      <c r="AE5" s="452"/>
      <c r="AF5" s="453"/>
      <c r="AG5" s="452"/>
      <c r="AH5" s="452"/>
      <c r="AI5" s="452"/>
      <c r="AJ5" s="452"/>
      <c r="AK5" s="452"/>
      <c r="AL5" s="452"/>
      <c r="AM5" s="452"/>
      <c r="AN5" s="452"/>
      <c r="AO5" s="452"/>
      <c r="AP5" s="452"/>
      <c r="AQ5" s="452"/>
      <c r="AR5" s="452"/>
      <c r="AS5" s="452"/>
    </row>
    <row r="6" spans="1:52" x14ac:dyDescent="0.3">
      <c r="A6" s="164" t="s">
        <v>59</v>
      </c>
      <c r="B6" s="169">
        <f>Dashboard!F12</f>
        <v>2.1</v>
      </c>
      <c r="R6" s="453"/>
      <c r="S6" s="453"/>
      <c r="T6" s="453"/>
      <c r="U6" s="453"/>
      <c r="V6" s="453"/>
      <c r="X6" s="453"/>
      <c r="Z6" s="453"/>
      <c r="AB6" s="452"/>
      <c r="AC6" s="452"/>
      <c r="AD6" s="452"/>
      <c r="AE6" s="452"/>
      <c r="AF6" s="453"/>
      <c r="AG6" s="452"/>
      <c r="AH6" s="452"/>
      <c r="AI6" s="452"/>
      <c r="AJ6" s="452"/>
      <c r="AK6" s="452"/>
      <c r="AL6" s="452"/>
      <c r="AM6" s="452"/>
      <c r="AN6" s="452"/>
      <c r="AO6" s="452"/>
      <c r="AP6" s="452"/>
      <c r="AQ6" s="452"/>
      <c r="AR6" s="452"/>
      <c r="AS6" s="452"/>
    </row>
    <row r="7" spans="1:52" ht="14.4" thickBot="1" x14ac:dyDescent="0.35">
      <c r="A7" s="164">
        <v>1</v>
      </c>
      <c r="B7" s="164">
        <f>A7+1</f>
        <v>2</v>
      </c>
      <c r="C7" s="164">
        <f t="shared" ref="C7:Z7" si="0">B7+1</f>
        <v>3</v>
      </c>
      <c r="D7" s="164">
        <f t="shared" si="0"/>
        <v>4</v>
      </c>
      <c r="E7" s="164">
        <f t="shared" si="0"/>
        <v>5</v>
      </c>
      <c r="F7" s="164">
        <f t="shared" si="0"/>
        <v>6</v>
      </c>
      <c r="G7" s="164">
        <f t="shared" si="0"/>
        <v>7</v>
      </c>
      <c r="H7" s="164">
        <f t="shared" si="0"/>
        <v>8</v>
      </c>
      <c r="I7" s="164">
        <f t="shared" si="0"/>
        <v>9</v>
      </c>
      <c r="J7" s="164">
        <f t="shared" si="0"/>
        <v>10</v>
      </c>
      <c r="K7" s="164">
        <f t="shared" si="0"/>
        <v>11</v>
      </c>
      <c r="L7" s="164">
        <f t="shared" si="0"/>
        <v>12</v>
      </c>
      <c r="M7" s="164">
        <f t="shared" si="0"/>
        <v>13</v>
      </c>
      <c r="N7" s="164">
        <f t="shared" si="0"/>
        <v>14</v>
      </c>
      <c r="O7" s="164">
        <f t="shared" si="0"/>
        <v>15</v>
      </c>
      <c r="P7" s="164">
        <f t="shared" si="0"/>
        <v>16</v>
      </c>
      <c r="Q7" s="164">
        <f t="shared" si="0"/>
        <v>17</v>
      </c>
      <c r="R7" s="164">
        <f t="shared" si="0"/>
        <v>18</v>
      </c>
      <c r="S7" s="164">
        <f t="shared" si="0"/>
        <v>19</v>
      </c>
      <c r="T7" s="164">
        <f t="shared" si="0"/>
        <v>20</v>
      </c>
      <c r="U7" s="164">
        <f t="shared" si="0"/>
        <v>21</v>
      </c>
      <c r="V7" s="164">
        <f t="shared" si="0"/>
        <v>22</v>
      </c>
      <c r="W7" s="164">
        <f t="shared" si="0"/>
        <v>23</v>
      </c>
      <c r="X7" s="164">
        <f t="shared" si="0"/>
        <v>24</v>
      </c>
      <c r="Y7" s="164">
        <f t="shared" si="0"/>
        <v>25</v>
      </c>
      <c r="Z7" s="164">
        <f t="shared" si="0"/>
        <v>26</v>
      </c>
      <c r="AA7" s="164">
        <f t="shared" ref="AA7:AY7" si="1">Z7+1</f>
        <v>27</v>
      </c>
      <c r="AB7" s="164">
        <f t="shared" si="1"/>
        <v>28</v>
      </c>
      <c r="AC7" s="164">
        <f t="shared" si="1"/>
        <v>29</v>
      </c>
      <c r="AD7" s="164">
        <f t="shared" si="1"/>
        <v>30</v>
      </c>
      <c r="AE7" s="164">
        <f t="shared" si="1"/>
        <v>31</v>
      </c>
      <c r="AF7" s="164">
        <f t="shared" si="1"/>
        <v>32</v>
      </c>
      <c r="AG7" s="164">
        <f t="shared" si="1"/>
        <v>33</v>
      </c>
      <c r="AH7" s="164">
        <f t="shared" si="1"/>
        <v>34</v>
      </c>
      <c r="AI7" s="164">
        <f t="shared" si="1"/>
        <v>35</v>
      </c>
      <c r="AJ7" s="164">
        <f t="shared" si="1"/>
        <v>36</v>
      </c>
      <c r="AK7" s="164">
        <f t="shared" si="1"/>
        <v>37</v>
      </c>
      <c r="AL7" s="164">
        <f t="shared" si="1"/>
        <v>38</v>
      </c>
      <c r="AM7" s="164">
        <f t="shared" si="1"/>
        <v>39</v>
      </c>
      <c r="AN7" s="164">
        <f t="shared" si="1"/>
        <v>40</v>
      </c>
      <c r="AO7" s="164">
        <f t="shared" si="1"/>
        <v>41</v>
      </c>
      <c r="AP7" s="164">
        <f t="shared" si="1"/>
        <v>42</v>
      </c>
      <c r="AQ7" s="164">
        <f t="shared" si="1"/>
        <v>43</v>
      </c>
      <c r="AR7" s="164">
        <f t="shared" si="1"/>
        <v>44</v>
      </c>
      <c r="AS7" s="164">
        <f t="shared" si="1"/>
        <v>45</v>
      </c>
      <c r="AT7" s="164">
        <f t="shared" si="1"/>
        <v>46</v>
      </c>
      <c r="AU7" s="164">
        <f t="shared" si="1"/>
        <v>47</v>
      </c>
      <c r="AV7" s="164">
        <f t="shared" si="1"/>
        <v>48</v>
      </c>
      <c r="AW7" s="164">
        <f t="shared" si="1"/>
        <v>49</v>
      </c>
      <c r="AX7" s="164">
        <f t="shared" si="1"/>
        <v>50</v>
      </c>
      <c r="AY7" s="164">
        <f t="shared" si="1"/>
        <v>51</v>
      </c>
    </row>
    <row r="8" spans="1:52" ht="15.6" thickBot="1" x14ac:dyDescent="0.35">
      <c r="A8" s="170" t="s">
        <v>60</v>
      </c>
      <c r="B8" s="171" t="s">
        <v>61</v>
      </c>
      <c r="C8" s="171" t="s">
        <v>62</v>
      </c>
      <c r="D8" s="171" t="s">
        <v>63</v>
      </c>
      <c r="E8" s="171" t="s">
        <v>64</v>
      </c>
      <c r="F8" s="171" t="s">
        <v>65</v>
      </c>
      <c r="G8" s="171" t="s">
        <v>66</v>
      </c>
      <c r="H8" s="171" t="s">
        <v>67</v>
      </c>
      <c r="I8" s="171" t="s">
        <v>68</v>
      </c>
      <c r="J8" s="171" t="s">
        <v>69</v>
      </c>
      <c r="K8" s="171" t="s">
        <v>70</v>
      </c>
      <c r="L8" s="171" t="s">
        <v>71</v>
      </c>
      <c r="M8" s="171" t="s">
        <v>72</v>
      </c>
      <c r="N8" s="171" t="s">
        <v>73</v>
      </c>
      <c r="O8" s="171" t="s">
        <v>1138</v>
      </c>
      <c r="P8" s="171" t="s">
        <v>74</v>
      </c>
      <c r="Q8" s="171" t="s">
        <v>1139</v>
      </c>
      <c r="R8" s="171" t="s">
        <v>1140</v>
      </c>
      <c r="S8" s="171" t="s">
        <v>1141</v>
      </c>
      <c r="T8" s="171" t="s">
        <v>1142</v>
      </c>
      <c r="U8" s="171" t="s">
        <v>78</v>
      </c>
      <c r="V8" s="171" t="s">
        <v>79</v>
      </c>
      <c r="W8" s="171" t="s">
        <v>80</v>
      </c>
      <c r="X8" s="171" t="s">
        <v>81</v>
      </c>
      <c r="Y8" s="171" t="s">
        <v>82</v>
      </c>
      <c r="Z8" s="171" t="s">
        <v>83</v>
      </c>
      <c r="AA8" s="171" t="s">
        <v>84</v>
      </c>
      <c r="AB8" s="171" t="s">
        <v>85</v>
      </c>
      <c r="AC8" s="171" t="s">
        <v>86</v>
      </c>
      <c r="AD8" s="171" t="s">
        <v>87</v>
      </c>
      <c r="AE8" s="171" t="s">
        <v>88</v>
      </c>
      <c r="AF8" s="170" t="s">
        <v>89</v>
      </c>
      <c r="AG8" s="171" t="s">
        <v>90</v>
      </c>
      <c r="AH8" s="172" t="s">
        <v>91</v>
      </c>
      <c r="AI8" s="173" t="s">
        <v>92</v>
      </c>
      <c r="AJ8" s="174" t="s">
        <v>93</v>
      </c>
      <c r="AK8" s="170" t="s">
        <v>94</v>
      </c>
      <c r="AL8" s="172" t="s">
        <v>95</v>
      </c>
      <c r="AM8" s="173" t="s">
        <v>96</v>
      </c>
      <c r="AN8" s="174" t="s">
        <v>97</v>
      </c>
      <c r="AO8" s="170" t="s">
        <v>98</v>
      </c>
      <c r="AP8" s="171" t="s">
        <v>99</v>
      </c>
      <c r="AQ8" s="172" t="s">
        <v>100</v>
      </c>
      <c r="AR8" s="173" t="s">
        <v>101</v>
      </c>
      <c r="AS8" s="174" t="s">
        <v>102</v>
      </c>
      <c r="AT8" s="170" t="s">
        <v>103</v>
      </c>
      <c r="AU8" s="171" t="s">
        <v>104</v>
      </c>
      <c r="AV8" s="175" t="s">
        <v>105</v>
      </c>
      <c r="AW8" s="176" t="s">
        <v>106</v>
      </c>
      <c r="AX8" s="177" t="s">
        <v>618</v>
      </c>
      <c r="AY8" s="177" t="s">
        <v>619</v>
      </c>
      <c r="AZ8" s="178"/>
    </row>
    <row r="9" spans="1:52" x14ac:dyDescent="0.3">
      <c r="A9" s="179" t="s">
        <v>107</v>
      </c>
      <c r="B9" s="180">
        <v>5.2359999999999998</v>
      </c>
      <c r="C9" s="180">
        <v>5.5119999999999996</v>
      </c>
      <c r="D9" s="180">
        <v>0.217</v>
      </c>
      <c r="E9" s="180">
        <v>0.33500000000000002</v>
      </c>
      <c r="F9" s="181">
        <v>4.867</v>
      </c>
      <c r="G9" s="180"/>
      <c r="H9" s="180">
        <v>24.818000000000001</v>
      </c>
      <c r="I9" s="180">
        <v>9.3460000000000001</v>
      </c>
      <c r="J9" s="181">
        <f>Table_03[[#This Row],[Width w (in)]]*Table_03[[#This Row],[Flange Thickness tf (in)]]*(Table_03[[#This Row],[Depth h (in)]]-Table_03[[#This Row],[Flange Thickness tf (in)]])+0.25*Table_03[[#This Row],[Web Thickness tw (in)]]*(Table_03[[#This Row],[Depth h (in)]]-2*Table_03[[#This Row],[Flange Thickness tf (in)]])^2</f>
        <v>10.180817832999999</v>
      </c>
      <c r="K9" s="181">
        <f>(Table_03[[#This Row],[Width w (in)]]^2*Table_03[[#This Row],[Flange Thickness tf (in)]])/2+0.25*Table_03[[#This Row],[Web Thickness tw (in)]]^2*(Table_03[[#This Row],[Depth h (in)]]-2*Table_03[[#This Row],[Flange Thickness tf (in)]])</f>
        <v>5.1427612135</v>
      </c>
      <c r="L9" s="181">
        <v>9.4830000000000005</v>
      </c>
      <c r="M9" s="181">
        <v>3.3940000000000001</v>
      </c>
      <c r="N9" s="182">
        <v>50</v>
      </c>
      <c r="O9" s="181">
        <f>SQRT(Table_03[[#This Row],[Static Parameters Moment of Inertia Ix (in4)]]/Table_03[[#This Row],[Sectional Area (in2)]])</f>
        <v>2.258149635896034</v>
      </c>
      <c r="P9" s="181">
        <f>SQRT(Table_03[[#This Row],[Static Parameters Moment of Inertia Iy (in4)]]/Table_03[[#This Row],[Sectional Area (in2)]])</f>
        <v>1.3857414740547942</v>
      </c>
      <c r="Q9" s="181">
        <f>($B$6*$B$5*12)/Table_03[[#This Row],[ry (in)2]]</f>
        <v>129.56962273390133</v>
      </c>
      <c r="R9" s="181">
        <f>(PI()^2*$B$4)/(Table_03[[#This Row],[KL/ry]]^2)</f>
        <v>17.048703380106787</v>
      </c>
      <c r="S9" s="181">
        <f>IF(Table_03[[#This Row],[Strength (ksi)]]/Table_03[[#This Row],[Fe,y]]&lt;2.25,(0.658^(Table_03[[#This Row],[Strength (ksi)]]/Table_03[[#This Row],[Fe,y]])*Table_03[[#This Row],[Strength (ksi)]]),0.877*Table_03[[#This Row],[Fe,y]])</f>
        <v>14.951712864353652</v>
      </c>
      <c r="T9" s="181">
        <f>Table_03[[#This Row],[Fcr,y]]*Table_03[[#This Row],[Sectional Area (in2)]]</f>
        <v>72.769986510809233</v>
      </c>
      <c r="U9" s="181">
        <f>1.76*Table_03[[#This Row],[ry (in)2]]*SQRT($B$4/Table_03[[#This Row],[Strength (ksi)]])/12</f>
        <v>4.8947175263318501</v>
      </c>
      <c r="V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18.557903192934528</v>
      </c>
      <c r="W9" s="181">
        <f>Table_03[[#This Row],[Depth h (in)]]-Table_03[[#This Row],[Flange Thickness tf (in)]]</f>
        <v>4.9009999999999998</v>
      </c>
      <c r="X9" s="181">
        <f>(Table_03[[#This Row],[Static Parameters Moment of Inertia Iy (in4)]]*Table_03[[#This Row],[ho]]^2)/4</f>
        <v>56.122265036499996</v>
      </c>
      <c r="Y9" s="181">
        <f>SQRT((SQRT(Table_03[[#This Row],[Static Parameters Moment of Inertia Iy (in4)]]*Table_03[[#This Row],[Cw*]])/Table_03[[#This Row],[Static Parameters Elastic Section Modulus Sx (in3)2]]))</f>
        <v>1.5540585121954762</v>
      </c>
      <c r="Z9" s="181">
        <f>(2*Table_03[[#This Row],[Width w (in)]]*Table_03[[#This Row],[Flange Thickness tf (in)]]^3/3)+((Table_03[[#This Row],[Depth h (in)]]-Table_03[[#This Row],[Flange Thickness tf (in)]]*2)*Table_03[[#This Row],[Web Thickness tw (in)]]^3)/3</f>
        <v>0.15370274371933335</v>
      </c>
      <c r="AA9" s="181">
        <f>Table_03[[#This Row],[Width w (in)]]*0.5/Table_03[[#This Row],[Flange Thickness tf (in)]]</f>
        <v>8.2268656716417894</v>
      </c>
      <c r="AB9" s="181">
        <f>0.38*SQRT($B$4/Table_03[[#This Row],[Strength (ksi)]])</f>
        <v>9.1516118798821449</v>
      </c>
      <c r="AC9" s="181">
        <f>1*SQRT($B$4/Table_03[[#This Row],[Strength (ksi)]])</f>
        <v>24.083189157584592</v>
      </c>
      <c r="AD9" s="181">
        <f>(PI()^2*$B$4/(12*$B$5/Table_03[[#This Row],[rts]])^2)*SQRT(1+0.078*(Table_03[[#This Row],[J*]]/(Table_03[[#This Row],[Static Parameters Elastic Section Modulus Sx (in3)2]]*Table_03[[#This Row],[ho]])*$B$4/(12*$B$5/Table_03[[#This Row],[rts]])^2))</f>
        <v>94.675203310912593</v>
      </c>
      <c r="AE9" s="181">
        <f>0.69*$B$4/Table_03[[#This Row],[b/t]]^2</f>
        <v>295.65026747289471</v>
      </c>
      <c r="AF9" s="183">
        <f>Table_03[[#This Row],[Strength (ksi)]]*Table_03[[#This Row],[Static Parameters Plastic Section Modulus Zx (in3)]]</f>
        <v>509.04089164999993</v>
      </c>
      <c r="AG9" s="181">
        <f>Table_03[[#This Row],[Mp (k-in)]]-(Table_03[[#This Row],[Mp (k-in)]]-0.7*Table_03[[#This Row],[Strength (ksi)]]*Table_03[[#This Row],[Static Parameters Elastic Section Modulus Sx (in3)2]])*((Table_03[[#This Row],[b/t]]-Table_03[[#This Row],[λpf]])/(Table_03[[#This Row],[λrf]]-Table_03[[#This Row],[λpf]]))</f>
        <v>520.01131634794694</v>
      </c>
      <c r="AH9" s="184">
        <f>0.9*$B$4*Table_03[[#This Row],[kc]]*Table_03[[#This Row],[Static Parameters Elastic Section Modulus Sx (in3)2]]/Table_03[[#This Row],[b/t]]^2</f>
        <v>2779.2719083024567</v>
      </c>
      <c r="AI9" s="185" t="str">
        <f>IF(Table_03[[#This Row],[b/t]]&lt;Table_03[[#This Row],[λpf]],"Compact",IF(AND(Table_03[[#This Row],[b/t]]&gt;Table_03[[#This Row],[λpf]],Table_03[[#This Row],[λrf]]&gt;Table_03[[#This Row],[b/t]]),"Non-Compact","Slender"))</f>
        <v>Compact</v>
      </c>
      <c r="AJ9" s="186">
        <f>IF(Table_03[[#This Row],[Controlling LBx]]="Compact",Table_03[[#This Row],[Mp (k-in)]],IF(Table_03[[#This Row],[Controlling LBx]]="Non-Compact",Table_03[[#This Row],[Mnlb,Non-Compact (k-in)]],IF(Table_03[[#This Row],[Controlling LBx]]="Slender",Table_03[[#This Row],[Mnlb,slender (k-in)]],"ERROR")))</f>
        <v>509.04089164999993</v>
      </c>
      <c r="AK9" s="183">
        <f>Table_03[[#This Row],[Mp (k-in)]]-(Table_03[[#This Row],[Mp (k-in)]]-0.7*Table_03[[#This Row],[Strength (ksi)]]*Table_03[[#This Row],[Static Parameters Elastic Section Modulus Sx (in3)2]])*(($B$5-Table_03[[#This Row],[Lp (ft)]])/(Table_03[[#This Row],[Lr]]-Table_03[[#This Row],[Lp (ft)]]))</f>
        <v>480.126472696429</v>
      </c>
      <c r="AL9" s="184">
        <f>Table_03[[#This Row],[Fcrx]]*Table_03[[#This Row],[Static Parameters Elastic Section Modulus Sx (in3)2]]</f>
        <v>897.80495299738413</v>
      </c>
      <c r="AM9" s="185" t="str">
        <f>IF($B$5&lt;Table_03[[#This Row],[Lp (ft)]],"Yielding Controls",IF(AND($B$5&gt;Table_03[[#This Row],[Lp (ft)]],Table_03[[#This Row],[Lr]]&gt;$B$5),"Mltb,p Controls","Mltb,r Controls"))</f>
        <v>Mltb,p Controls</v>
      </c>
      <c r="AN9" s="186">
        <f>IF(Table_03[[#This Row],[Controlling LTB]]="Yielding Controls",Table_03[[#This Row],[Mp (k-in)]],IF(Table_03[[#This Row],[Controlling LTB]]="Mltb,p Controls",Table_03[[#This Row],[Mnltbp (k-in)]],IF(Table_03[[#This Row],[Controlling LTB]]="Mltb,r Controls",Table_03[[#This Row],[Mnltbr (k-in)]],"ERROR")))</f>
        <v>480.126472696429</v>
      </c>
      <c r="AO9" s="183">
        <f>MIN(Table_03[[#This Row],[Strength (ksi)]]*Table_03[[#This Row],[Static Parameters Plastic Section Modulus Zy (in3)]],1.6*Table_03[[#This Row],[Strength (ksi)]]*Table_03[[#This Row],[Static Parameters Elastic Section Modulus Sy (in3)3]])</f>
        <v>257.13806067500002</v>
      </c>
      <c r="AP9" s="181">
        <f>MIN(Table_03[[#This Row],[Mny (k-in)]],Table_03[[#This Row],[Mny (k-in)]]-(Table_03[[#This Row],[Mny (k-in)]]-0.7*Table_03[[#This Row],[Static Parameters Elastic Section Modulus Sy (in3)3]]*Table_03[[#This Row],[Strength (ksi)]])*((Table_03[[#This Row],[b/t]]-Table_03[[#This Row],[λpf]])/(Table_03[[#This Row],[λrf]]-Table_03[[#This Row],[λpf]])))</f>
        <v>257.13806067500002</v>
      </c>
      <c r="AQ9" s="184">
        <f>MIN(Table_03[[#This Row],[Mny (k-in)]],Table_03[[#This Row],[Fcry]]*Table_03[[#This Row],[Static Parameters Elastic Section Modulus Sy (in3)3]])</f>
        <v>257.13806067500002</v>
      </c>
      <c r="AR9" s="185" t="str">
        <f>IF(Table_03[[#This Row],[b/t]]&lt;Table_03[[#This Row],[λpf]],"Compact",IF(AND(Table_03[[#This Row],[b/t]]&gt;Table_03[[#This Row],[λpf]],Table_03[[#This Row],[λrf]]&gt;Table_03[[#This Row],[b/t]]),"Non-Compact","Slender"))</f>
        <v>Compact</v>
      </c>
      <c r="AS9" s="186">
        <f>IF(Table_03[[#This Row],[Controlling Lby]]="Compact",Table_03[[#This Row],[Mny (k-in)]],IF(Table_03[[#This Row],[Controlling Lby]]="Non-Compact",Table_03[[#This Row],[Mlby,Non-Compact (k-in)]],IF(Table_03[[#This Row],[Controlling Lby]]="Slender",Table_03[[#This Row],[Mlby,Slender (k-in)]],"ERROR")))</f>
        <v>257.13806067500002</v>
      </c>
      <c r="AT9" s="183">
        <f>MIN(Table_03[[#This Row],[LBx]],Table_03[[#This Row],[LTB]],Table_03[[#This Row],[Mp (k-in)]])</f>
        <v>480.126472696429</v>
      </c>
      <c r="AU9" s="181">
        <f>Table_03[[#This Row],[Mp (k-in)]]</f>
        <v>509.04089164999993</v>
      </c>
      <c r="AV9" s="181">
        <f>MIN(Table_03[[#This Row],[LBy]],Table_03[[#This Row],[Mny (k-in)]])</f>
        <v>257.13806067500002</v>
      </c>
      <c r="AW9" s="187">
        <f>Table_03[[#This Row],[Mny (k-in)]]</f>
        <v>257.13806067500002</v>
      </c>
      <c r="AX9" s="169"/>
      <c r="AY9" s="165">
        <f>IF(4/SQRT((Table_03[[#This Row],[Depth h (in)]]-Table_03[[#This Row],[Flange Thickness tf (in)]]*2)/Table_03[[#This Row],[Web Thickness tw (in)]])&lt;0.35,0.35,IF(4/SQRT(Table_03[[#This Row],[Depth h (in)]]/Table_03[[#This Row],[Web Thickness tw (in)]])&gt;0.76,0.76,4/SQRT(Table_03[[#This Row],[Depth h (in)]]/Table_03[[#This Row],[Web Thickness tw (in)]])))</f>
        <v>0.76</v>
      </c>
      <c r="AZ9" s="169"/>
    </row>
    <row r="10" spans="1:52" x14ac:dyDescent="0.3">
      <c r="A10" s="188" t="s">
        <v>108</v>
      </c>
      <c r="B10" s="189">
        <f>B9-$B$1*2</f>
        <v>5.2359999999999998</v>
      </c>
      <c r="C10" s="189">
        <f>C9-$B$1*2</f>
        <v>5.5119999999999996</v>
      </c>
      <c r="D10" s="189">
        <f>D9-$B$1*2</f>
        <v>0.217</v>
      </c>
      <c r="E10" s="189">
        <f>E9-$B$1*2</f>
        <v>0.33500000000000002</v>
      </c>
      <c r="F10" s="190">
        <f>2*Table_03[[#This Row],[Width w (in)]]*Table_03[[#This Row],[Flange Thickness tf (in)]]+Table_03[[#This Row],[Web Thickness tw (in)]]*(Table_03[[#This Row],[Depth h (in)]]-2*Table_03[[#This Row],[Flange Thickness tf (in)]])</f>
        <v>4.6838619999999995</v>
      </c>
      <c r="G10" s="189"/>
      <c r="H10"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23.932476571479327</v>
      </c>
      <c r="I10" s="190">
        <f>((Table_03[[#This Row],[Depth h (in)]]-2*Table_03[[#This Row],[Flange Thickness tf (in)]])*Table_03[[#This Row],[Web Thickness tw (in)]]^3/12+2*(Table_03[[#This Row],[Flange Thickness tf (in)]]*Table_03[[#This Row],[Width w (in)]]^3/12))</f>
        <v>9.3540941579098327</v>
      </c>
      <c r="J10" s="190">
        <f>Table_03[[#This Row],[Width w (in)]]*Table_03[[#This Row],[Flange Thickness tf (in)]]*(Table_03[[#This Row],[Depth h (in)]]-Table_03[[#This Row],[Flange Thickness tf (in)]])+0.25*Table_03[[#This Row],[Web Thickness tw (in)]]*(Table_03[[#This Row],[Depth h (in)]]-2*Table_03[[#This Row],[Flange Thickness tf (in)]])^2</f>
        <v>10.180817832999999</v>
      </c>
      <c r="K10" s="190">
        <f>(Table_03[[#This Row],[Width w (in)]]^2*Table_03[[#This Row],[Flange Thickness tf (in)]])/2+0.25*Table_03[[#This Row],[Web Thickness tw (in)]]^2*(Table_03[[#This Row],[Depth h (in)]]-2*Table_03[[#This Row],[Flange Thickness tf (in)]])</f>
        <v>5.1427612135</v>
      </c>
      <c r="L10" s="190">
        <f>Table_03[[#This Row],[Static Parameters Moment of Inertia Ix (in4)]]/(Table_03[[#This Row],[Depth h (in)]]/2)</f>
        <v>9.1415112954466498</v>
      </c>
      <c r="M10" s="190">
        <f>Table_03[[#This Row],[Static Parameters Moment of Inertia Iy (in4)]]/(Table_03[[#This Row],[Width w (in)]]/2)</f>
        <v>3.3940835115783141</v>
      </c>
      <c r="N10" s="191">
        <v>50</v>
      </c>
      <c r="O10" s="169">
        <f>SQRT(Table_03[[#This Row],[Static Parameters Moment of Inertia Ix (in4)]]/Table_03[[#This Row],[Sectional Area (in2)]])</f>
        <v>2.2604337119089668</v>
      </c>
      <c r="P10" s="190">
        <f>SQRT(Table_03[[#This Row],[Static Parameters Moment of Inertia Iy (in4)]]/Table_03[[#This Row],[Sectional Area (in2)]])</f>
        <v>1.4131843623236953</v>
      </c>
      <c r="Q10" s="190">
        <f>($B$6*$B$5*12)/Table_03[[#This Row],[ry (in)2]]</f>
        <v>127.05348628735632</v>
      </c>
      <c r="R10" s="190">
        <f>(PI()^2*$B$4)/(Table_03[[#This Row],[KL/ry]]^2)</f>
        <v>17.730646469665182</v>
      </c>
      <c r="S10" s="190">
        <f>IF(Table_03[[#This Row],[Strength (ksi)]]/Table_03[[#This Row],[Fe,y]]&lt;2.25,(0.658^(Table_03[[#This Row],[Strength (ksi)]]/Table_03[[#This Row],[Fe,y]])*Table_03[[#This Row],[Strength (ksi)]]),0.877*Table_03[[#This Row],[Fe,y]])</f>
        <v>15.549776953896364</v>
      </c>
      <c r="T10" s="190">
        <f>Table_03[[#This Row],[Fcr,y]]*Table_03[[#This Row],[Sectional Area (in2)]]</f>
        <v>72.833009382830923</v>
      </c>
      <c r="U10" s="190">
        <f>1.76*Table_03[[#This Row],[ry (in)2]]*SQRT($B$4/Table_03[[#This Row],[Strength (ksi)]])/12</f>
        <v>4.9916513258160427</v>
      </c>
      <c r="V1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19.164952354917304</v>
      </c>
      <c r="W10" s="190">
        <f>Table_03[[#This Row],[Depth h (in)]]-Table_03[[#This Row],[Flange Thickness tf (in)]]</f>
        <v>4.9009999999999998</v>
      </c>
      <c r="X10" s="190">
        <f>(Table_03[[#This Row],[Static Parameters Moment of Inertia Iy (in4)]]*Table_03[[#This Row],[ho]]^2)/4</f>
        <v>56.170870052064181</v>
      </c>
      <c r="Y10" s="190">
        <f>SQRT((SQRT(Table_03[[#This Row],[Static Parameters Moment of Inertia Iy (in4)]]*Table_03[[#This Row],[Cw*]])/Table_03[[#This Row],[Static Parameters Elastic Section Modulus Sx (in3)2]]))</f>
        <v>1.583504208376304</v>
      </c>
      <c r="Z10" s="190">
        <f>(2*Table_03[[#This Row],[Width w (in)]]*Table_03[[#This Row],[Flange Thickness tf (in)]]^3/3)+((Table_03[[#This Row],[Depth h (in)]]-Table_03[[#This Row],[Flange Thickness tf (in)]]*2)*Table_03[[#This Row],[Web Thickness tw (in)]]^3)/3</f>
        <v>0.15370274371933335</v>
      </c>
      <c r="AA10" s="190">
        <f>Table_03[[#This Row],[Width w (in)]]*0.5/Table_03[[#This Row],[Flange Thickness tf (in)]]</f>
        <v>8.2268656716417894</v>
      </c>
      <c r="AB10" s="190">
        <f>0.38*SQRT($B$4/Table_03[[#This Row],[Strength (ksi)]])</f>
        <v>9.1516118798821449</v>
      </c>
      <c r="AC10" s="190">
        <f>1*SQRT($B$4/Table_03[[#This Row],[Strength (ksi)]])</f>
        <v>24.083189157584592</v>
      </c>
      <c r="AD10" s="190">
        <f>(PI()^2*$B$4/(12*$B$5/Table_03[[#This Row],[rts]])^2)*SQRT(1+0.078*(Table_03[[#This Row],[J*]]/(Table_03[[#This Row],[Static Parameters Elastic Section Modulus Sx (in3)2]]*Table_03[[#This Row],[ho]])*$B$4/(12*$B$5/Table_03[[#This Row],[rts]])^2))</f>
        <v>98.306264839589531</v>
      </c>
      <c r="AE10" s="190">
        <f>0.69*$B$4/Table_03[[#This Row],[b/t]]^2</f>
        <v>295.65026747289471</v>
      </c>
      <c r="AF10" s="192">
        <f>Table_03[[#This Row],[Strength (ksi)]]*Table_03[[#This Row],[Static Parameters Plastic Section Modulus Zx (in3)]]</f>
        <v>509.04089164999993</v>
      </c>
      <c r="AG10" s="190">
        <f>Table_03[[#This Row],[Mp (k-in)]]-(Table_03[[#This Row],[Mp (k-in)]]-0.7*Table_03[[#This Row],[Strength (ksi)]]*Table_03[[#This Row],[Static Parameters Elastic Section Modulus Sx (in3)2]])*((Table_03[[#This Row],[b/t]]-Table_03[[#This Row],[λpf]])/(Table_03[[#This Row],[λrf]]-Table_03[[#This Row],[λpf]]))</f>
        <v>520.75153710685811</v>
      </c>
      <c r="AH10" s="193">
        <f>0.9*$B$4*Table_03[[#This Row],[kc]]*Table_03[[#This Row],[Static Parameters Elastic Section Modulus Sx (in3)2]]/Table_03[[#This Row],[b/t]]^2</f>
        <v>2679.1886051739402</v>
      </c>
      <c r="AI10" s="194" t="str">
        <f>IF(Table_03[[#This Row],[b/t]]&lt;Table_03[[#This Row],[λpf]],"Compact",IF(AND(Table_03[[#This Row],[b/t]]&gt;Table_03[[#This Row],[λpf]],Table_03[[#This Row],[λrf]]&gt;Table_03[[#This Row],[b/t]]),"Non-Compact","Slender"))</f>
        <v>Compact</v>
      </c>
      <c r="AJ10" s="195">
        <f>IF(Table_03[[#This Row],[Controlling LBx]]="Compact",Table_03[[#This Row],[Mp (k-in)]],IF(Table_03[[#This Row],[Controlling LBx]]="Non-Compact",Table_03[[#This Row],[Mnlb,Non-Compact (k-in)]],IF(Table_03[[#This Row],[Controlling LBx]]="Slender",Table_03[[#This Row],[Mnlb,slender (k-in)]],"ERROR")))</f>
        <v>509.04089164999993</v>
      </c>
      <c r="AK10" s="192">
        <f>Table_03[[#This Row],[Mp (k-in)]]-(Table_03[[#This Row],[Mp (k-in)]]-0.7*Table_03[[#This Row],[Strength (ksi)]]*Table_03[[#This Row],[Static Parameters Elastic Section Modulus Sx (in3)2]])*(($B$5-Table_03[[#This Row],[Lp (ft)]])/(Table_03[[#This Row],[Lr]]-Table_03[[#This Row],[Lp (ft)]]))</f>
        <v>480.57958786463405</v>
      </c>
      <c r="AL10" s="196">
        <f>Table_03[[#This Row],[Fcrx]]*Table_03[[#This Row],[Static Parameters Elastic Section Modulus Sx (in3)2]]</f>
        <v>898.66783044427757</v>
      </c>
      <c r="AM10" s="197" t="str">
        <f>IF($B$5&lt;Table_03[[#This Row],[Lp (ft)]],"Yielding Controls",IF(AND($B$5&gt;Table_03[[#This Row],[Lp (ft)]],Table_03[[#This Row],[Lr]]&gt;$B$5),"Mltb,p Controls","Mltb,r Controls"))</f>
        <v>Mltb,p Controls</v>
      </c>
      <c r="AN10" s="198">
        <f>IF(Table_03[[#This Row],[Controlling LTB]]="Yielding Controls",Table_03[[#This Row],[Mp (k-in)]],IF(Table_03[[#This Row],[Controlling LTB]]="Mltb,p Controls",Table_03[[#This Row],[Mnltbp (k-in)]],IF(Table_03[[#This Row],[Controlling LTB]]="Mltb,r Controls",Table_03[[#This Row],[Mnltbr (k-in)]],"ERROR")))</f>
        <v>480.57958786463405</v>
      </c>
      <c r="AO10" s="199">
        <f>MIN(Table_03[[#This Row],[Strength (ksi)]]*Table_03[[#This Row],[Static Parameters Plastic Section Modulus Zy (in3)]],1.6*Table_03[[#This Row],[Strength (ksi)]]*Table_03[[#This Row],[Static Parameters Elastic Section Modulus Sy (in3)3]])</f>
        <v>257.13806067500002</v>
      </c>
      <c r="AP10" s="169">
        <f>MIN(Table_03[[#This Row],[Mny (k-in)]],Table_03[[#This Row],[Mny (k-in)]]-(Table_03[[#This Row],[Mny (k-in)]]-0.7*Table_03[[#This Row],[Static Parameters Elastic Section Modulus Sy (in3)3]]*Table_03[[#This Row],[Strength (ksi)]])*((Table_03[[#This Row],[b/t]]-Table_03[[#This Row],[λpf]])/(Table_03[[#This Row],[λrf]]-Table_03[[#This Row],[λpf]])))</f>
        <v>257.13806067500002</v>
      </c>
      <c r="AQ10" s="196">
        <f>MIN(Table_03[[#This Row],[Mny (k-in)]],Table_03[[#This Row],[Fcry]]*Table_03[[#This Row],[Static Parameters Elastic Section Modulus Sy (in3)3]])</f>
        <v>257.13806067500002</v>
      </c>
      <c r="AR10" s="197" t="str">
        <f>IF(Table_03[[#This Row],[b/t]]&lt;Table_03[[#This Row],[λpf]],"Compact",IF(AND(Table_03[[#This Row],[b/t]]&gt;Table_03[[#This Row],[λpf]],Table_03[[#This Row],[λrf]]&gt;Table_03[[#This Row],[b/t]]),"Non-Compact","Slender"))</f>
        <v>Compact</v>
      </c>
      <c r="AS10" s="198">
        <f>IF(Table_03[[#This Row],[Controlling Lby]]="Compact",Table_03[[#This Row],[Mny (k-in)]],IF(Table_03[[#This Row],[Controlling Lby]]="Non-Compact",Table_03[[#This Row],[Mlby,Non-Compact (k-in)]],IF(Table_03[[#This Row],[Controlling Lby]]="Slender",Table_03[[#This Row],[Mlby,Slender (k-in)]],"ERROR")))</f>
        <v>257.13806067500002</v>
      </c>
      <c r="AT10" s="199">
        <f>MIN(Table_03[[#This Row],[LBx]],Table_03[[#This Row],[LTB]],Table_03[[#This Row],[Mp (k-in)]])</f>
        <v>480.57958786463405</v>
      </c>
      <c r="AU10" s="169">
        <f>Table_03[[#This Row],[Mp (k-in)]]</f>
        <v>509.04089164999993</v>
      </c>
      <c r="AV10" s="169">
        <f>MIN(Table_03[[#This Row],[LBy]],Table_03[[#This Row],[Mny (k-in)]])</f>
        <v>257.13806067500002</v>
      </c>
      <c r="AW10" s="200">
        <f>Table_03[[#This Row],[Mny (k-in)]]</f>
        <v>257.13806067500002</v>
      </c>
      <c r="AX10" s="169"/>
      <c r="AY10"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0" s="169"/>
    </row>
    <row r="11" spans="1:52" ht="14.4" thickBot="1" x14ac:dyDescent="0.35">
      <c r="A11" s="201" t="s">
        <v>109</v>
      </c>
      <c r="B11" s="202">
        <f>B9-$B$3*2</f>
        <v>5.1559999999999997</v>
      </c>
      <c r="C11" s="202">
        <f>C9-$B$3*2</f>
        <v>5.4319999999999995</v>
      </c>
      <c r="D11" s="202">
        <f>D9-$B$3*2</f>
        <v>0.13700000000000001</v>
      </c>
      <c r="E11" s="202">
        <f>E9-$B$3*2</f>
        <v>0.255</v>
      </c>
      <c r="F11" s="203">
        <f>2*Table_03[[#This Row],[Width w (in)]]*Table_03[[#This Row],[Flange Thickness tf (in)]]+Table_03[[#This Row],[Web Thickness tw (in)]]*(Table_03[[#This Row],[Depth h (in)]]-2*Table_03[[#This Row],[Flange Thickness tf (in)]])</f>
        <v>3.406822</v>
      </c>
      <c r="G11" s="204"/>
      <c r="H11"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17.795570181799331</v>
      </c>
      <c r="I11" s="203">
        <f>((Table_03[[#This Row],[Depth h (in)]]-2*Table_03[[#This Row],[Flange Thickness tf (in)]])*Table_03[[#This Row],[Web Thickness tw (in)]]^3/12+2*(Table_03[[#This Row],[Flange Thickness tf (in)]]*Table_03[[#This Row],[Width w (in)]]^3/12))</f>
        <v>6.812894758809831</v>
      </c>
      <c r="J11" s="203">
        <f>Table_03[[#This Row],[Width w (in)]]*Table_03[[#This Row],[Flange Thickness tf (in)]]*(Table_03[[#This Row],[Depth h (in)]]-Table_03[[#This Row],[Flange Thickness tf (in)]])+0.25*Table_03[[#This Row],[Web Thickness tw (in)]]*(Table_03[[#This Row],[Depth h (in)]]-2*Table_03[[#This Row],[Flange Thickness tf (in)]])^2</f>
        <v>7.5279662329999999</v>
      </c>
      <c r="K11" s="203">
        <f>(Table_03[[#This Row],[Width w (in)]]^2*Table_03[[#This Row],[Flange Thickness tf (in)]])/2+0.25*Table_03[[#This Row],[Web Thickness tw (in)]]^2*(Table_03[[#This Row],[Depth h (in)]]-2*Table_03[[#This Row],[Flange Thickness tf (in)]])</f>
        <v>3.7838947534999994</v>
      </c>
      <c r="L11" s="203">
        <f>Table_03[[#This Row],[Static Parameters Moment of Inertia Ix (in4)]]/(Table_03[[#This Row],[Depth h (in)]]/2)</f>
        <v>6.902858875794931</v>
      </c>
      <c r="M11" s="203">
        <f>Table_03[[#This Row],[Static Parameters Moment of Inertia Iy (in4)]]/(Table_03[[#This Row],[Width w (in)]]/2)</f>
        <v>2.5084295871906597</v>
      </c>
      <c r="N11" s="205">
        <v>50</v>
      </c>
      <c r="O11" s="206">
        <f>SQRT(Table_03[[#This Row],[Static Parameters Moment of Inertia Ix (in4)]]/Table_03[[#This Row],[Sectional Area (in2)]])</f>
        <v>2.2855000349893024</v>
      </c>
      <c r="P11" s="203">
        <f>SQRT(Table_03[[#This Row],[Static Parameters Moment of Inertia Iy (in4)]]/Table_03[[#This Row],[Sectional Area (in2)]])</f>
        <v>1.4141358054354876</v>
      </c>
      <c r="Q11" s="203">
        <f>($B$6*$B$5*12)/Table_03[[#This Row],[ry (in)2]]</f>
        <v>126.96800357495158</v>
      </c>
      <c r="R11" s="203">
        <f>(PI()^2*$B$4)/(Table_03[[#This Row],[KL/ry]]^2)</f>
        <v>17.754529242167138</v>
      </c>
      <c r="S11" s="203">
        <f>IF(Table_03[[#This Row],[Strength (ksi)]]/Table_03[[#This Row],[Fe,y]]&lt;2.25,(0.658^(Table_03[[#This Row],[Strength (ksi)]]/Table_03[[#This Row],[Fe,y]])*Table_03[[#This Row],[Strength (ksi)]]),0.877*Table_03[[#This Row],[Fe,y]])</f>
        <v>15.57072214538058</v>
      </c>
      <c r="T11" s="203">
        <f>Table_03[[#This Row],[Fcr,y]]*Table_03[[#This Row],[Sectional Area (in2)]]</f>
        <v>53.046678760769758</v>
      </c>
      <c r="U11" s="203">
        <f>1.76*Table_03[[#This Row],[ry (in)2]]*SQRT($B$4/Table_03[[#This Row],[Strength (ksi)]])/12</f>
        <v>4.9950120141996921</v>
      </c>
      <c r="V1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15.60942377495499</v>
      </c>
      <c r="W11" s="203">
        <f>Table_03[[#This Row],[Depth h (in)]]-Table_03[[#This Row],[Flange Thickness tf (in)]]</f>
        <v>4.9009999999999998</v>
      </c>
      <c r="X11" s="203">
        <f>(Table_03[[#This Row],[Static Parameters Moment of Inertia Iy (in4)]]*Table_03[[#This Row],[ho]]^2)/4</f>
        <v>40.911094085138778</v>
      </c>
      <c r="Y11" s="203">
        <f>SQRT((SQRT(Table_03[[#This Row],[Static Parameters Moment of Inertia Iy (in4)]]*Table_03[[#This Row],[Cw*]])/Table_03[[#This Row],[Static Parameters Elastic Section Modulus Sx (in3)2]]))</f>
        <v>1.5551729590858998</v>
      </c>
      <c r="Z11" s="203">
        <f>(2*Table_03[[#This Row],[Width w (in)]]*Table_03[[#This Row],[Flange Thickness tf (in)]]^3/3)+((Table_03[[#This Row],[Depth h (in)]]-Table_03[[#This Row],[Flange Thickness tf (in)]]*2)*Table_03[[#This Row],[Web Thickness tw (in)]]^3)/3</f>
        <v>6.4028854679333322E-2</v>
      </c>
      <c r="AA11" s="203">
        <f>Table_03[[#This Row],[Width w (in)]]*0.5/Table_03[[#This Row],[Flange Thickness tf (in)]]</f>
        <v>10.650980392156862</v>
      </c>
      <c r="AB11" s="203">
        <f>0.38*SQRT($B$4/Table_03[[#This Row],[Strength (ksi)]])</f>
        <v>9.1516118798821449</v>
      </c>
      <c r="AC11" s="203">
        <f>1*SQRT($B$4/Table_03[[#This Row],[Strength (ksi)]])</f>
        <v>24.083189157584592</v>
      </c>
      <c r="AD11" s="203">
        <f>(PI()^2*$B$4/(12*$B$5/Table_03[[#This Row],[rts]])^2)*SQRT(1+0.078*(Table_03[[#This Row],[J*]]/(Table_03[[#This Row],[Static Parameters Elastic Section Modulus Sx (in3)2]]*Table_03[[#This Row],[ho]])*$B$4/(12*$B$5/Table_03[[#This Row],[rts]])^2))</f>
        <v>94.761134545743772</v>
      </c>
      <c r="AE11" s="203">
        <f>0.69*$B$4/Table_03[[#This Row],[b/t]]^2</f>
        <v>176.38754606423291</v>
      </c>
      <c r="AF11" s="207">
        <f>Table_03[[#This Row],[Strength (ksi)]]*Table_03[[#This Row],[Static Parameters Plastic Section Modulus Zx (in3)]]</f>
        <v>376.39831164999998</v>
      </c>
      <c r="AG11" s="203">
        <f>Table_03[[#This Row],[Mp (k-in)]]-(Table_03[[#This Row],[Mp (k-in)]]-0.7*Table_03[[#This Row],[Strength (ksi)]]*Table_03[[#This Row],[Static Parameters Elastic Section Modulus Sx (in3)2]])*((Table_03[[#This Row],[b/t]]-Table_03[[#This Row],[λpf]])/(Table_03[[#This Row],[λrf]]-Table_03[[#This Row],[λpf]]))</f>
        <v>362.86241726349806</v>
      </c>
      <c r="AH11" s="208">
        <f>0.9*$B$4*Table_03[[#This Row],[kc]]*Table_03[[#This Row],[Static Parameters Elastic Section Modulus Sx (in3)2]]/Table_03[[#This Row],[b/t]]^2</f>
        <v>1035.5096540704276</v>
      </c>
      <c r="AI11" s="209" t="str">
        <f>IF(Table_03[[#This Row],[b/t]]&lt;Table_03[[#This Row],[λpf]],"Compact",IF(AND(Table_03[[#This Row],[b/t]]&gt;Table_03[[#This Row],[λpf]],Table_03[[#This Row],[λrf]]&gt;Table_03[[#This Row],[b/t]]),"Non-Compact","Slender"))</f>
        <v>Non-Compact</v>
      </c>
      <c r="AJ11" s="210">
        <f>IF(Table_03[[#This Row],[Controlling LBx]]="Compact",Table_03[[#This Row],[Mp (k-in)]],IF(Table_03[[#This Row],[Controlling LBx]]="Non-Compact",Table_03[[#This Row],[Mnlb,Non-Compact (k-in)]],IF(Table_03[[#This Row],[Controlling LBx]]="Slender",Table_03[[#This Row],[Mnlb,slender (k-in)]],"ERROR")))</f>
        <v>362.86241726349806</v>
      </c>
      <c r="AK11" s="207">
        <f>Table_03[[#This Row],[Mp (k-in)]]-(Table_03[[#This Row],[Mp (k-in)]]-0.7*Table_03[[#This Row],[Strength (ksi)]]*Table_03[[#This Row],[Static Parameters Elastic Section Modulus Sx (in3)2]])*(($B$5-Table_03[[#This Row],[Lp (ft)]])/(Table_03[[#This Row],[Lr]]-Table_03[[#This Row],[Lp (ft)]]))</f>
        <v>349.34842310201213</v>
      </c>
      <c r="AL11" s="211">
        <f>Table_03[[#This Row],[Fcrx]]*Table_03[[#This Row],[Static Parameters Elastic Section Modulus Sx (in3)2]]</f>
        <v>654.122738679485</v>
      </c>
      <c r="AM11" s="212" t="str">
        <f>IF($B$5&lt;Table_03[[#This Row],[Lp (ft)]],"Yielding Controls",IF(AND($B$5&gt;Table_03[[#This Row],[Lp (ft)]],Table_03[[#This Row],[Lr]]&gt;$B$5),"Mltb,p Controls","Mltb,r Controls"))</f>
        <v>Mltb,p Controls</v>
      </c>
      <c r="AN11" s="213">
        <f>IF(Table_03[[#This Row],[Controlling LTB]]="Yielding Controls",Table_03[[#This Row],[Mp (k-in)]],IF(Table_03[[#This Row],[Controlling LTB]]="Mltb,p Controls",Table_03[[#This Row],[Mnltbp (k-in)]],IF(Table_03[[#This Row],[Controlling LTB]]="Mltb,r Controls",Table_03[[#This Row],[Mnltbr (k-in)]],"ERROR")))</f>
        <v>349.34842310201213</v>
      </c>
      <c r="AO11" s="214">
        <f>MIN(Table_03[[#This Row],[Strength (ksi)]]*Table_03[[#This Row],[Static Parameters Plastic Section Modulus Zy (in3)]],1.6*Table_03[[#This Row],[Strength (ksi)]]*Table_03[[#This Row],[Static Parameters Elastic Section Modulus Sy (in3)3]])</f>
        <v>189.19473767499997</v>
      </c>
      <c r="AP11" s="206">
        <f>MIN(Table_03[[#This Row],[Mny (k-in)]],Table_03[[#This Row],[Mny (k-in)]]-(Table_03[[#This Row],[Mny (k-in)]]-0.7*Table_03[[#This Row],[Static Parameters Elastic Section Modulus Sy (in3)3]]*Table_03[[#This Row],[Strength (ksi)]])*((Table_03[[#This Row],[b/t]]-Table_03[[#This Row],[λpf]])/(Table_03[[#This Row],[λrf]]-Table_03[[#This Row],[λpf]])))</f>
        <v>179.01259029095976</v>
      </c>
      <c r="AQ11" s="211">
        <f>MIN(Table_03[[#This Row],[Mny (k-in)]],Table_03[[#This Row],[Fcry]]*Table_03[[#This Row],[Static Parameters Elastic Section Modulus Sy (in3)3]])</f>
        <v>189.19473767499997</v>
      </c>
      <c r="AR11" s="212" t="str">
        <f>IF(Table_03[[#This Row],[b/t]]&lt;Table_03[[#This Row],[λpf]],"Compact",IF(AND(Table_03[[#This Row],[b/t]]&gt;Table_03[[#This Row],[λpf]],Table_03[[#This Row],[λrf]]&gt;Table_03[[#This Row],[b/t]]),"Non-Compact","Slender"))</f>
        <v>Non-Compact</v>
      </c>
      <c r="AS11" s="213">
        <f>IF(Table_03[[#This Row],[Controlling Lby]]="Compact",Table_03[[#This Row],[Mny (k-in)]],IF(Table_03[[#This Row],[Controlling Lby]]="Non-Compact",Table_03[[#This Row],[Mlby,Non-Compact (k-in)]],IF(Table_03[[#This Row],[Controlling Lby]]="Slender",Table_03[[#This Row],[Mlby,Slender (k-in)]],"ERROR")))</f>
        <v>179.01259029095976</v>
      </c>
      <c r="AT11" s="214">
        <f>MIN(Table_03[[#This Row],[LBx]],Table_03[[#This Row],[LTB]],Table_03[[#This Row],[Mp (k-in)]])</f>
        <v>349.34842310201213</v>
      </c>
      <c r="AU11" s="206">
        <f>Table_03[[#This Row],[Mp (k-in)]]</f>
        <v>376.39831164999998</v>
      </c>
      <c r="AV11" s="206">
        <f>MIN(Table_03[[#This Row],[LBy]],Table_03[[#This Row],[Mny (k-in)]])</f>
        <v>179.01259029095976</v>
      </c>
      <c r="AW11" s="215">
        <f>Table_03[[#This Row],[Mny (k-in)]]</f>
        <v>189.19473767499997</v>
      </c>
      <c r="AX11" s="169"/>
      <c r="AY11" s="165">
        <f>IF(4/SQRT((Table_03[[#This Row],[Depth h (in)]]-Table_03[[#This Row],[Flange Thickness tf (in)]]*2)/Table_03[[#This Row],[Web Thickness tw (in)]])&lt;0.35,0.35,IF(4/SQRT(Table_03[[#This Row],[Depth h (in)]]/Table_03[[#This Row],[Web Thickness tw (in)]])&gt;0.76,0.76,4/SQRT(Table_03[[#This Row],[Depth h (in)]]/Table_03[[#This Row],[Web Thickness tw (in)]])))</f>
        <v>0.65202435856205732</v>
      </c>
      <c r="AZ11" s="169"/>
    </row>
    <row r="12" spans="1:52" x14ac:dyDescent="0.3">
      <c r="A12" s="179" t="s">
        <v>110</v>
      </c>
      <c r="B12" s="180">
        <v>5.984</v>
      </c>
      <c r="C12" s="180">
        <v>6.2990000000000004</v>
      </c>
      <c r="D12" s="180">
        <v>0.23599999999999999</v>
      </c>
      <c r="E12" s="180">
        <v>0.35399999999999998</v>
      </c>
      <c r="F12" s="181">
        <v>6.01</v>
      </c>
      <c r="G12" s="180"/>
      <c r="H12" s="180">
        <v>40.19</v>
      </c>
      <c r="I12" s="180">
        <v>14.79</v>
      </c>
      <c r="J12" s="181">
        <f>Table_03[[#This Row],[Width w (in)]]*Table_03[[#This Row],[Flange Thickness tf (in)]]*(Table_03[[#This Row],[Depth h (in)]]-Table_03[[#This Row],[Flange Thickness tf (in)]])+0.25*Table_03[[#This Row],[Web Thickness tw (in)]]*(Table_03[[#This Row],[Depth h (in)]]-2*Table_03[[#This Row],[Flange Thickness tf (in)]])^2</f>
        <v>14.196367364</v>
      </c>
      <c r="K12" s="181">
        <f>(Table_03[[#This Row],[Width w (in)]]^2*Table_03[[#This Row],[Flange Thickness tf (in)]])/2+0.25*Table_03[[#This Row],[Web Thickness tw (in)]]^2*(Table_03[[#This Row],[Depth h (in)]]-2*Table_03[[#This Row],[Flange Thickness tf (in)]])</f>
        <v>7.0963630009999994</v>
      </c>
      <c r="L12" s="181">
        <f>Table_03[[#This Row],[Static Parameters Moment of Inertia Ix (in4)]]/(Table_03[[#This Row],[Depth h (in)]]*0.5)</f>
        <v>13.432486631016042</v>
      </c>
      <c r="M12" s="181">
        <f>Table_03[[#This Row],[Static Parameters Moment of Inertia Iy (in4)]]/(0.5*Table_03[[#This Row],[Width w (in)]])</f>
        <v>4.6959834894427681</v>
      </c>
      <c r="N12" s="182">
        <v>50</v>
      </c>
      <c r="O12" s="181">
        <f>SQRT(Table_03[[#This Row],[Static Parameters Moment of Inertia Ix (in4)]]/Table_03[[#This Row],[Sectional Area (in2)]])</f>
        <v>2.5859597869972228</v>
      </c>
      <c r="P12" s="181">
        <f>SQRT(Table_03[[#This Row],[Static Parameters Moment of Inertia Iy (in4)]]/Table_03[[#This Row],[Sectional Area (in2)]])</f>
        <v>1.5687251201201058</v>
      </c>
      <c r="Q12" s="181">
        <f>($B$6*$B$5*12)/Table_03[[#This Row],[ry (in)2]]</f>
        <v>114.45599850294562</v>
      </c>
      <c r="R12" s="181">
        <f>(PI()^2*$B$4)/(Table_03[[#This Row],[KL/ry]]^2)</f>
        <v>21.848449709165621</v>
      </c>
      <c r="S12" s="181">
        <f>IF(Table_03[[#This Row],[Strength (ksi)]]/Table_03[[#This Row],[Fe,y]]&lt;2.25,(0.658^(Table_03[[#This Row],[Strength (ksi)]]/Table_03[[#This Row],[Fe,y]])*Table_03[[#This Row],[Strength (ksi)]]),0.877*Table_03[[#This Row],[Fe,y]])</f>
        <v>19.161090394938249</v>
      </c>
      <c r="T12" s="181">
        <f>Table_03[[#This Row],[Fcr,y]]*Table_03[[#This Row],[Sectional Area (in2)]]</f>
        <v>115.15815327357888</v>
      </c>
      <c r="U12" s="181">
        <f>1.76*Table_03[[#This Row],[ry (in)2]]*SQRT($B$4/Table_03[[#This Row],[Strength (ksi)]])/12</f>
        <v>5.5410525579357106</v>
      </c>
      <c r="V1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19.767223353826871</v>
      </c>
      <c r="W12" s="181">
        <f>Table_03[[#This Row],[Depth h (in)]]-Table_03[[#This Row],[Flange Thickness tf (in)]]</f>
        <v>5.63</v>
      </c>
      <c r="X12" s="181">
        <f>(Table_03[[#This Row],[Static Parameters Moment of Inertia Iy (in4)]]*Table_03[[#This Row],[ho]]^2)/4</f>
        <v>117.19928775</v>
      </c>
      <c r="Y12" s="181">
        <f>SQRT((SQRT(Table_03[[#This Row],[Static Parameters Moment of Inertia Iy (in4)]]*Table_03[[#This Row],[Cw*]])/Table_03[[#This Row],[Static Parameters Elastic Section Modulus Sx (in3)2]]))</f>
        <v>1.7605366810506129</v>
      </c>
      <c r="Z12" s="181">
        <f>(2*Table_03[[#This Row],[Width w (in)]]*Table_03[[#This Row],[Flange Thickness tf (in)]]^3/3)+((Table_03[[#This Row],[Depth h (in)]]-Table_03[[#This Row],[Flange Thickness tf (in)]]*2)*Table_03[[#This Row],[Web Thickness tw (in)]]^3)/3</f>
        <v>0.20940661910933334</v>
      </c>
      <c r="AA12" s="181">
        <f>Table_03[[#This Row],[Width w (in)]]*0.5/Table_03[[#This Row],[Flange Thickness tf (in)]]</f>
        <v>8.8968926553672318</v>
      </c>
      <c r="AB12" s="181">
        <f>0.38*SQRT($B$4/Table_03[[#This Row],[Strength (ksi)]])</f>
        <v>9.1516118798821449</v>
      </c>
      <c r="AC12" s="181">
        <f>1*SQRT($B$4/Table_03[[#This Row],[Strength (ksi)]])</f>
        <v>24.083189157584592</v>
      </c>
      <c r="AD12" s="181">
        <f>(PI()^2*$B$4/(12*$B$5/Table_03[[#This Row],[rts]])^2)*SQRT(1+0.078*(Table_03[[#This Row],[J*]]/(Table_03[[#This Row],[Static Parameters Elastic Section Modulus Sx (in3)2]]*Table_03[[#This Row],[ho]])*$B$4/(12*$B$5/Table_03[[#This Row],[rts]])^2))</f>
        <v>121.51547243968426</v>
      </c>
      <c r="AE12" s="181">
        <f>0.69*$B$4/Table_03[[#This Row],[b/t]]^2</f>
        <v>252.79611030974533</v>
      </c>
      <c r="AF12" s="183">
        <f>Table_03[[#This Row],[Strength (ksi)]]*Table_03[[#This Row],[Static Parameters Plastic Section Modulus Zx (in3)]]</f>
        <v>709.81836820000001</v>
      </c>
      <c r="AG12" s="181">
        <f>Table_03[[#This Row],[Mp (k-in)]]-(Table_03[[#This Row],[Mp (k-in)]]-0.7*Table_03[[#This Row],[Strength (ksi)]]*Table_03[[#This Row],[Static Parameters Elastic Section Modulus Sx (in3)2]])*((Table_03[[#This Row],[b/t]]-Table_03[[#This Row],[λpf]])/(Table_03[[#This Row],[λrf]]-Table_03[[#This Row],[λpf]]))</f>
        <v>713.90711535177866</v>
      </c>
      <c r="AH12" s="184">
        <f>0.9*$B$4*Table_03[[#This Row],[kc]]*Table_03[[#This Row],[Static Parameters Elastic Section Modulus Sx (in3)2]]/Table_03[[#This Row],[b/t]]^2</f>
        <v>3366.1527166988712</v>
      </c>
      <c r="AI12" s="185" t="str">
        <f>IF(Table_03[[#This Row],[b/t]]&lt;Table_03[[#This Row],[λpf]],"Compact",IF(AND(Table_03[[#This Row],[b/t]]&gt;Table_03[[#This Row],[λpf]],Table_03[[#This Row],[λrf]]&gt;Table_03[[#This Row],[b/t]]),"Non-Compact","Slender"))</f>
        <v>Compact</v>
      </c>
      <c r="AJ12" s="186">
        <f>IF(Table_03[[#This Row],[Controlling LBx]]="Compact",Table_03[[#This Row],[Mp (k-in)]],IF(Table_03[[#This Row],[Controlling LBx]]="Non-Compact",Table_03[[#This Row],[Mnlb,Non-Compact (k-in)]],IF(Table_03[[#This Row],[Controlling LBx]]="Slender",Table_03[[#This Row],[Mnlb,slender (k-in)]],"ERROR")))</f>
        <v>709.81836820000001</v>
      </c>
      <c r="AK12" s="183">
        <f>Table_03[[#This Row],[Mp (k-in)]]-(Table_03[[#This Row],[Mp (k-in)]]-0.7*Table_03[[#This Row],[Strength (ksi)]]*Table_03[[#This Row],[Static Parameters Elastic Section Modulus Sx (in3)2]])*(($B$5-Table_03[[#This Row],[Lp (ft)]])/(Table_03[[#This Row],[Lr]]-Table_03[[#This Row],[Lp (ft)]]))</f>
        <v>683.13215413045816</v>
      </c>
      <c r="AL12" s="184">
        <f>Table_03[[#This Row],[Fcrx]]*Table_03[[#This Row],[Static Parameters Elastic Section Modulus Sx (in3)2]]</f>
        <v>1632.2549590076571</v>
      </c>
      <c r="AM12" s="185" t="str">
        <f>IF($B$5&lt;Table_03[[#This Row],[Lp (ft)]],"Yielding Controls",IF(AND($B$5&gt;Table_03[[#This Row],[Lp (ft)]],Table_03[[#This Row],[Lr]]&gt;$B$5),"Mltb,p Controls","Mltb,r Controls"))</f>
        <v>Mltb,p Controls</v>
      </c>
      <c r="AN12" s="186">
        <f>IF(Table_03[[#This Row],[Controlling LTB]]="Yielding Controls",Table_03[[#This Row],[Mp (k-in)]],IF(Table_03[[#This Row],[Controlling LTB]]="Mltb,p Controls",Table_03[[#This Row],[Mnltbp (k-in)]],IF(Table_03[[#This Row],[Controlling LTB]]="Mltb,r Controls",Table_03[[#This Row],[Mnltbr (k-in)]],"ERROR")))</f>
        <v>683.13215413045816</v>
      </c>
      <c r="AO12" s="183">
        <f>MIN(Table_03[[#This Row],[Strength (ksi)]]*Table_03[[#This Row],[Static Parameters Plastic Section Modulus Zy (in3)]],1.6*Table_03[[#This Row],[Strength (ksi)]]*Table_03[[#This Row],[Static Parameters Elastic Section Modulus Sy (in3)3]])</f>
        <v>354.81815004999999</v>
      </c>
      <c r="AP12" s="181">
        <f>MIN(Table_03[[#This Row],[Mny (k-in)]],Table_03[[#This Row],[Mny (k-in)]]-(Table_03[[#This Row],[Mny (k-in)]]-0.7*Table_03[[#This Row],[Static Parameters Elastic Section Modulus Sy (in3)3]]*Table_03[[#This Row],[Strength (ksi)]])*((Table_03[[#This Row],[b/t]]-Table_03[[#This Row],[λpf]])/(Table_03[[#This Row],[λrf]]-Table_03[[#This Row],[λpf]])))</f>
        <v>354.81815004999999</v>
      </c>
      <c r="AQ12" s="184">
        <f>MIN(Table_03[[#This Row],[Mny (k-in)]],Table_03[[#This Row],[Fcry]]*Table_03[[#This Row],[Static Parameters Elastic Section Modulus Sy (in3)3]])</f>
        <v>354.81815004999999</v>
      </c>
      <c r="AR12" s="185" t="str">
        <f>IF(Table_03[[#This Row],[b/t]]&lt;Table_03[[#This Row],[λpf]],"Compact",IF(AND(Table_03[[#This Row],[b/t]]&gt;Table_03[[#This Row],[λpf]],Table_03[[#This Row],[λrf]]&gt;Table_03[[#This Row],[b/t]]),"Non-Compact","Slender"))</f>
        <v>Compact</v>
      </c>
      <c r="AS12" s="186">
        <f>IF(Table_03[[#This Row],[Controlling Lby]]="Compact",Table_03[[#This Row],[Mny (k-in)]],IF(Table_03[[#This Row],[Controlling Lby]]="Non-Compact",Table_03[[#This Row],[Mlby,Non-Compact (k-in)]],IF(Table_03[[#This Row],[Controlling Lby]]="Slender",Table_03[[#This Row],[Mlby,Slender (k-in)]],"ERROR")))</f>
        <v>354.81815004999999</v>
      </c>
      <c r="AT12" s="183">
        <f>MIN(Table_03[[#This Row],[LBx]],Table_03[[#This Row],[LTB]],Table_03[[#This Row],[Mp (k-in)]])</f>
        <v>683.13215413045816</v>
      </c>
      <c r="AU12" s="181">
        <f>Table_03[[#This Row],[Mp (k-in)]]</f>
        <v>709.81836820000001</v>
      </c>
      <c r="AV12" s="181">
        <f>MIN(Table_03[[#This Row],[LBy]],Table_03[[#This Row],[Mny (k-in)]])</f>
        <v>354.81815004999999</v>
      </c>
      <c r="AW12" s="187">
        <f>Table_03[[#This Row],[Mny (k-in)]]</f>
        <v>354.81815004999999</v>
      </c>
      <c r="AX12" s="169"/>
      <c r="AY12"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2" s="169"/>
    </row>
    <row r="13" spans="1:52" x14ac:dyDescent="0.3">
      <c r="A13" s="188" t="s">
        <v>111</v>
      </c>
      <c r="B13" s="189">
        <f>B12-$B$1*2</f>
        <v>5.984</v>
      </c>
      <c r="C13" s="189">
        <f>C12-$B$1*2</f>
        <v>6.2990000000000004</v>
      </c>
      <c r="D13" s="189">
        <f>D12-$B$1*2</f>
        <v>0.23599999999999999</v>
      </c>
      <c r="E13" s="189">
        <f>E12-$B$1*2</f>
        <v>0.35399999999999998</v>
      </c>
      <c r="F13" s="190">
        <f>2*Table_03[[#This Row],[Width w (in)]]*Table_03[[#This Row],[Flange Thickness tf (in)]]+Table_03[[#This Row],[Web Thickness tw (in)]]*(Table_03[[#This Row],[Depth h (in)]]-2*Table_03[[#This Row],[Flange Thickness tf (in)]])</f>
        <v>5.704828</v>
      </c>
      <c r="G13" s="189"/>
      <c r="H13"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38.274494138917333</v>
      </c>
      <c r="I13" s="190">
        <f>((Table_03[[#This Row],[Depth h (in)]]-2*Table_03[[#This Row],[Flange Thickness tf (in)]])*Table_03[[#This Row],[Web Thickness tw (in)]]^3/12+2*(Table_03[[#This Row],[Flange Thickness tf (in)]]*Table_03[[#This Row],[Width w (in)]]^3/12))</f>
        <v>14.751528076262336</v>
      </c>
      <c r="J13" s="190">
        <f>Table_03[[#This Row],[Width w (in)]]*Table_03[[#This Row],[Flange Thickness tf (in)]]*(Table_03[[#This Row],[Depth h (in)]]-Table_03[[#This Row],[Flange Thickness tf (in)]])+0.25*Table_03[[#This Row],[Web Thickness tw (in)]]*(Table_03[[#This Row],[Depth h (in)]]-2*Table_03[[#This Row],[Flange Thickness tf (in)]])^2</f>
        <v>14.196367364</v>
      </c>
      <c r="K13" s="190">
        <f>(Table_03[[#This Row],[Width w (in)]]^2*Table_03[[#This Row],[Flange Thickness tf (in)]])/2+0.25*Table_03[[#This Row],[Web Thickness tw (in)]]^2*(Table_03[[#This Row],[Depth h (in)]]-2*Table_03[[#This Row],[Flange Thickness tf (in)]])</f>
        <v>7.0963630009999994</v>
      </c>
      <c r="L13" s="190">
        <f>Table_03[[#This Row],[Static Parameters Moment of Inertia Ix (in4)]]/(Table_03[[#This Row],[Depth h (in)]]/2)</f>
        <v>12.792277452846703</v>
      </c>
      <c r="M13" s="190">
        <f>Table_03[[#This Row],[Static Parameters Moment of Inertia Iy (in4)]]/(Table_03[[#This Row],[Width w (in)]]/2)</f>
        <v>4.6837682413914381</v>
      </c>
      <c r="N13" s="191">
        <v>50</v>
      </c>
      <c r="O13" s="169">
        <f>SQRT(Table_03[[#This Row],[Static Parameters Moment of Inertia Ix (in4)]]/Table_03[[#This Row],[Sectional Area (in2)]])</f>
        <v>2.5902009136752815</v>
      </c>
      <c r="P13" s="190">
        <f>SQRT(Table_03[[#This Row],[Static Parameters Moment of Inertia Iy (in4)]]/Table_03[[#This Row],[Sectional Area (in2)]])</f>
        <v>1.6080414068784876</v>
      </c>
      <c r="Q13" s="190">
        <f>($B$6*$B$5*12)/Table_03[[#This Row],[ry (in)2]]</f>
        <v>111.65757251770059</v>
      </c>
      <c r="R13" s="190">
        <f>(PI()^2*$B$4)/(Table_03[[#This Row],[KL/ry]]^2)</f>
        <v>22.957330132594596</v>
      </c>
      <c r="S13" s="190">
        <f>IF(Table_03[[#This Row],[Strength (ksi)]]/Table_03[[#This Row],[Fe,y]]&lt;2.25,(0.658^(Table_03[[#This Row],[Strength (ksi)]]/Table_03[[#This Row],[Fe,y]])*Table_03[[#This Row],[Strength (ksi)]]),0.877*Table_03[[#This Row],[Fe,y]])</f>
        <v>20.094371791456599</v>
      </c>
      <c r="T13" s="190">
        <f>Table_03[[#This Row],[Fcr,y]]*Table_03[[#This Row],[Sectional Area (in2)]]</f>
        <v>114.63493483831176</v>
      </c>
      <c r="U13" s="190">
        <f>1.76*Table_03[[#This Row],[ry (in)2]]*SQRT($B$4/Table_03[[#This Row],[Strength (ksi)]])/12</f>
        <v>5.6799255883455162</v>
      </c>
      <c r="V1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20.563476568521594</v>
      </c>
      <c r="W13" s="190">
        <f>Table_03[[#This Row],[Depth h (in)]]-Table_03[[#This Row],[Flange Thickness tf (in)]]</f>
        <v>5.63</v>
      </c>
      <c r="X13" s="190">
        <f>(Table_03[[#This Row],[Static Parameters Moment of Inertia Iy (in4)]]*Table_03[[#This Row],[ho]]^2)/4</f>
        <v>116.8944275701199</v>
      </c>
      <c r="Y13" s="190">
        <f>SQRT((SQRT(Table_03[[#This Row],[Static Parameters Moment of Inertia Iy (in4)]]*Table_03[[#This Row],[Cw*]])/Table_03[[#This Row],[Static Parameters Elastic Section Modulus Sx (in3)2]]))</f>
        <v>1.8017053558018368</v>
      </c>
      <c r="Z13" s="190">
        <f>(2*Table_03[[#This Row],[Width w (in)]]*Table_03[[#This Row],[Flange Thickness tf (in)]]^3/3)+((Table_03[[#This Row],[Depth h (in)]]-Table_03[[#This Row],[Flange Thickness tf (in)]]*2)*Table_03[[#This Row],[Web Thickness tw (in)]]^3)/3</f>
        <v>0.20940661910933334</v>
      </c>
      <c r="AA13" s="190">
        <f>Table_03[[#This Row],[Width w (in)]]*0.5/Table_03[[#This Row],[Flange Thickness tf (in)]]</f>
        <v>8.8968926553672318</v>
      </c>
      <c r="AB13" s="190">
        <f>0.38*SQRT($B$4/Table_03[[#This Row],[Strength (ksi)]])</f>
        <v>9.1516118798821449</v>
      </c>
      <c r="AC13" s="190">
        <f>1*SQRT($B$4/Table_03[[#This Row],[Strength (ksi)]])</f>
        <v>24.083189157584592</v>
      </c>
      <c r="AD13" s="190">
        <f>(PI()^2*$B$4/(12*$B$5/Table_03[[#This Row],[rts]])^2)*SQRT(1+0.078*(Table_03[[#This Row],[J*]]/(Table_03[[#This Row],[Static Parameters Elastic Section Modulus Sx (in3)2]]*Table_03[[#This Row],[ho]])*$B$4/(12*$B$5/Table_03[[#This Row],[rts]])^2))</f>
        <v>127.28180170395956</v>
      </c>
      <c r="AE13" s="190">
        <f>0.69*$B$4/Table_03[[#This Row],[b/t]]^2</f>
        <v>252.79611030974533</v>
      </c>
      <c r="AF13" s="192">
        <f>Table_03[[#This Row],[Strength (ksi)]]*Table_03[[#This Row],[Static Parameters Plastic Section Modulus Zx (in3)]]</f>
        <v>709.81836820000001</v>
      </c>
      <c r="AG13" s="190">
        <f>Table_03[[#This Row],[Mp (k-in)]]-(Table_03[[#This Row],[Mp (k-in)]]-0.7*Table_03[[#This Row],[Strength (ksi)]]*Table_03[[#This Row],[Static Parameters Elastic Section Modulus Sx (in3)2]])*((Table_03[[#This Row],[b/t]]-Table_03[[#This Row],[λpf]])/(Table_03[[#This Row],[λrf]]-Table_03[[#This Row],[λpf]]))</f>
        <v>714.28936401730937</v>
      </c>
      <c r="AH13" s="193">
        <f>0.9*$B$4*Table_03[[#This Row],[kc]]*Table_03[[#This Row],[Static Parameters Elastic Section Modulus Sx (in3)2]]/Table_03[[#This Row],[b/t]]^2</f>
        <v>3205.7176518037231</v>
      </c>
      <c r="AI13" s="194" t="str">
        <f>IF(Table_03[[#This Row],[b/t]]&lt;Table_03[[#This Row],[λpf]],"Compact",IF(AND(Table_03[[#This Row],[b/t]]&gt;Table_03[[#This Row],[λpf]],Table_03[[#This Row],[λrf]]&gt;Table_03[[#This Row],[b/t]]),"Non-Compact","Slender"))</f>
        <v>Compact</v>
      </c>
      <c r="AJ13" s="195">
        <f>IF(Table_03[[#This Row],[Controlling LBx]]="Compact",Table_03[[#This Row],[Mp (k-in)]],IF(Table_03[[#This Row],[Controlling LBx]]="Non-Compact",Table_03[[#This Row],[Mnlb,Non-Compact (k-in)]],IF(Table_03[[#This Row],[Controlling LBx]]="Slender",Table_03[[#This Row],[Mnlb,slender (k-in)]],"ERROR")))</f>
        <v>709.81836820000001</v>
      </c>
      <c r="AK13" s="192">
        <f>Table_03[[#This Row],[Mp (k-in)]]-(Table_03[[#This Row],[Mp (k-in)]]-0.7*Table_03[[#This Row],[Strength (ksi)]]*Table_03[[#This Row],[Static Parameters Elastic Section Modulus Sx (in3)2]])*(($B$5-Table_03[[#This Row],[Lp (ft)]])/(Table_03[[#This Row],[Lr]]-Table_03[[#This Row],[Lp (ft)]]))</f>
        <v>684.3716443082119</v>
      </c>
      <c r="AL13" s="196">
        <f>Table_03[[#This Row],[Fcrx]]*Table_03[[#This Row],[Static Parameters Elastic Section Modulus Sx (in3)2]]</f>
        <v>1628.2241220952669</v>
      </c>
      <c r="AM13" s="197" t="str">
        <f>IF($B$5&lt;Table_03[[#This Row],[Lp (ft)]],"Yielding Controls",IF(AND($B$5&gt;Table_03[[#This Row],[Lp (ft)]],Table_03[[#This Row],[Lr]]&gt;$B$5),"Mltb,p Controls","Mltb,r Controls"))</f>
        <v>Mltb,p Controls</v>
      </c>
      <c r="AN13" s="198">
        <f>IF(Table_03[[#This Row],[Controlling LTB]]="Yielding Controls",Table_03[[#This Row],[Mp (k-in)]],IF(Table_03[[#This Row],[Controlling LTB]]="Mltb,p Controls",Table_03[[#This Row],[Mnltbp (k-in)]],IF(Table_03[[#This Row],[Controlling LTB]]="Mltb,r Controls",Table_03[[#This Row],[Mnltbr (k-in)]],"ERROR")))</f>
        <v>684.3716443082119</v>
      </c>
      <c r="AO13" s="199">
        <f>MIN(Table_03[[#This Row],[Strength (ksi)]]*Table_03[[#This Row],[Static Parameters Plastic Section Modulus Zy (in3)]],1.6*Table_03[[#This Row],[Strength (ksi)]]*Table_03[[#This Row],[Static Parameters Elastic Section Modulus Sy (in3)3]])</f>
        <v>354.81815004999999</v>
      </c>
      <c r="AP13" s="169">
        <f>MIN(Table_03[[#This Row],[Mny (k-in)]],Table_03[[#This Row],[Mny (k-in)]]-(Table_03[[#This Row],[Mny (k-in)]]-0.7*Table_03[[#This Row],[Static Parameters Elastic Section Modulus Sy (in3)3]]*Table_03[[#This Row],[Strength (ksi)]])*((Table_03[[#This Row],[b/t]]-Table_03[[#This Row],[λpf]])/(Table_03[[#This Row],[λrf]]-Table_03[[#This Row],[λpf]])))</f>
        <v>354.81815004999999</v>
      </c>
      <c r="AQ13" s="196">
        <f>MIN(Table_03[[#This Row],[Mny (k-in)]],Table_03[[#This Row],[Fcry]]*Table_03[[#This Row],[Static Parameters Elastic Section Modulus Sy (in3)3]])</f>
        <v>354.81815004999999</v>
      </c>
      <c r="AR13" s="197" t="str">
        <f>IF(Table_03[[#This Row],[b/t]]&lt;Table_03[[#This Row],[λpf]],"Compact",IF(AND(Table_03[[#This Row],[b/t]]&gt;Table_03[[#This Row],[λpf]],Table_03[[#This Row],[λrf]]&gt;Table_03[[#This Row],[b/t]]),"Non-Compact","Slender"))</f>
        <v>Compact</v>
      </c>
      <c r="AS13" s="198">
        <f>IF(Table_03[[#This Row],[Controlling Lby]]="Compact",Table_03[[#This Row],[Mny (k-in)]],IF(Table_03[[#This Row],[Controlling Lby]]="Non-Compact",Table_03[[#This Row],[Mlby,Non-Compact (k-in)]],IF(Table_03[[#This Row],[Controlling Lby]]="Slender",Table_03[[#This Row],[Mlby,Slender (k-in)]],"ERROR")))</f>
        <v>354.81815004999999</v>
      </c>
      <c r="AT13" s="199">
        <f>MIN(Table_03[[#This Row],[LBx]],Table_03[[#This Row],[LTB]],Table_03[[#This Row],[Mp (k-in)]])</f>
        <v>684.3716443082119</v>
      </c>
      <c r="AU13" s="169">
        <f>Table_03[[#This Row],[Mp (k-in)]]</f>
        <v>709.81836820000001</v>
      </c>
      <c r="AV13" s="169">
        <f>MIN(Table_03[[#This Row],[LBy]],Table_03[[#This Row],[Mny (k-in)]])</f>
        <v>354.81815004999999</v>
      </c>
      <c r="AW13" s="200">
        <f>Table_03[[#This Row],[Mny (k-in)]]</f>
        <v>354.81815004999999</v>
      </c>
      <c r="AX13" s="169"/>
      <c r="AY13"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3" s="169"/>
    </row>
    <row r="14" spans="1:52" ht="14.4" thickBot="1" x14ac:dyDescent="0.35">
      <c r="A14" s="201" t="s">
        <v>112</v>
      </c>
      <c r="B14" s="202">
        <f>B12-$B$3*2</f>
        <v>5.9039999999999999</v>
      </c>
      <c r="C14" s="202">
        <f>C12-$B$3*2</f>
        <v>6.2190000000000003</v>
      </c>
      <c r="D14" s="202">
        <f>D12-$B$3*2</f>
        <v>0.15599999999999997</v>
      </c>
      <c r="E14" s="202">
        <f>E12-$B$3*2</f>
        <v>0.27399999999999997</v>
      </c>
      <c r="F14" s="203">
        <f>2*Table_03[[#This Row],[Width w (in)]]*Table_03[[#This Row],[Flange Thickness tf (in)]]+Table_03[[#This Row],[Web Thickness tw (in)]]*(Table_03[[#This Row],[Depth h (in)]]-2*Table_03[[#This Row],[Flange Thickness tf (in)]])</f>
        <v>4.2435479999999997</v>
      </c>
      <c r="G14" s="204"/>
      <c r="H14"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29.024575603984001</v>
      </c>
      <c r="I14" s="203">
        <f>((Table_03[[#This Row],[Depth h (in)]]-2*Table_03[[#This Row],[Flange Thickness tf (in)]])*Table_03[[#This Row],[Web Thickness tw (in)]]^3/12+2*(Table_03[[#This Row],[Flange Thickness tf (in)]]*Table_03[[#This Row],[Width w (in)]]^3/12))</f>
        <v>10.985706066969</v>
      </c>
      <c r="J14" s="203">
        <f>Table_03[[#This Row],[Width w (in)]]*Table_03[[#This Row],[Flange Thickness tf (in)]]*(Table_03[[#This Row],[Depth h (in)]]-Table_03[[#This Row],[Flange Thickness tf (in)]])+0.25*Table_03[[#This Row],[Web Thickness tw (in)]]*(Table_03[[#This Row],[Depth h (in)]]-2*Table_03[[#This Row],[Flange Thickness tf (in)]])^2</f>
        <v>10.712336483999998</v>
      </c>
      <c r="K14" s="203">
        <f>(Table_03[[#This Row],[Width w (in)]]^2*Table_03[[#This Row],[Flange Thickness tf (in)]])/2+0.25*Table_03[[#This Row],[Web Thickness tw (in)]]^2*(Table_03[[#This Row],[Depth h (in)]]-2*Table_03[[#This Row],[Flange Thickness tf (in)]])</f>
        <v>5.3311925609999999</v>
      </c>
      <c r="L14" s="203">
        <f>Table_03[[#This Row],[Static Parameters Moment of Inertia Ix (in4)]]/(Table_03[[#This Row],[Depth h (in)]]/2)</f>
        <v>9.8321733075826572</v>
      </c>
      <c r="M14" s="203">
        <f>Table_03[[#This Row],[Static Parameters Moment of Inertia Iy (in4)]]/(Table_03[[#This Row],[Width w (in)]]/2)</f>
        <v>3.5329493703068016</v>
      </c>
      <c r="N14" s="205">
        <v>50</v>
      </c>
      <c r="O14" s="206">
        <f>SQRT(Table_03[[#This Row],[Static Parameters Moment of Inertia Ix (in4)]]/Table_03[[#This Row],[Sectional Area (in2)]])</f>
        <v>2.6152811262004017</v>
      </c>
      <c r="P14" s="203">
        <f>SQRT(Table_03[[#This Row],[Static Parameters Moment of Inertia Iy (in4)]]/Table_03[[#This Row],[Sectional Area (in2)]])</f>
        <v>1.6089754882979037</v>
      </c>
      <c r="Q14" s="203">
        <f>($B$6*$B$5*12)/Table_03[[#This Row],[ry (in)2]]</f>
        <v>111.59275035938653</v>
      </c>
      <c r="R14" s="203">
        <f>(PI()^2*$B$4)/(Table_03[[#This Row],[KL/ry]]^2)</f>
        <v>22.98400885322938</v>
      </c>
      <c r="S14" s="203">
        <f>IF(Table_03[[#This Row],[Strength (ksi)]]/Table_03[[#This Row],[Fe,y]]&lt;2.25,(0.658^(Table_03[[#This Row],[Strength (ksi)]]/Table_03[[#This Row],[Fe,y]])*Table_03[[#This Row],[Strength (ksi)]]),0.877*Table_03[[#This Row],[Fe,y]])</f>
        <v>20.115645331874731</v>
      </c>
      <c r="T14" s="203">
        <f>Table_03[[#This Row],[Fcr,y]]*Table_03[[#This Row],[Sectional Area (in2)]]</f>
        <v>85.361706516786342</v>
      </c>
      <c r="U14" s="203">
        <f>1.76*Table_03[[#This Row],[ry (in)2]]*SQRT($B$4/Table_03[[#This Row],[Strength (ksi)]])/12</f>
        <v>5.6832249517406659</v>
      </c>
      <c r="V1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17.243373124622284</v>
      </c>
      <c r="W14" s="203">
        <f>Table_03[[#This Row],[Depth h (in)]]-Table_03[[#This Row],[Flange Thickness tf (in)]]</f>
        <v>5.63</v>
      </c>
      <c r="X14" s="203">
        <f>(Table_03[[#This Row],[Static Parameters Moment of Inertia Iy (in4)]]*Table_03[[#This Row],[ho]]^2)/4</f>
        <v>87.053206658527415</v>
      </c>
      <c r="Y14" s="203">
        <f>SQRT((SQRT(Table_03[[#This Row],[Static Parameters Moment of Inertia Iy (in4)]]*Table_03[[#This Row],[Cw*]])/Table_03[[#This Row],[Static Parameters Elastic Section Modulus Sx (in3)2]]))</f>
        <v>1.7734886952645668</v>
      </c>
      <c r="Z14" s="203">
        <f>(2*Table_03[[#This Row],[Width w (in)]]*Table_03[[#This Row],[Flange Thickness tf (in)]]^3/3)+((Table_03[[#This Row],[Depth h (in)]]-Table_03[[#This Row],[Flange Thickness tf (in)]]*2)*Table_03[[#This Row],[Web Thickness tw (in)]]^3)/3</f>
        <v>9.2064504335999955E-2</v>
      </c>
      <c r="AA14" s="203">
        <f>Table_03[[#This Row],[Width w (in)]]*0.5/Table_03[[#This Row],[Flange Thickness tf (in)]]</f>
        <v>11.348540145985403</v>
      </c>
      <c r="AB14" s="203">
        <f>0.38*SQRT($B$4/Table_03[[#This Row],[Strength (ksi)]])</f>
        <v>9.1516118798821449</v>
      </c>
      <c r="AC14" s="203">
        <f>1*SQRT($B$4/Table_03[[#This Row],[Strength (ksi)]])</f>
        <v>24.083189157584592</v>
      </c>
      <c r="AD14" s="203">
        <f>(PI()^2*$B$4/(12*$B$5/Table_03[[#This Row],[rts]])^2)*SQRT(1+0.078*(Table_03[[#This Row],[J*]]/(Table_03[[#This Row],[Static Parameters Elastic Section Modulus Sx (in3)2]]*Table_03[[#This Row],[ho]])*$B$4/(12*$B$5/Table_03[[#This Row],[rts]])^2))</f>
        <v>123.24620713978545</v>
      </c>
      <c r="AE14" s="203">
        <f>0.69*$B$4/Table_03[[#This Row],[b/t]]^2</f>
        <v>155.36997361229106</v>
      </c>
      <c r="AF14" s="207">
        <f>Table_03[[#This Row],[Strength (ksi)]]*Table_03[[#This Row],[Static Parameters Plastic Section Modulus Zx (in3)]]</f>
        <v>535.61682419999988</v>
      </c>
      <c r="AG14" s="203">
        <f>Table_03[[#This Row],[Mp (k-in)]]-(Table_03[[#This Row],[Mp (k-in)]]-0.7*Table_03[[#This Row],[Strength (ksi)]]*Table_03[[#This Row],[Static Parameters Elastic Section Modulus Sx (in3)2]])*((Table_03[[#This Row],[b/t]]-Table_03[[#This Row],[λpf]])/(Table_03[[#This Row],[λrf]]-Table_03[[#This Row],[λpf]]))</f>
        <v>507.44220794356704</v>
      </c>
      <c r="AH14" s="208">
        <f>0.9*$B$4*Table_03[[#This Row],[kc]]*Table_03[[#This Row],[Static Parameters Elastic Section Modulus Sx (in3)2]]/Table_03[[#This Row],[b/t]]^2</f>
        <v>1295.5648356968682</v>
      </c>
      <c r="AI14" s="209" t="str">
        <f>IF(Table_03[[#This Row],[b/t]]&lt;Table_03[[#This Row],[λpf]],"Compact",IF(AND(Table_03[[#This Row],[b/t]]&gt;Table_03[[#This Row],[λpf]],Table_03[[#This Row],[λrf]]&gt;Table_03[[#This Row],[b/t]]),"Non-Compact","Slender"))</f>
        <v>Non-Compact</v>
      </c>
      <c r="AJ14" s="210">
        <f>IF(Table_03[[#This Row],[Controlling LBx]]="Compact",Table_03[[#This Row],[Mp (k-in)]],IF(Table_03[[#This Row],[Controlling LBx]]="Non-Compact",Table_03[[#This Row],[Mnlb,Non-Compact (k-in)]],IF(Table_03[[#This Row],[Controlling LBx]]="Slender",Table_03[[#This Row],[Mnlb,slender (k-in)]],"ERROR")))</f>
        <v>507.44220794356704</v>
      </c>
      <c r="AK14" s="207">
        <f>Table_03[[#This Row],[Mp (k-in)]]-(Table_03[[#This Row],[Mp (k-in)]]-0.7*Table_03[[#This Row],[Strength (ksi)]]*Table_03[[#This Row],[Static Parameters Elastic Section Modulus Sx (in3)2]])*(($B$5-Table_03[[#This Row],[Lp (ft)]])/(Table_03[[#This Row],[Lr]]-Table_03[[#This Row],[Lp (ft)]]))</f>
        <v>511.73420666306123</v>
      </c>
      <c r="AL14" s="211">
        <f>Table_03[[#This Row],[Fcrx]]*Table_03[[#This Row],[Static Parameters Elastic Section Modulus Sx (in3)2]]</f>
        <v>1211.7780681006016</v>
      </c>
      <c r="AM14" s="212" t="str">
        <f>IF($B$5&lt;Table_03[[#This Row],[Lp (ft)]],"Yielding Controls",IF(AND($B$5&gt;Table_03[[#This Row],[Lp (ft)]],Table_03[[#This Row],[Lr]]&gt;$B$5),"Mltb,p Controls","Mltb,r Controls"))</f>
        <v>Mltb,p Controls</v>
      </c>
      <c r="AN14" s="213">
        <f>IF(Table_03[[#This Row],[Controlling LTB]]="Yielding Controls",Table_03[[#This Row],[Mp (k-in)]],IF(Table_03[[#This Row],[Controlling LTB]]="Mltb,p Controls",Table_03[[#This Row],[Mnltbp (k-in)]],IF(Table_03[[#This Row],[Controlling LTB]]="Mltb,r Controls",Table_03[[#This Row],[Mnltbr (k-in)]],"ERROR")))</f>
        <v>511.73420666306123</v>
      </c>
      <c r="AO14" s="214">
        <f>MIN(Table_03[[#This Row],[Strength (ksi)]]*Table_03[[#This Row],[Static Parameters Plastic Section Modulus Zy (in3)]],1.6*Table_03[[#This Row],[Strength (ksi)]]*Table_03[[#This Row],[Static Parameters Elastic Section Modulus Sy (in3)3]])</f>
        <v>266.55962805000001</v>
      </c>
      <c r="AP14" s="206">
        <f>MIN(Table_03[[#This Row],[Mny (k-in)]],Table_03[[#This Row],[Mny (k-in)]]-(Table_03[[#This Row],[Mny (k-in)]]-0.7*Table_03[[#This Row],[Static Parameters Elastic Section Modulus Sy (in3)3]]*Table_03[[#This Row],[Strength (ksi)]])*((Table_03[[#This Row],[b/t]]-Table_03[[#This Row],[λpf]])/(Table_03[[#This Row],[λrf]]-Table_03[[#This Row],[λpf]])))</f>
        <v>245.53337583805219</v>
      </c>
      <c r="AQ14" s="211">
        <f>MIN(Table_03[[#This Row],[Mny (k-in)]],Table_03[[#This Row],[Fcry]]*Table_03[[#This Row],[Static Parameters Elastic Section Modulus Sy (in3)3]])</f>
        <v>266.55962805000001</v>
      </c>
      <c r="AR14" s="212" t="str">
        <f>IF(Table_03[[#This Row],[b/t]]&lt;Table_03[[#This Row],[λpf]],"Compact",IF(AND(Table_03[[#This Row],[b/t]]&gt;Table_03[[#This Row],[λpf]],Table_03[[#This Row],[λrf]]&gt;Table_03[[#This Row],[b/t]]),"Non-Compact","Slender"))</f>
        <v>Non-Compact</v>
      </c>
      <c r="AS14" s="213">
        <f>IF(Table_03[[#This Row],[Controlling Lby]]="Compact",Table_03[[#This Row],[Mny (k-in)]],IF(Table_03[[#This Row],[Controlling Lby]]="Non-Compact",Table_03[[#This Row],[Mlby,Non-Compact (k-in)]],IF(Table_03[[#This Row],[Controlling Lby]]="Slender",Table_03[[#This Row],[Mlby,Slender (k-in)]],"ERROR")))</f>
        <v>245.53337583805219</v>
      </c>
      <c r="AT14" s="214">
        <f>MIN(Table_03[[#This Row],[LBx]],Table_03[[#This Row],[LTB]],Table_03[[#This Row],[Mp (k-in)]])</f>
        <v>507.44220794356704</v>
      </c>
      <c r="AU14" s="206">
        <f>Table_03[[#This Row],[Mp (k-in)]]</f>
        <v>535.61682419999988</v>
      </c>
      <c r="AV14" s="206">
        <f>MIN(Table_03[[#This Row],[LBy]],Table_03[[#This Row],[Mny (k-in)]])</f>
        <v>245.53337583805219</v>
      </c>
      <c r="AW14" s="215">
        <f>Table_03[[#This Row],[Mny (k-in)]]</f>
        <v>266.55962805000001</v>
      </c>
      <c r="AX14" s="169"/>
      <c r="AY14" s="165">
        <f>IF(4/SQRT((Table_03[[#This Row],[Depth h (in)]]-Table_03[[#This Row],[Flange Thickness tf (in)]]*2)/Table_03[[#This Row],[Web Thickness tw (in)]])&lt;0.35,0.35,IF(4/SQRT(Table_03[[#This Row],[Depth h (in)]]/Table_03[[#This Row],[Web Thickness tw (in)]])&gt;0.76,0.76,4/SQRT(Table_03[[#This Row],[Depth h (in)]]/Table_03[[#This Row],[Web Thickness tw (in)]])))</f>
        <v>0.65020322026446187</v>
      </c>
      <c r="AZ14" s="169"/>
    </row>
    <row r="15" spans="1:52" x14ac:dyDescent="0.3">
      <c r="A15" s="179" t="s">
        <v>113</v>
      </c>
      <c r="B15" s="180">
        <v>6.2991999999999999</v>
      </c>
      <c r="C15" s="180">
        <v>6.2991999999999999</v>
      </c>
      <c r="D15" s="180">
        <v>0.315</v>
      </c>
      <c r="E15" s="180">
        <v>0.51</v>
      </c>
      <c r="F15" s="181">
        <v>8.41</v>
      </c>
      <c r="G15" s="180"/>
      <c r="H15" s="180">
        <v>59.87</v>
      </c>
      <c r="I15" s="180">
        <v>21.36</v>
      </c>
      <c r="J15" s="181">
        <f>Table_03[[#This Row],[Width w (in)]]*Table_03[[#This Row],[Flange Thickness tf (in)]]*(Table_03[[#This Row],[Depth h (in)]]-Table_03[[#This Row],[Flange Thickness tf (in)]])+0.25*Table_03[[#This Row],[Web Thickness tw (in)]]*(Table_03[[#This Row],[Depth h (in)]]-2*Table_03[[#This Row],[Flange Thickness tf (in)]])^2</f>
        <v>20.793096376800001</v>
      </c>
      <c r="K15" s="181">
        <f>(Table_03[[#This Row],[Width w (in)]]^2*Table_03[[#This Row],[Flange Thickness tf (in)]])/2+0.25*Table_03[[#This Row],[Web Thickness tw (in)]]^2*(Table_03[[#This Row],[Depth h (in)]]-2*Table_03[[#This Row],[Flange Thickness tf (in)]])</f>
        <v>10.249336918200001</v>
      </c>
      <c r="L15" s="181">
        <f>Table_03[[#This Row],[Static Parameters Moment of Inertia Ix (in4)]]/(Table_03[[#This Row],[Depth h (in)]]*0.5)</f>
        <v>19.008763017526036</v>
      </c>
      <c r="M15" s="181">
        <f>Table_03[[#This Row],[Static Parameters Moment of Inertia Iy (in4)]]/(0.5*Table_03[[#This Row],[Width w (in)]])</f>
        <v>6.7818135636271268</v>
      </c>
      <c r="N15" s="182">
        <v>50</v>
      </c>
      <c r="O15" s="181">
        <f>SQRT(Table_03[[#This Row],[Static Parameters Moment of Inertia Ix (in4)]]/Table_03[[#This Row],[Sectional Area (in2)]])</f>
        <v>2.6681278200658367</v>
      </c>
      <c r="P15" s="181">
        <f>SQRT(Table_03[[#This Row],[Static Parameters Moment of Inertia Iy (in4)]]/Table_03[[#This Row],[Sectional Area (in2)]])</f>
        <v>1.5936855183850127</v>
      </c>
      <c r="Q15" s="181">
        <f>($B$6*$B$5*12)/Table_03[[#This Row],[ry (in)2]]</f>
        <v>112.66338178309479</v>
      </c>
      <c r="R15" s="181">
        <f>(PI()^2*$B$4)/(Table_03[[#This Row],[KL/ry]]^2)</f>
        <v>22.549253911354629</v>
      </c>
      <c r="S15" s="181">
        <f>IF(Table_03[[#This Row],[Strength (ksi)]]/Table_03[[#This Row],[Fe,y]]&lt;2.25,(0.658^(Table_03[[#This Row],[Strength (ksi)]]/Table_03[[#This Row],[Fe,y]])*Table_03[[#This Row],[Strength (ksi)]]),0.877*Table_03[[#This Row],[Fe,y]])</f>
        <v>19.765593964914263</v>
      </c>
      <c r="T15" s="181">
        <f>Table_03[[#This Row],[Fcr,y]]*Table_03[[#This Row],[Sectional Area (in2)]]</f>
        <v>166.22864524492897</v>
      </c>
      <c r="U15" s="181">
        <f>1.76*Table_03[[#This Row],[ry (in)2]]*SQRT($B$4/Table_03[[#This Row],[Strength (ksi)]])/12</f>
        <v>5.6292177035555291</v>
      </c>
      <c r="V1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26.542912270674861</v>
      </c>
      <c r="W15" s="181">
        <f>Table_03[[#This Row],[Depth h (in)]]-Table_03[[#This Row],[Flange Thickness tf (in)]]</f>
        <v>5.7892000000000001</v>
      </c>
      <c r="X15" s="181">
        <f>(Table_03[[#This Row],[Static Parameters Moment of Inertia Iy (in4)]]*Table_03[[#This Row],[ho]]^2)/4</f>
        <v>178.96922765759999</v>
      </c>
      <c r="Y15" s="181">
        <f>SQRT((SQRT(Table_03[[#This Row],[Static Parameters Moment of Inertia Iy (in4)]]*Table_03[[#This Row],[Cw*]])/Table_03[[#This Row],[Static Parameters Elastic Section Modulus Sx (in3)2]]))</f>
        <v>1.8035075921202761</v>
      </c>
      <c r="Z15" s="181">
        <f>(2*Table_03[[#This Row],[Width w (in)]]*Table_03[[#This Row],[Flange Thickness tf (in)]]^3/3)+((Table_03[[#This Row],[Depth h (in)]]-Table_03[[#This Row],[Flange Thickness tf (in)]]*2)*Table_03[[#This Row],[Web Thickness tw (in)]]^3)/3</f>
        <v>0.61206545789999989</v>
      </c>
      <c r="AA15" s="181">
        <f>Table_03[[#This Row],[Width w (in)]]*0.5/Table_03[[#This Row],[Flange Thickness tf (in)]]</f>
        <v>6.175686274509804</v>
      </c>
      <c r="AB15" s="181">
        <f>0.38*SQRT($B$4/Table_03[[#This Row],[Strength (ksi)]])</f>
        <v>9.1516118798821449</v>
      </c>
      <c r="AC15" s="181">
        <f>1*SQRT($B$4/Table_03[[#This Row],[Strength (ksi)]])</f>
        <v>24.083189157584592</v>
      </c>
      <c r="AD15" s="181">
        <f>(PI()^2*$B$4/(12*$B$5/Table_03[[#This Row],[rts]])^2)*SQRT(1+0.078*(Table_03[[#This Row],[J*]]/(Table_03[[#This Row],[Static Parameters Elastic Section Modulus Sx (in3)2]]*Table_03[[#This Row],[ho]])*$B$4/(12*$B$5/Table_03[[#This Row],[rts]])^2))</f>
        <v>127.70668543124901</v>
      </c>
      <c r="AE15" s="181">
        <f>0.69*$B$4/Table_03[[#This Row],[b/t]]^2</f>
        <v>524.65840818778418</v>
      </c>
      <c r="AF15" s="183">
        <f>Table_03[[#This Row],[Strength (ksi)]]*Table_03[[#This Row],[Static Parameters Plastic Section Modulus Zx (in3)]]</f>
        <v>1039.65481884</v>
      </c>
      <c r="AG15" s="181">
        <f>Table_03[[#This Row],[Mp (k-in)]]-(Table_03[[#This Row],[Mp (k-in)]]-0.7*Table_03[[#This Row],[Strength (ksi)]]*Table_03[[#This Row],[Static Parameters Elastic Section Modulus Sx (in3)2]])*((Table_03[[#This Row],[b/t]]-Table_03[[#This Row],[λpf]])/(Table_03[[#This Row],[λrf]]-Table_03[[#This Row],[λpf]]))</f>
        <v>1114.2639585681538</v>
      </c>
      <c r="AH15" s="184">
        <f>0.9*$B$4*Table_03[[#This Row],[kc]]*Table_03[[#This Row],[Static Parameters Elastic Section Modulus Sx (in3)2]]/Table_03[[#This Row],[b/t]]^2</f>
        <v>9886.3846738166903</v>
      </c>
      <c r="AI15" s="185" t="str">
        <f>IF(Table_03[[#This Row],[b/t]]&lt;Table_03[[#This Row],[λpf]],"Compact",IF(AND(Table_03[[#This Row],[b/t]]&gt;Table_03[[#This Row],[λpf]],Table_03[[#This Row],[λrf]]&gt;Table_03[[#This Row],[b/t]]),"Non-Compact","Slender"))</f>
        <v>Compact</v>
      </c>
      <c r="AJ15" s="186">
        <f>IF(Table_03[[#This Row],[Controlling LBx]]="Compact",Table_03[[#This Row],[Mp (k-in)]],IF(Table_03[[#This Row],[Controlling LBx]]="Non-Compact",Table_03[[#This Row],[Mnlb,Non-Compact (k-in)]],IF(Table_03[[#This Row],[Controlling LBx]]="Slender",Table_03[[#This Row],[Mnlb,slender (k-in)]],"ERROR")))</f>
        <v>1039.65481884</v>
      </c>
      <c r="AK15" s="183">
        <f>Table_03[[#This Row],[Mp (k-in)]]-(Table_03[[#This Row],[Mp (k-in)]]-0.7*Table_03[[#This Row],[Strength (ksi)]]*Table_03[[#This Row],[Static Parameters Elastic Section Modulus Sx (in3)2]])*(($B$5-Table_03[[#This Row],[Lp (ft)]])/(Table_03[[#This Row],[Lr]]-Table_03[[#This Row],[Lp (ft)]]))</f>
        <v>1012.8808177817618</v>
      </c>
      <c r="AL15" s="184">
        <f>Table_03[[#This Row],[Fcrx]]*Table_03[[#This Row],[Static Parameters Elastic Section Modulus Sx (in3)2]]</f>
        <v>2427.5461191163572</v>
      </c>
      <c r="AM15" s="185" t="str">
        <f>IF($B$5&lt;Table_03[[#This Row],[Lp (ft)]],"Yielding Controls",IF(AND($B$5&gt;Table_03[[#This Row],[Lp (ft)]],Table_03[[#This Row],[Lr]]&gt;$B$5),"Mltb,p Controls","Mltb,r Controls"))</f>
        <v>Mltb,p Controls</v>
      </c>
      <c r="AN15" s="186">
        <f>IF(Table_03[[#This Row],[Controlling LTB]]="Yielding Controls",Table_03[[#This Row],[Mp (k-in)]],IF(Table_03[[#This Row],[Controlling LTB]]="Mltb,p Controls",Table_03[[#This Row],[Mnltbp (k-in)]],IF(Table_03[[#This Row],[Controlling LTB]]="Mltb,r Controls",Table_03[[#This Row],[Mnltbr (k-in)]],"ERROR")))</f>
        <v>1012.8808177817618</v>
      </c>
      <c r="AO15" s="183">
        <f>MIN(Table_03[[#This Row],[Strength (ksi)]]*Table_03[[#This Row],[Static Parameters Plastic Section Modulus Zy (in3)]],1.6*Table_03[[#This Row],[Strength (ksi)]]*Table_03[[#This Row],[Static Parameters Elastic Section Modulus Sy (in3)3]])</f>
        <v>512.46684591000007</v>
      </c>
      <c r="AP15" s="181">
        <f>MIN(Table_03[[#This Row],[Mny (k-in)]],Table_03[[#This Row],[Mny (k-in)]]-(Table_03[[#This Row],[Mny (k-in)]]-0.7*Table_03[[#This Row],[Static Parameters Elastic Section Modulus Sy (in3)3]]*Table_03[[#This Row],[Strength (ksi)]])*((Table_03[[#This Row],[b/t]]-Table_03[[#This Row],[λpf]])/(Table_03[[#This Row],[λrf]]-Table_03[[#This Row],[λpf]])))</f>
        <v>512.46684591000007</v>
      </c>
      <c r="AQ15" s="184">
        <f>MIN(Table_03[[#This Row],[Mny (k-in)]],Table_03[[#This Row],[Fcry]]*Table_03[[#This Row],[Static Parameters Elastic Section Modulus Sy (in3)3]])</f>
        <v>512.46684591000007</v>
      </c>
      <c r="AR15" s="185" t="str">
        <f>IF(Table_03[[#This Row],[b/t]]&lt;Table_03[[#This Row],[λpf]],"Compact",IF(AND(Table_03[[#This Row],[b/t]]&gt;Table_03[[#This Row],[λpf]],Table_03[[#This Row],[λrf]]&gt;Table_03[[#This Row],[b/t]]),"Non-Compact","Slender"))</f>
        <v>Compact</v>
      </c>
      <c r="AS15" s="186">
        <f>IF(Table_03[[#This Row],[Controlling Lby]]="Compact",Table_03[[#This Row],[Mny (k-in)]],IF(Table_03[[#This Row],[Controlling Lby]]="Non-Compact",Table_03[[#This Row],[Mlby,Non-Compact (k-in)]],IF(Table_03[[#This Row],[Controlling Lby]]="Slender",Table_03[[#This Row],[Mlby,Slender (k-in)]],"ERROR")))</f>
        <v>512.46684591000007</v>
      </c>
      <c r="AT15" s="183">
        <f>MIN(Table_03[[#This Row],[LBx]],Table_03[[#This Row],[LTB]],Table_03[[#This Row],[Mp (k-in)]])</f>
        <v>1012.8808177817618</v>
      </c>
      <c r="AU15" s="181">
        <f>Table_03[[#This Row],[Mp (k-in)]]</f>
        <v>1039.65481884</v>
      </c>
      <c r="AV15" s="181">
        <f>MIN(Table_03[[#This Row],[LBy]],Table_03[[#This Row],[Mny (k-in)]])</f>
        <v>512.46684591000007</v>
      </c>
      <c r="AW15" s="187">
        <f>Table_03[[#This Row],[Mny (k-in)]]</f>
        <v>512.46684591000007</v>
      </c>
      <c r="AX15" s="169"/>
      <c r="AY15"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5" s="169"/>
    </row>
    <row r="16" spans="1:52" x14ac:dyDescent="0.3">
      <c r="A16" s="188" t="s">
        <v>114</v>
      </c>
      <c r="B16" s="189">
        <f>B15-$B$1*2</f>
        <v>6.2991999999999999</v>
      </c>
      <c r="C16" s="189">
        <f>C15-$B$1*2</f>
        <v>6.2991999999999999</v>
      </c>
      <c r="D16" s="189">
        <f>D15-$B$1*2</f>
        <v>0.315</v>
      </c>
      <c r="E16" s="189">
        <f>E15-$B$1*2</f>
        <v>0.51</v>
      </c>
      <c r="F16" s="190">
        <f>2*Table_03[[#This Row],[Width w (in)]]*Table_03[[#This Row],[Flange Thickness tf (in)]]+Table_03[[#This Row],[Web Thickness tw (in)]]*(Table_03[[#This Row],[Depth h (in)]]-2*Table_03[[#This Row],[Flange Thickness tf (in)]])</f>
        <v>8.0881319999999999</v>
      </c>
      <c r="G16" s="189"/>
      <c r="H16"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57.836204065583992</v>
      </c>
      <c r="I16" s="190">
        <f>((Table_03[[#This Row],[Depth h (in)]]-2*Table_03[[#This Row],[Flange Thickness tf (in)]])*Table_03[[#This Row],[Web Thickness tw (in)]]^3/12+2*(Table_03[[#This Row],[Flange Thickness tf (in)]]*Table_03[[#This Row],[Width w (in)]]^3/12))</f>
        <v>21.259649769391476</v>
      </c>
      <c r="J16" s="190">
        <f>Table_03[[#This Row],[Width w (in)]]*Table_03[[#This Row],[Flange Thickness tf (in)]]*(Table_03[[#This Row],[Depth h (in)]]-Table_03[[#This Row],[Flange Thickness tf (in)]])+0.25*Table_03[[#This Row],[Web Thickness tw (in)]]*(Table_03[[#This Row],[Depth h (in)]]-2*Table_03[[#This Row],[Flange Thickness tf (in)]])^2</f>
        <v>20.793096376800001</v>
      </c>
      <c r="K16" s="190">
        <f>(Table_03[[#This Row],[Width w (in)]]^2*Table_03[[#This Row],[Flange Thickness tf (in)]])/2+0.25*Table_03[[#This Row],[Web Thickness tw (in)]]^2*(Table_03[[#This Row],[Depth h (in)]]-2*Table_03[[#This Row],[Flange Thickness tf (in)]])</f>
        <v>10.249336918200001</v>
      </c>
      <c r="L16" s="190">
        <f>Table_03[[#This Row],[Static Parameters Moment of Inertia Ix (in4)]]/(Table_03[[#This Row],[Depth h (in)]]/2)</f>
        <v>18.36303151688595</v>
      </c>
      <c r="M16" s="190">
        <f>Table_03[[#This Row],[Static Parameters Moment of Inertia Iy (in4)]]/(Table_03[[#This Row],[Width w (in)]]/2)</f>
        <v>6.7499523016863971</v>
      </c>
      <c r="N16" s="191">
        <v>50</v>
      </c>
      <c r="O16" s="169">
        <f>SQRT(Table_03[[#This Row],[Static Parameters Moment of Inertia Ix (in4)]]/Table_03[[#This Row],[Sectional Area (in2)]])</f>
        <v>2.6740884949396211</v>
      </c>
      <c r="P16" s="190">
        <f>SQRT(Table_03[[#This Row],[Static Parameters Moment of Inertia Iy (in4)]]/Table_03[[#This Row],[Sectional Area (in2)]])</f>
        <v>1.6212647402557565</v>
      </c>
      <c r="Q16" s="190">
        <f>($B$6*$B$5*12)/Table_03[[#This Row],[ry (in)2]]</f>
        <v>110.74687282206345</v>
      </c>
      <c r="R16" s="190">
        <f>(PI()^2*$B$4)/(Table_03[[#This Row],[KL/ry]]^2)</f>
        <v>23.336450477546325</v>
      </c>
      <c r="S16" s="190">
        <f>IF(Table_03[[#This Row],[Strength (ksi)]]/Table_03[[#This Row],[Fe,y]]&lt;2.25,(0.658^(Table_03[[#This Row],[Strength (ksi)]]/Table_03[[#This Row],[Fe,y]])*Table_03[[#This Row],[Strength (ksi)]]),0.877*Table_03[[#This Row],[Fe,y]])</f>
        <v>20.394172637482423</v>
      </c>
      <c r="T16" s="190">
        <f>Table_03[[#This Row],[Fcr,y]]*Table_03[[#This Row],[Sectional Area (in2)]]</f>
        <v>164.95076032274599</v>
      </c>
      <c r="U16" s="190">
        <f>1.76*Table_03[[#This Row],[ry (in)2]]*SQRT($B$4/Table_03[[#This Row],[Strength (ksi)]])/12</f>
        <v>5.7266330607349056</v>
      </c>
      <c r="V1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27.352300461137705</v>
      </c>
      <c r="W16" s="190">
        <f>Table_03[[#This Row],[Depth h (in)]]-Table_03[[#This Row],[Flange Thickness tf (in)]]</f>
        <v>5.7892000000000001</v>
      </c>
      <c r="X16" s="190">
        <f>(Table_03[[#This Row],[Static Parameters Moment of Inertia Iy (in4)]]*Table_03[[#This Row],[ho]]^2)/4</f>
        <v>178.12842226119224</v>
      </c>
      <c r="Y16" s="190">
        <f>SQRT((SQRT(Table_03[[#This Row],[Static Parameters Moment of Inertia Iy (in4)]]*Table_03[[#This Row],[Cw*]])/Table_03[[#This Row],[Static Parameters Elastic Section Modulus Sx (in3)2]]))</f>
        <v>1.8306281736205332</v>
      </c>
      <c r="Z16" s="190">
        <f>(2*Table_03[[#This Row],[Width w (in)]]*Table_03[[#This Row],[Flange Thickness tf (in)]]^3/3)+((Table_03[[#This Row],[Depth h (in)]]-Table_03[[#This Row],[Flange Thickness tf (in)]]*2)*Table_03[[#This Row],[Web Thickness tw (in)]]^3)/3</f>
        <v>0.61206545789999989</v>
      </c>
      <c r="AA16" s="190">
        <f>Table_03[[#This Row],[Width w (in)]]*0.5/Table_03[[#This Row],[Flange Thickness tf (in)]]</f>
        <v>6.175686274509804</v>
      </c>
      <c r="AB16" s="190">
        <f>0.38*SQRT($B$4/Table_03[[#This Row],[Strength (ksi)]])</f>
        <v>9.1516118798821449</v>
      </c>
      <c r="AC16" s="190">
        <f>1*SQRT($B$4/Table_03[[#This Row],[Strength (ksi)]])</f>
        <v>24.083189157584592</v>
      </c>
      <c r="AD16" s="190">
        <f>(PI()^2*$B$4/(12*$B$5/Table_03[[#This Row],[rts]])^2)*SQRT(1+0.078*(Table_03[[#This Row],[J*]]/(Table_03[[#This Row],[Static Parameters Elastic Section Modulus Sx (in3)2]]*Table_03[[#This Row],[ho]])*$B$4/(12*$B$5/Table_03[[#This Row],[rts]])^2))</f>
        <v>131.6007533715815</v>
      </c>
      <c r="AE16" s="190">
        <f>0.69*$B$4/Table_03[[#This Row],[b/t]]^2</f>
        <v>524.65840818778418</v>
      </c>
      <c r="AF16" s="192">
        <f>Table_03[[#This Row],[Strength (ksi)]]*Table_03[[#This Row],[Static Parameters Plastic Section Modulus Zx (in3)]]</f>
        <v>1039.65481884</v>
      </c>
      <c r="AG16" s="190">
        <f>Table_03[[#This Row],[Mp (k-in)]]-(Table_03[[#This Row],[Mp (k-in)]]-0.7*Table_03[[#This Row],[Strength (ksi)]]*Table_03[[#This Row],[Static Parameters Elastic Section Modulus Sx (in3)2]])*((Table_03[[#This Row],[b/t]]-Table_03[[#This Row],[λpf]])/(Table_03[[#This Row],[λrf]]-Table_03[[#This Row],[λpf]]))</f>
        <v>1118.7683528791085</v>
      </c>
      <c r="AH16" s="193">
        <f>0.9*$B$4*Table_03[[#This Row],[kc]]*Table_03[[#This Row],[Static Parameters Elastic Section Modulus Sx (in3)2]]/Table_03[[#This Row],[b/t]]^2</f>
        <v>9550.5421991936546</v>
      </c>
      <c r="AI16" s="194" t="str">
        <f>IF(Table_03[[#This Row],[b/t]]&lt;Table_03[[#This Row],[λpf]],"Compact",IF(AND(Table_03[[#This Row],[b/t]]&gt;Table_03[[#This Row],[λpf]],Table_03[[#This Row],[λrf]]&gt;Table_03[[#This Row],[b/t]]),"Non-Compact","Slender"))</f>
        <v>Compact</v>
      </c>
      <c r="AJ16" s="195">
        <f>IF(Table_03[[#This Row],[Controlling LBx]]="Compact",Table_03[[#This Row],[Mp (k-in)]],IF(Table_03[[#This Row],[Controlling LBx]]="Non-Compact",Table_03[[#This Row],[Mnlb,Non-Compact (k-in)]],IF(Table_03[[#This Row],[Controlling LBx]]="Slender",Table_03[[#This Row],[Mnlb,slender (k-in)]],"ERROR")))</f>
        <v>1039.65481884</v>
      </c>
      <c r="AK16" s="192">
        <f>Table_03[[#This Row],[Mp (k-in)]]-(Table_03[[#This Row],[Mp (k-in)]]-0.7*Table_03[[#This Row],[Strength (ksi)]]*Table_03[[#This Row],[Static Parameters Elastic Section Modulus Sx (in3)2]])*(($B$5-Table_03[[#This Row],[Lp (ft)]])/(Table_03[[#This Row],[Lr]]-Table_03[[#This Row],[Lp (ft)]]))</f>
        <v>1013.9871735179051</v>
      </c>
      <c r="AL16" s="196">
        <f>Table_03[[#This Row],[Fcrx]]*Table_03[[#This Row],[Static Parameters Elastic Section Modulus Sx (in3)2]]</f>
        <v>2416.5887818082861</v>
      </c>
      <c r="AM16" s="197" t="str">
        <f>IF($B$5&lt;Table_03[[#This Row],[Lp (ft)]],"Yielding Controls",IF(AND($B$5&gt;Table_03[[#This Row],[Lp (ft)]],Table_03[[#This Row],[Lr]]&gt;$B$5),"Mltb,p Controls","Mltb,r Controls"))</f>
        <v>Mltb,p Controls</v>
      </c>
      <c r="AN16" s="198">
        <f>IF(Table_03[[#This Row],[Controlling LTB]]="Yielding Controls",Table_03[[#This Row],[Mp (k-in)]],IF(Table_03[[#This Row],[Controlling LTB]]="Mltb,p Controls",Table_03[[#This Row],[Mnltbp (k-in)]],IF(Table_03[[#This Row],[Controlling LTB]]="Mltb,r Controls",Table_03[[#This Row],[Mnltbr (k-in)]],"ERROR")))</f>
        <v>1013.9871735179051</v>
      </c>
      <c r="AO16" s="199">
        <f>MIN(Table_03[[#This Row],[Strength (ksi)]]*Table_03[[#This Row],[Static Parameters Plastic Section Modulus Zy (in3)]],1.6*Table_03[[#This Row],[Strength (ksi)]]*Table_03[[#This Row],[Static Parameters Elastic Section Modulus Sy (in3)3]])</f>
        <v>512.46684591000007</v>
      </c>
      <c r="AP16" s="169">
        <f>MIN(Table_03[[#This Row],[Mny (k-in)]],Table_03[[#This Row],[Mny (k-in)]]-(Table_03[[#This Row],[Mny (k-in)]]-0.7*Table_03[[#This Row],[Static Parameters Elastic Section Modulus Sy (in3)3]]*Table_03[[#This Row],[Strength (ksi)]])*((Table_03[[#This Row],[b/t]]-Table_03[[#This Row],[λpf]])/(Table_03[[#This Row],[λrf]]-Table_03[[#This Row],[λpf]])))</f>
        <v>512.46684591000007</v>
      </c>
      <c r="AQ16" s="196">
        <f>MIN(Table_03[[#This Row],[Mny (k-in)]],Table_03[[#This Row],[Fcry]]*Table_03[[#This Row],[Static Parameters Elastic Section Modulus Sy (in3)3]])</f>
        <v>512.46684591000007</v>
      </c>
      <c r="AR16" s="197" t="str">
        <f>IF(Table_03[[#This Row],[b/t]]&lt;Table_03[[#This Row],[λpf]],"Compact",IF(AND(Table_03[[#This Row],[b/t]]&gt;Table_03[[#This Row],[λpf]],Table_03[[#This Row],[λrf]]&gt;Table_03[[#This Row],[b/t]]),"Non-Compact","Slender"))</f>
        <v>Compact</v>
      </c>
      <c r="AS16" s="198">
        <f>IF(Table_03[[#This Row],[Controlling Lby]]="Compact",Table_03[[#This Row],[Mny (k-in)]],IF(Table_03[[#This Row],[Controlling Lby]]="Non-Compact",Table_03[[#This Row],[Mlby,Non-Compact (k-in)]],IF(Table_03[[#This Row],[Controlling Lby]]="Slender",Table_03[[#This Row],[Mlby,Slender (k-in)]],"ERROR")))</f>
        <v>512.46684591000007</v>
      </c>
      <c r="AT16" s="199">
        <f>MIN(Table_03[[#This Row],[LBx]],Table_03[[#This Row],[LTB]],Table_03[[#This Row],[Mp (k-in)]])</f>
        <v>1013.9871735179051</v>
      </c>
      <c r="AU16" s="169">
        <f>Table_03[[#This Row],[Mp (k-in)]]</f>
        <v>1039.65481884</v>
      </c>
      <c r="AV16" s="169">
        <f>MIN(Table_03[[#This Row],[LBy]],Table_03[[#This Row],[Mny (k-in)]])</f>
        <v>512.46684591000007</v>
      </c>
      <c r="AW16" s="200">
        <f>Table_03[[#This Row],[Mny (k-in)]]</f>
        <v>512.46684591000007</v>
      </c>
      <c r="AX16" s="169"/>
      <c r="AY16"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6" s="169"/>
    </row>
    <row r="17" spans="1:52" ht="14.4" thickBot="1" x14ac:dyDescent="0.35">
      <c r="A17" s="201" t="s">
        <v>115</v>
      </c>
      <c r="B17" s="202">
        <f>B15-$B$3*2</f>
        <v>6.2191999999999998</v>
      </c>
      <c r="C17" s="202">
        <f>C15-$B$3*2</f>
        <v>6.2191999999999998</v>
      </c>
      <c r="D17" s="202">
        <f>D15-$B$3*2</f>
        <v>0.23499999999999999</v>
      </c>
      <c r="E17" s="202">
        <f>E15-$B$3*2</f>
        <v>0.43</v>
      </c>
      <c r="F17" s="203">
        <f>2*Table_03[[#This Row],[Width w (in)]]*Table_03[[#This Row],[Flange Thickness tf (in)]]+Table_03[[#This Row],[Web Thickness tw (in)]]*(Table_03[[#This Row],[Depth h (in)]]-2*Table_03[[#This Row],[Flange Thickness tf (in)]])</f>
        <v>6.6079239999999988</v>
      </c>
      <c r="G17" s="204"/>
      <c r="H17"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47.910338399495885</v>
      </c>
      <c r="I17" s="203">
        <f>((Table_03[[#This Row],[Depth h (in)]]-2*Table_03[[#This Row],[Flange Thickness tf (in)]])*Table_03[[#This Row],[Web Thickness tw (in)]]^3/12+2*(Table_03[[#This Row],[Flange Thickness tf (in)]]*Table_03[[#This Row],[Width w (in)]]^3/12))</f>
        <v>17.24514147667697</v>
      </c>
      <c r="J17" s="203">
        <f>Table_03[[#This Row],[Width w (in)]]*Table_03[[#This Row],[Flange Thickness tf (in)]]*(Table_03[[#This Row],[Depth h (in)]]-Table_03[[#This Row],[Flange Thickness tf (in)]])+0.25*Table_03[[#This Row],[Web Thickness tw (in)]]*(Table_03[[#This Row],[Depth h (in)]]-2*Table_03[[#This Row],[Flange Thickness tf (in)]])^2</f>
        <v>17.169163032799997</v>
      </c>
      <c r="K17" s="203">
        <f>(Table_03[[#This Row],[Width w (in)]]^2*Table_03[[#This Row],[Flange Thickness tf (in)]])/2+0.25*Table_03[[#This Row],[Web Thickness tw (in)]]^2*(Table_03[[#This Row],[Depth h (in)]]-2*Table_03[[#This Row],[Flange Thickness tf (in)]])</f>
        <v>8.3898569126000009</v>
      </c>
      <c r="L17" s="203">
        <f>Table_03[[#This Row],[Static Parameters Moment of Inertia Ix (in4)]]/(Table_03[[#This Row],[Depth h (in)]]/2)</f>
        <v>15.407235142621522</v>
      </c>
      <c r="M17" s="203">
        <f>Table_03[[#This Row],[Static Parameters Moment of Inertia Iy (in4)]]/(Table_03[[#This Row],[Width w (in)]]/2)</f>
        <v>5.5457748510023706</v>
      </c>
      <c r="N17" s="205">
        <v>50</v>
      </c>
      <c r="O17" s="206">
        <f>SQRT(Table_03[[#This Row],[Static Parameters Moment of Inertia Ix (in4)]]/Table_03[[#This Row],[Sectional Area (in2)]])</f>
        <v>2.6926636000105941</v>
      </c>
      <c r="P17" s="203">
        <f>SQRT(Table_03[[#This Row],[Static Parameters Moment of Inertia Iy (in4)]]/Table_03[[#This Row],[Sectional Area (in2)]])</f>
        <v>1.615477304624211</v>
      </c>
      <c r="Q17" s="203">
        <f>($B$6*$B$5*12)/Table_03[[#This Row],[ry (in)2]]</f>
        <v>111.14362268417418</v>
      </c>
      <c r="R17" s="203">
        <f>(PI()^2*$B$4)/(Table_03[[#This Row],[KL/ry]]^2)</f>
        <v>23.170139396159129</v>
      </c>
      <c r="S17" s="203">
        <f>IF(Table_03[[#This Row],[Strength (ksi)]]/Table_03[[#This Row],[Fe,y]]&lt;2.25,(0.658^(Table_03[[#This Row],[Strength (ksi)]]/Table_03[[#This Row],[Fe,y]])*Table_03[[#This Row],[Strength (ksi)]]),0.877*Table_03[[#This Row],[Fe,y]])</f>
        <v>20.263319378727555</v>
      </c>
      <c r="T17" s="203">
        <f>Table_03[[#This Row],[Fcr,y]]*Table_03[[#This Row],[Sectional Area (in2)]]</f>
        <v>133.89847444235889</v>
      </c>
      <c r="U17" s="203">
        <f>1.76*Table_03[[#This Row],[ry (in)2]]*SQRT($B$4/Table_03[[#This Row],[Strength (ksi)]])/12</f>
        <v>5.7061906743673001</v>
      </c>
      <c r="V1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22.997847568522687</v>
      </c>
      <c r="W17" s="203">
        <f>Table_03[[#This Row],[Depth h (in)]]-Table_03[[#This Row],[Flange Thickness tf (in)]]</f>
        <v>5.7892000000000001</v>
      </c>
      <c r="X17" s="203">
        <f>(Table_03[[#This Row],[Static Parameters Moment of Inertia Iy (in4)]]*Table_03[[#This Row],[ho]]^2)/4</f>
        <v>144.49202485612926</v>
      </c>
      <c r="Y17" s="203">
        <f>SQRT((SQRT(Table_03[[#This Row],[Static Parameters Moment of Inertia Iy (in4)]]*Table_03[[#This Row],[Cw*]])/Table_03[[#This Row],[Static Parameters Elastic Section Modulus Sx (in3)2]]))</f>
        <v>1.799970155481925</v>
      </c>
      <c r="Z17" s="203">
        <f>(2*Table_03[[#This Row],[Width w (in)]]*Table_03[[#This Row],[Flange Thickness tf (in)]]^3/3)+((Table_03[[#This Row],[Depth h (in)]]-Table_03[[#This Row],[Flange Thickness tf (in)]]*2)*Table_03[[#This Row],[Web Thickness tw (in)]]^3)/3</f>
        <v>0.35283029883333328</v>
      </c>
      <c r="AA17" s="203">
        <f>Table_03[[#This Row],[Width w (in)]]*0.5/Table_03[[#This Row],[Flange Thickness tf (in)]]</f>
        <v>7.231627906976744</v>
      </c>
      <c r="AB17" s="203">
        <f>0.38*SQRT($B$4/Table_03[[#This Row],[Strength (ksi)]])</f>
        <v>9.1516118798821449</v>
      </c>
      <c r="AC17" s="203">
        <f>1*SQRT($B$4/Table_03[[#This Row],[Strength (ksi)]])</f>
        <v>24.083189157584592</v>
      </c>
      <c r="AD17" s="203">
        <f>(PI()^2*$B$4/(12*$B$5/Table_03[[#This Row],[rts]])^2)*SQRT(1+0.078*(Table_03[[#This Row],[J*]]/(Table_03[[#This Row],[Static Parameters Elastic Section Modulus Sx (in3)2]]*Table_03[[#This Row],[ho]])*$B$4/(12*$B$5/Table_03[[#This Row],[rts]])^2))</f>
        <v>127.10292583755121</v>
      </c>
      <c r="AE17" s="203">
        <f>0.69*$B$4/Table_03[[#This Row],[b/t]]^2</f>
        <v>382.62641135753682</v>
      </c>
      <c r="AF17" s="207">
        <f>Table_03[[#This Row],[Strength (ksi)]]*Table_03[[#This Row],[Static Parameters Plastic Section Modulus Zx (in3)]]</f>
        <v>858.45815163999987</v>
      </c>
      <c r="AG17" s="203">
        <f>Table_03[[#This Row],[Mp (k-in)]]-(Table_03[[#This Row],[Mp (k-in)]]-0.7*Table_03[[#This Row],[Strength (ksi)]]*Table_03[[#This Row],[Static Parameters Elastic Section Modulus Sx (in3)2]])*((Table_03[[#This Row],[b/t]]-Table_03[[#This Row],[λpf]])/(Table_03[[#This Row],[λrf]]-Table_03[[#This Row],[λpf]]))</f>
        <v>899.50326845779</v>
      </c>
      <c r="AH17" s="208">
        <f>0.9*$B$4*Table_03[[#This Row],[kc]]*Table_03[[#This Row],[Static Parameters Elastic Section Modulus Sx (in3)2]]/Table_03[[#This Row],[b/t]]^2</f>
        <v>5843.9523516363652</v>
      </c>
      <c r="AI17" s="209" t="str">
        <f>IF(Table_03[[#This Row],[b/t]]&lt;Table_03[[#This Row],[λpf]],"Compact",IF(AND(Table_03[[#This Row],[b/t]]&gt;Table_03[[#This Row],[λpf]],Table_03[[#This Row],[λrf]]&gt;Table_03[[#This Row],[b/t]]),"Non-Compact","Slender"))</f>
        <v>Compact</v>
      </c>
      <c r="AJ17" s="210">
        <f>IF(Table_03[[#This Row],[Controlling LBx]]="Compact",Table_03[[#This Row],[Mp (k-in)]],IF(Table_03[[#This Row],[Controlling LBx]]="Non-Compact",Table_03[[#This Row],[Mnlb,Non-Compact (k-in)]],IF(Table_03[[#This Row],[Controlling LBx]]="Slender",Table_03[[#This Row],[Mnlb,slender (k-in)]],"ERROR")))</f>
        <v>858.45815163999987</v>
      </c>
      <c r="AK17" s="207">
        <f>Table_03[[#This Row],[Mp (k-in)]]-(Table_03[[#This Row],[Mp (k-in)]]-0.7*Table_03[[#This Row],[Strength (ksi)]]*Table_03[[#This Row],[Static Parameters Elastic Section Modulus Sx (in3)2]])*(($B$5-Table_03[[#This Row],[Lp (ft)]])/(Table_03[[#This Row],[Lr]]-Table_03[[#This Row],[Lp (ft)]]))</f>
        <v>832.2668547391537</v>
      </c>
      <c r="AL17" s="211">
        <f>Table_03[[#This Row],[Fcrx]]*Table_03[[#This Row],[Static Parameters Elastic Section Modulus Sx (in3)2]]</f>
        <v>1958.3046656943361</v>
      </c>
      <c r="AM17" s="212" t="str">
        <f>IF($B$5&lt;Table_03[[#This Row],[Lp (ft)]],"Yielding Controls",IF(AND($B$5&gt;Table_03[[#This Row],[Lp (ft)]],Table_03[[#This Row],[Lr]]&gt;$B$5),"Mltb,p Controls","Mltb,r Controls"))</f>
        <v>Mltb,p Controls</v>
      </c>
      <c r="AN17" s="213">
        <f>IF(Table_03[[#This Row],[Controlling LTB]]="Yielding Controls",Table_03[[#This Row],[Mp (k-in)]],IF(Table_03[[#This Row],[Controlling LTB]]="Mltb,p Controls",Table_03[[#This Row],[Mnltbp (k-in)]],IF(Table_03[[#This Row],[Controlling LTB]]="Mltb,r Controls",Table_03[[#This Row],[Mnltbr (k-in)]],"ERROR")))</f>
        <v>832.2668547391537</v>
      </c>
      <c r="AO17" s="214">
        <f>MIN(Table_03[[#This Row],[Strength (ksi)]]*Table_03[[#This Row],[Static Parameters Plastic Section Modulus Zy (in3)]],1.6*Table_03[[#This Row],[Strength (ksi)]]*Table_03[[#This Row],[Static Parameters Elastic Section Modulus Sy (in3)3]])</f>
        <v>419.49284563000003</v>
      </c>
      <c r="AP17" s="206">
        <f>MIN(Table_03[[#This Row],[Mny (k-in)]],Table_03[[#This Row],[Mny (k-in)]]-(Table_03[[#This Row],[Mny (k-in)]]-0.7*Table_03[[#This Row],[Static Parameters Elastic Section Modulus Sy (in3)3]]*Table_03[[#This Row],[Strength (ksi)]])*((Table_03[[#This Row],[b/t]]-Table_03[[#This Row],[λpf]])/(Table_03[[#This Row],[λrf]]-Table_03[[#This Row],[λpf]])))</f>
        <v>419.49284563000003</v>
      </c>
      <c r="AQ17" s="211">
        <f>MIN(Table_03[[#This Row],[Mny (k-in)]],Table_03[[#This Row],[Fcry]]*Table_03[[#This Row],[Static Parameters Elastic Section Modulus Sy (in3)3]])</f>
        <v>419.49284563000003</v>
      </c>
      <c r="AR17" s="212" t="str">
        <f>IF(Table_03[[#This Row],[b/t]]&lt;Table_03[[#This Row],[λpf]],"Compact",IF(AND(Table_03[[#This Row],[b/t]]&gt;Table_03[[#This Row],[λpf]],Table_03[[#This Row],[λrf]]&gt;Table_03[[#This Row],[b/t]]),"Non-Compact","Slender"))</f>
        <v>Compact</v>
      </c>
      <c r="AS17" s="213">
        <f>IF(Table_03[[#This Row],[Controlling Lby]]="Compact",Table_03[[#This Row],[Mny (k-in)]],IF(Table_03[[#This Row],[Controlling Lby]]="Non-Compact",Table_03[[#This Row],[Mlby,Non-Compact (k-in)]],IF(Table_03[[#This Row],[Controlling Lby]]="Slender",Table_03[[#This Row],[Mlby,Slender (k-in)]],"ERROR")))</f>
        <v>419.49284563000003</v>
      </c>
      <c r="AT17" s="214">
        <f>MIN(Table_03[[#This Row],[LBx]],Table_03[[#This Row],[LTB]],Table_03[[#This Row],[Mp (k-in)]])</f>
        <v>832.2668547391537</v>
      </c>
      <c r="AU17" s="206">
        <f>Table_03[[#This Row],[Mp (k-in)]]</f>
        <v>858.45815163999987</v>
      </c>
      <c r="AV17" s="206">
        <f>MIN(Table_03[[#This Row],[LBy]],Table_03[[#This Row],[Mny (k-in)]])</f>
        <v>419.49284563000003</v>
      </c>
      <c r="AW17" s="215">
        <f>Table_03[[#This Row],[Mny (k-in)]]</f>
        <v>419.49284563000003</v>
      </c>
      <c r="AX17" s="169"/>
      <c r="AY17"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7" s="169"/>
    </row>
    <row r="18" spans="1:52" x14ac:dyDescent="0.3">
      <c r="A18" s="179" t="s">
        <v>116</v>
      </c>
      <c r="B18" s="180">
        <v>6.73</v>
      </c>
      <c r="C18" s="180">
        <v>7.0869999999999997</v>
      </c>
      <c r="D18" s="180">
        <v>0.23599999999999999</v>
      </c>
      <c r="E18" s="180">
        <v>0.374</v>
      </c>
      <c r="F18" s="181">
        <v>7.02</v>
      </c>
      <c r="G18" s="180"/>
      <c r="H18" s="180">
        <v>60.3</v>
      </c>
      <c r="I18" s="180">
        <v>22.21</v>
      </c>
      <c r="J18" s="181">
        <f>Table_03[[#This Row],[Width w (in)]]*Table_03[[#This Row],[Flange Thickness tf (in)]]*(Table_03[[#This Row],[Depth h (in)]]-Table_03[[#This Row],[Flange Thickness tf (in)]])+0.25*Table_03[[#This Row],[Web Thickness tw (in)]]*(Table_03[[#This Row],[Depth h (in)]]-2*Table_03[[#This Row],[Flange Thickness tf (in)]])^2</f>
        <v>18.958094644000003</v>
      </c>
      <c r="K18" s="181">
        <f>(Table_03[[#This Row],[Width w (in)]]^2*Table_03[[#This Row],[Flange Thickness tf (in)]])/2+0.25*Table_03[[#This Row],[Web Thickness tw (in)]]^2*(Table_03[[#This Row],[Depth h (in)]]-2*Table_03[[#This Row],[Flange Thickness tf (in)]])</f>
        <v>9.4754747709999982</v>
      </c>
      <c r="L18" s="181">
        <f>Table_03[[#This Row],[Static Parameters Moment of Inertia Ix (in4)]]/(Table_03[[#This Row],[Depth h (in)]]*0.5)</f>
        <v>17.91976225854383</v>
      </c>
      <c r="M18" s="181">
        <f>Table_03[[#This Row],[Static Parameters Moment of Inertia Iy (in4)]]/(0.5*Table_03[[#This Row],[Width w (in)]])</f>
        <v>6.267814307887682</v>
      </c>
      <c r="N18" s="182">
        <v>50</v>
      </c>
      <c r="O18" s="181">
        <f>SQRT(Table_03[[#This Row],[Static Parameters Moment of Inertia Ix (in4)]]/Table_03[[#This Row],[Sectional Area (in2)]])</f>
        <v>2.930826434598881</v>
      </c>
      <c r="P18" s="181">
        <f>SQRT(Table_03[[#This Row],[Static Parameters Moment of Inertia Iy (in4)]]/Table_03[[#This Row],[Sectional Area (in2)]])</f>
        <v>1.7787123611808808</v>
      </c>
      <c r="Q18" s="181">
        <f>($B$6*$B$5*12)/Table_03[[#This Row],[ry (in)2]]</f>
        <v>100.94380852044982</v>
      </c>
      <c r="R18" s="181">
        <f>(PI()^2*$B$4)/(Table_03[[#This Row],[KL/ry]]^2)</f>
        <v>28.089135349054054</v>
      </c>
      <c r="S18" s="181">
        <f>IF(Table_03[[#This Row],[Strength (ksi)]]/Table_03[[#This Row],[Fe,y]]&lt;2.25,(0.658^(Table_03[[#This Row],[Strength (ksi)]]/Table_03[[#This Row],[Fe,y]])*Table_03[[#This Row],[Strength (ksi)]]),0.877*Table_03[[#This Row],[Fe,y]])</f>
        <v>23.735775702465336</v>
      </c>
      <c r="T18" s="181">
        <f>Table_03[[#This Row],[Fcr,y]]*Table_03[[#This Row],[Sectional Area (in2)]]</f>
        <v>166.62514543130663</v>
      </c>
      <c r="U18" s="181">
        <f>1.76*Table_03[[#This Row],[ry (in)2]]*SQRT($B$4/Table_03[[#This Row],[Strength (ksi)]])/12</f>
        <v>6.2827697168504519</v>
      </c>
      <c r="V1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21.295222463512864</v>
      </c>
      <c r="W18" s="181">
        <f>Table_03[[#This Row],[Depth h (in)]]-Table_03[[#This Row],[Flange Thickness tf (in)]]</f>
        <v>6.3560000000000008</v>
      </c>
      <c r="X18" s="181">
        <f>(Table_03[[#This Row],[Static Parameters Moment of Inertia Iy (in4)]]*Table_03[[#This Row],[ho]]^2)/4</f>
        <v>224.31398164000004</v>
      </c>
      <c r="Y18" s="181">
        <f>SQRT((SQRT(Table_03[[#This Row],[Static Parameters Moment of Inertia Iy (in4)]]*Table_03[[#This Row],[Cw*]])/Table_03[[#This Row],[Static Parameters Elastic Section Modulus Sx (in3)2]]))</f>
        <v>1.9846553714978472</v>
      </c>
      <c r="Z18" s="181">
        <f>(2*Table_03[[#This Row],[Width w (in)]]*Table_03[[#This Row],[Flange Thickness tf (in)]]^3/3)+((Table_03[[#This Row],[Depth h (in)]]-Table_03[[#This Row],[Flange Thickness tf (in)]]*2)*Table_03[[#This Row],[Web Thickness tw (in)]]^3)/3</f>
        <v>0.27337408198933333</v>
      </c>
      <c r="AA18" s="181">
        <f>Table_03[[#This Row],[Width w (in)]]*0.5/Table_03[[#This Row],[Flange Thickness tf (in)]]</f>
        <v>9.4745989304812834</v>
      </c>
      <c r="AB18" s="181">
        <f>0.38*SQRT($B$4/Table_03[[#This Row],[Strength (ksi)]])</f>
        <v>9.1516118798821449</v>
      </c>
      <c r="AC18" s="181">
        <f>1*SQRT($B$4/Table_03[[#This Row],[Strength (ksi)]])</f>
        <v>24.083189157584592</v>
      </c>
      <c r="AD18" s="181">
        <f>(PI()^2*$B$4/(12*$B$5/Table_03[[#This Row],[rts]])^2)*SQRT(1+0.078*(Table_03[[#This Row],[J*]]/(Table_03[[#This Row],[Static Parameters Elastic Section Modulus Sx (in3)2]]*Table_03[[#This Row],[ho]])*$B$4/(12*$B$5/Table_03[[#This Row],[rts]])^2))</f>
        <v>154.44363590019066</v>
      </c>
      <c r="AE18" s="181">
        <f>0.69*$B$4/Table_03[[#This Row],[b/t]]^2</f>
        <v>222.90787865439614</v>
      </c>
      <c r="AF18" s="183">
        <f>Table_03[[#This Row],[Strength (ksi)]]*Table_03[[#This Row],[Static Parameters Plastic Section Modulus Zx (in3)]]</f>
        <v>947.90473220000013</v>
      </c>
      <c r="AG18" s="181">
        <f>Table_03[[#This Row],[Mp (k-in)]]-(Table_03[[#This Row],[Mp (k-in)]]-0.7*Table_03[[#This Row],[Strength (ksi)]]*Table_03[[#This Row],[Static Parameters Elastic Section Modulus Sx (in3)2]])*((Table_03[[#This Row],[b/t]]-Table_03[[#This Row],[λpf]])/(Table_03[[#This Row],[λrf]]-Table_03[[#This Row],[λpf]]))</f>
        <v>940.96734298790648</v>
      </c>
      <c r="AH18" s="184">
        <f>0.9*$B$4*Table_03[[#This Row],[kc]]*Table_03[[#This Row],[Static Parameters Elastic Section Modulus Sx (in3)2]]/Table_03[[#This Row],[b/t]]^2</f>
        <v>3902.6494381692887</v>
      </c>
      <c r="AI18" s="185" t="str">
        <f>IF(Table_03[[#This Row],[b/t]]&lt;Table_03[[#This Row],[λpf]],"Compact",IF(AND(Table_03[[#This Row],[b/t]]&gt;Table_03[[#This Row],[λpf]],Table_03[[#This Row],[λrf]]&gt;Table_03[[#This Row],[b/t]]),"Non-Compact","Slender"))</f>
        <v>Non-Compact</v>
      </c>
      <c r="AJ18" s="186">
        <f>IF(Table_03[[#This Row],[Controlling LBx]]="Compact",Table_03[[#This Row],[Mp (k-in)]],IF(Table_03[[#This Row],[Controlling LBx]]="Non-Compact",Table_03[[#This Row],[Mnlb,Non-Compact (k-in)]],IF(Table_03[[#This Row],[Controlling LBx]]="Slender",Table_03[[#This Row],[Mnlb,slender (k-in)]],"ERROR")))</f>
        <v>940.96734298790648</v>
      </c>
      <c r="AK18" s="183">
        <f>Table_03[[#This Row],[Mp (k-in)]]-(Table_03[[#This Row],[Mp (k-in)]]-0.7*Table_03[[#This Row],[Strength (ksi)]]*Table_03[[#This Row],[Static Parameters Elastic Section Modulus Sx (in3)2]])*(($B$5-Table_03[[#This Row],[Lp (ft)]])/(Table_03[[#This Row],[Lr]]-Table_03[[#This Row],[Lp (ft)]]))</f>
        <v>929.9120530473449</v>
      </c>
      <c r="AL18" s="184">
        <f>Table_03[[#This Row],[Fcrx]]*Table_03[[#This Row],[Static Parameters Elastic Section Modulus Sx (in3)2]]</f>
        <v>2767.5932376765213</v>
      </c>
      <c r="AM18" s="185" t="str">
        <f>IF($B$5&lt;Table_03[[#This Row],[Lp (ft)]],"Yielding Controls",IF(AND($B$5&gt;Table_03[[#This Row],[Lp (ft)]],Table_03[[#This Row],[Lr]]&gt;$B$5),"Mltb,p Controls","Mltb,r Controls"))</f>
        <v>Mltb,p Controls</v>
      </c>
      <c r="AN18" s="186">
        <f>IF(Table_03[[#This Row],[Controlling LTB]]="Yielding Controls",Table_03[[#This Row],[Mp (k-in)]],IF(Table_03[[#This Row],[Controlling LTB]]="Mltb,p Controls",Table_03[[#This Row],[Mnltbp (k-in)]],IF(Table_03[[#This Row],[Controlling LTB]]="Mltb,r Controls",Table_03[[#This Row],[Mnltbr (k-in)]],"ERROR")))</f>
        <v>929.9120530473449</v>
      </c>
      <c r="AO18" s="183">
        <f>MIN(Table_03[[#This Row],[Strength (ksi)]]*Table_03[[#This Row],[Static Parameters Plastic Section Modulus Zy (in3)]],1.6*Table_03[[#This Row],[Strength (ksi)]]*Table_03[[#This Row],[Static Parameters Elastic Section Modulus Sy (in3)3]])</f>
        <v>473.7737385499999</v>
      </c>
      <c r="AP18" s="181">
        <f>MIN(Table_03[[#This Row],[Mny (k-in)]],Table_03[[#This Row],[Mny (k-in)]]-(Table_03[[#This Row],[Mny (k-in)]]-0.7*Table_03[[#This Row],[Static Parameters Elastic Section Modulus Sy (in3)3]]*Table_03[[#This Row],[Strength (ksi)]])*((Table_03[[#This Row],[b/t]]-Table_03[[#This Row],[λpf]])/(Table_03[[#This Row],[λrf]]-Table_03[[#This Row],[λpf]])))</f>
        <v>468.270771184789</v>
      </c>
      <c r="AQ18" s="184">
        <f>MIN(Table_03[[#This Row],[Mny (k-in)]],Table_03[[#This Row],[Fcry]]*Table_03[[#This Row],[Static Parameters Elastic Section Modulus Sy (in3)3]])</f>
        <v>473.7737385499999</v>
      </c>
      <c r="AR18" s="185" t="str">
        <f>IF(Table_03[[#This Row],[b/t]]&lt;Table_03[[#This Row],[λpf]],"Compact",IF(AND(Table_03[[#This Row],[b/t]]&gt;Table_03[[#This Row],[λpf]],Table_03[[#This Row],[λrf]]&gt;Table_03[[#This Row],[b/t]]),"Non-Compact","Slender"))</f>
        <v>Non-Compact</v>
      </c>
      <c r="AS18" s="186">
        <f>IF(Table_03[[#This Row],[Controlling Lby]]="Compact",Table_03[[#This Row],[Mny (k-in)]],IF(Table_03[[#This Row],[Controlling Lby]]="Non-Compact",Table_03[[#This Row],[Mlby,Non-Compact (k-in)]],IF(Table_03[[#This Row],[Controlling Lby]]="Slender",Table_03[[#This Row],[Mlby,Slender (k-in)]],"ERROR")))</f>
        <v>468.270771184789</v>
      </c>
      <c r="AT18" s="183">
        <f>MIN(Table_03[[#This Row],[LBx]],Table_03[[#This Row],[LTB]],Table_03[[#This Row],[Mp (k-in)]])</f>
        <v>929.9120530473449</v>
      </c>
      <c r="AU18" s="181">
        <f>Table_03[[#This Row],[Mp (k-in)]]</f>
        <v>947.90473220000013</v>
      </c>
      <c r="AV18" s="181">
        <f>MIN(Table_03[[#This Row],[LBy]],Table_03[[#This Row],[Mny (k-in)]])</f>
        <v>468.270771184789</v>
      </c>
      <c r="AW18" s="187">
        <f>Table_03[[#This Row],[Mny (k-in)]]</f>
        <v>473.7737385499999</v>
      </c>
      <c r="AX18" s="169"/>
      <c r="AY18" s="165">
        <f>IF(4/SQRT((Table_03[[#This Row],[Depth h (in)]]-Table_03[[#This Row],[Flange Thickness tf (in)]]*2)/Table_03[[#This Row],[Web Thickness tw (in)]])&lt;0.35,0.35,IF(4/SQRT(Table_03[[#This Row],[Depth h (in)]]/Table_03[[#This Row],[Web Thickness tw (in)]])&gt;0.76,0.76,4/SQRT(Table_03[[#This Row],[Depth h (in)]]/Table_03[[#This Row],[Web Thickness tw (in)]])))</f>
        <v>0.74904595089536985</v>
      </c>
      <c r="AZ18" s="169"/>
    </row>
    <row r="19" spans="1:52" x14ac:dyDescent="0.3">
      <c r="A19" s="188" t="s">
        <v>117</v>
      </c>
      <c r="B19" s="189">
        <f>B18-$B$1*2</f>
        <v>6.73</v>
      </c>
      <c r="C19" s="189">
        <f>C18-$B$1*2</f>
        <v>7.0869999999999997</v>
      </c>
      <c r="D19" s="189">
        <f>D18-$B$1*2</f>
        <v>0.23599999999999999</v>
      </c>
      <c r="E19" s="189">
        <f>E18-$B$1*2</f>
        <v>0.374</v>
      </c>
      <c r="F19" s="190">
        <f>2*Table_03[[#This Row],[Width w (in)]]*Table_03[[#This Row],[Flange Thickness tf (in)]]+Table_03[[#This Row],[Web Thickness tw (in)]]*(Table_03[[#This Row],[Depth h (in)]]-2*Table_03[[#This Row],[Flange Thickness tf (in)]])</f>
        <v>6.712828</v>
      </c>
      <c r="G19" s="189"/>
      <c r="H19"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57.810866150169339</v>
      </c>
      <c r="I19" s="190">
        <f>((Table_03[[#This Row],[Depth h (in)]]-2*Table_03[[#This Row],[Flange Thickness tf (in)]])*Table_03[[#This Row],[Web Thickness tw (in)]]^3/12+2*(Table_03[[#This Row],[Flange Thickness tf (in)]]*Table_03[[#This Row],[Width w (in)]]^3/12))</f>
        <v>22.194015612636331</v>
      </c>
      <c r="J19" s="190">
        <f>Table_03[[#This Row],[Width w (in)]]*Table_03[[#This Row],[Flange Thickness tf (in)]]*(Table_03[[#This Row],[Depth h (in)]]-Table_03[[#This Row],[Flange Thickness tf (in)]])+0.25*Table_03[[#This Row],[Web Thickness tw (in)]]*(Table_03[[#This Row],[Depth h (in)]]-2*Table_03[[#This Row],[Flange Thickness tf (in)]])^2</f>
        <v>18.958094644000003</v>
      </c>
      <c r="K19" s="190">
        <f>(Table_03[[#This Row],[Width w (in)]]^2*Table_03[[#This Row],[Flange Thickness tf (in)]])/2+0.25*Table_03[[#This Row],[Web Thickness tw (in)]]^2*(Table_03[[#This Row],[Depth h (in)]]-2*Table_03[[#This Row],[Flange Thickness tf (in)]])</f>
        <v>9.4754747709999982</v>
      </c>
      <c r="L19" s="190">
        <f>Table_03[[#This Row],[Static Parameters Moment of Inertia Ix (in4)]]/(Table_03[[#This Row],[Depth h (in)]]/2)</f>
        <v>17.180049375978999</v>
      </c>
      <c r="M19" s="190">
        <f>Table_03[[#This Row],[Static Parameters Moment of Inertia Iy (in4)]]/(Table_03[[#This Row],[Width w (in)]]/2)</f>
        <v>6.2633034041586937</v>
      </c>
      <c r="N19" s="191">
        <v>50</v>
      </c>
      <c r="O19" s="169">
        <f>SQRT(Table_03[[#This Row],[Static Parameters Moment of Inertia Ix (in4)]]/Table_03[[#This Row],[Sectional Area (in2)]])</f>
        <v>2.9346207116050924</v>
      </c>
      <c r="P19" s="190">
        <f>SQRT(Table_03[[#This Row],[Static Parameters Moment of Inertia Iy (in4)]]/Table_03[[#This Row],[Sectional Area (in2)]])</f>
        <v>1.8182985140430881</v>
      </c>
      <c r="Q19" s="190">
        <f>($B$6*$B$5*12)/Table_03[[#This Row],[ry (in)2]]</f>
        <v>98.746162202355094</v>
      </c>
      <c r="R19" s="190">
        <f>(PI()^2*$B$4)/(Table_03[[#This Row],[KL/ry]]^2)</f>
        <v>29.353324248569695</v>
      </c>
      <c r="S19" s="190">
        <f>IF(Table_03[[#This Row],[Strength (ksi)]]/Table_03[[#This Row],[Fe,y]]&lt;2.25,(0.658^(Table_03[[#This Row],[Strength (ksi)]]/Table_03[[#This Row],[Fe,y]])*Table_03[[#This Row],[Strength (ksi)]]),0.877*Table_03[[#This Row],[Fe,y]])</f>
        <v>24.509745054768377</v>
      </c>
      <c r="T19" s="190">
        <f>Table_03[[#This Row],[Fcr,y]]*Table_03[[#This Row],[Sectional Area (in2)]]</f>
        <v>164.5297028765107</v>
      </c>
      <c r="U19" s="190">
        <f>1.76*Table_03[[#This Row],[ry (in)2]]*SQRT($B$4/Table_03[[#This Row],[Strength (ksi)]])/12</f>
        <v>6.4225959686026854</v>
      </c>
      <c r="V1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22.024952200724098</v>
      </c>
      <c r="W19" s="190">
        <f>Table_03[[#This Row],[Depth h (in)]]-Table_03[[#This Row],[Flange Thickness tf (in)]]</f>
        <v>6.3560000000000008</v>
      </c>
      <c r="X19" s="190">
        <f>(Table_03[[#This Row],[Static Parameters Moment of Inertia Iy (in4)]]*Table_03[[#This Row],[ho]]^2)/4</f>
        <v>224.15254437869339</v>
      </c>
      <c r="Y19" s="190">
        <f>SQRT((SQRT(Table_03[[#This Row],[Static Parameters Moment of Inertia Iy (in4)]]*Table_03[[#This Row],[Cw*]])/Table_03[[#This Row],[Static Parameters Elastic Section Modulus Sx (in3)2]]))</f>
        <v>2.0262017504242609</v>
      </c>
      <c r="Z19" s="190">
        <f>(2*Table_03[[#This Row],[Width w (in)]]*Table_03[[#This Row],[Flange Thickness tf (in)]]^3/3)+((Table_03[[#This Row],[Depth h (in)]]-Table_03[[#This Row],[Flange Thickness tf (in)]]*2)*Table_03[[#This Row],[Web Thickness tw (in)]]^3)/3</f>
        <v>0.27337408198933333</v>
      </c>
      <c r="AA19" s="190">
        <f>Table_03[[#This Row],[Width w (in)]]*0.5/Table_03[[#This Row],[Flange Thickness tf (in)]]</f>
        <v>9.4745989304812834</v>
      </c>
      <c r="AB19" s="190">
        <f>0.38*SQRT($B$4/Table_03[[#This Row],[Strength (ksi)]])</f>
        <v>9.1516118798821449</v>
      </c>
      <c r="AC19" s="190">
        <f>1*SQRT($B$4/Table_03[[#This Row],[Strength (ksi)]])</f>
        <v>24.083189157584592</v>
      </c>
      <c r="AD19" s="190">
        <f>(PI()^2*$B$4/(12*$B$5/Table_03[[#This Row],[rts]])^2)*SQRT(1+0.078*(Table_03[[#This Row],[J*]]/(Table_03[[#This Row],[Static Parameters Elastic Section Modulus Sx (in3)2]]*Table_03[[#This Row],[ho]])*$B$4/(12*$B$5/Table_03[[#This Row],[rts]])^2))</f>
        <v>160.99796788239428</v>
      </c>
      <c r="AE19" s="190">
        <f>0.69*$B$4/Table_03[[#This Row],[b/t]]^2</f>
        <v>222.90787865439614</v>
      </c>
      <c r="AF19" s="192">
        <f>Table_03[[#This Row],[Strength (ksi)]]*Table_03[[#This Row],[Static Parameters Plastic Section Modulus Zx (in3)]]</f>
        <v>947.90473220000013</v>
      </c>
      <c r="AG19" s="190">
        <f>Table_03[[#This Row],[Mp (k-in)]]-(Table_03[[#This Row],[Mp (k-in)]]-0.7*Table_03[[#This Row],[Strength (ksi)]]*Table_03[[#This Row],[Static Parameters Elastic Section Modulus Sx (in3)2]])*((Table_03[[#This Row],[b/t]]-Table_03[[#This Row],[λpf]])/(Table_03[[#This Row],[λrf]]-Table_03[[#This Row],[λpf]]))</f>
        <v>940.40731381466367</v>
      </c>
      <c r="AH19" s="193">
        <f>0.9*$B$4*Table_03[[#This Row],[kc]]*Table_03[[#This Row],[Static Parameters Elastic Section Modulus Sx (in3)2]]/Table_03[[#This Row],[b/t]]^2</f>
        <v>3741.5513151084301</v>
      </c>
      <c r="AI19" s="194" t="str">
        <f>IF(Table_03[[#This Row],[b/t]]&lt;Table_03[[#This Row],[λpf]],"Compact",IF(AND(Table_03[[#This Row],[b/t]]&gt;Table_03[[#This Row],[λpf]],Table_03[[#This Row],[λrf]]&gt;Table_03[[#This Row],[b/t]]),"Non-Compact","Slender"))</f>
        <v>Non-Compact</v>
      </c>
      <c r="AJ19" s="195">
        <f>IF(Table_03[[#This Row],[Controlling LBx]]="Compact",Table_03[[#This Row],[Mp (k-in)]],IF(Table_03[[#This Row],[Controlling LBx]]="Non-Compact",Table_03[[#This Row],[Mnlb,Non-Compact (k-in)]],IF(Table_03[[#This Row],[Controlling LBx]]="Slender",Table_03[[#This Row],[Mnlb,slender (k-in)]],"ERROR")))</f>
        <v>940.40731381466367</v>
      </c>
      <c r="AK19" s="192">
        <f>Table_03[[#This Row],[Mp (k-in)]]-(Table_03[[#This Row],[Mp (k-in)]]-0.7*Table_03[[#This Row],[Strength (ksi)]]*Table_03[[#This Row],[Static Parameters Elastic Section Modulus Sx (in3)2]])*(($B$5-Table_03[[#This Row],[Lp (ft)]])/(Table_03[[#This Row],[Lr]]-Table_03[[#This Row],[Lp (ft)]]))</f>
        <v>932.30097699080818</v>
      </c>
      <c r="AL19" s="196">
        <f>Table_03[[#This Row],[Fcrx]]*Table_03[[#This Row],[Static Parameters Elastic Section Modulus Sx (in3)2]]</f>
        <v>2765.9530376518146</v>
      </c>
      <c r="AM19" s="197" t="str">
        <f>IF($B$5&lt;Table_03[[#This Row],[Lp (ft)]],"Yielding Controls",IF(AND($B$5&gt;Table_03[[#This Row],[Lp (ft)]],Table_03[[#This Row],[Lr]]&gt;$B$5),"Mltb,p Controls","Mltb,r Controls"))</f>
        <v>Mltb,p Controls</v>
      </c>
      <c r="AN19" s="198">
        <f>IF(Table_03[[#This Row],[Controlling LTB]]="Yielding Controls",Table_03[[#This Row],[Mp (k-in)]],IF(Table_03[[#This Row],[Controlling LTB]]="Mltb,p Controls",Table_03[[#This Row],[Mnltbp (k-in)]],IF(Table_03[[#This Row],[Controlling LTB]]="Mltb,r Controls",Table_03[[#This Row],[Mnltbr (k-in)]],"ERROR")))</f>
        <v>932.30097699080818</v>
      </c>
      <c r="AO19" s="199">
        <f>MIN(Table_03[[#This Row],[Strength (ksi)]]*Table_03[[#This Row],[Static Parameters Plastic Section Modulus Zy (in3)]],1.6*Table_03[[#This Row],[Strength (ksi)]]*Table_03[[#This Row],[Static Parameters Elastic Section Modulus Sy (in3)3]])</f>
        <v>473.7737385499999</v>
      </c>
      <c r="AP19" s="169">
        <f>MIN(Table_03[[#This Row],[Mny (k-in)]],Table_03[[#This Row],[Mny (k-in)]]-(Table_03[[#This Row],[Mny (k-in)]]-0.7*Table_03[[#This Row],[Static Parameters Elastic Section Modulus Sy (in3)3]]*Table_03[[#This Row],[Strength (ksi)]])*((Table_03[[#This Row],[b/t]]-Table_03[[#This Row],[λpf]])/(Table_03[[#This Row],[λrf]]-Table_03[[#This Row],[λpf]])))</f>
        <v>468.2673560250081</v>
      </c>
      <c r="AQ19" s="196">
        <f>MIN(Table_03[[#This Row],[Mny (k-in)]],Table_03[[#This Row],[Fcry]]*Table_03[[#This Row],[Static Parameters Elastic Section Modulus Sy (in3)3]])</f>
        <v>473.7737385499999</v>
      </c>
      <c r="AR19" s="197" t="str">
        <f>IF(Table_03[[#This Row],[b/t]]&lt;Table_03[[#This Row],[λpf]],"Compact",IF(AND(Table_03[[#This Row],[b/t]]&gt;Table_03[[#This Row],[λpf]],Table_03[[#This Row],[λrf]]&gt;Table_03[[#This Row],[b/t]]),"Non-Compact","Slender"))</f>
        <v>Non-Compact</v>
      </c>
      <c r="AS19" s="198">
        <f>IF(Table_03[[#This Row],[Controlling Lby]]="Compact",Table_03[[#This Row],[Mny (k-in)]],IF(Table_03[[#This Row],[Controlling Lby]]="Non-Compact",Table_03[[#This Row],[Mlby,Non-Compact (k-in)]],IF(Table_03[[#This Row],[Controlling Lby]]="Slender",Table_03[[#This Row],[Mlby,Slender (k-in)]],"ERROR")))</f>
        <v>468.2673560250081</v>
      </c>
      <c r="AT19" s="199">
        <f>MIN(Table_03[[#This Row],[LBx]],Table_03[[#This Row],[LTB]],Table_03[[#This Row],[Mp (k-in)]])</f>
        <v>932.30097699080818</v>
      </c>
      <c r="AU19" s="169">
        <f>Table_03[[#This Row],[Mp (k-in)]]</f>
        <v>947.90473220000013</v>
      </c>
      <c r="AV19" s="169">
        <f>MIN(Table_03[[#This Row],[LBy]],Table_03[[#This Row],[Mny (k-in)]])</f>
        <v>468.2673560250081</v>
      </c>
      <c r="AW19" s="200">
        <f>Table_03[[#This Row],[Mny (k-in)]]</f>
        <v>473.7737385499999</v>
      </c>
      <c r="AX19" s="169"/>
      <c r="AY19" s="165">
        <f>IF(4/SQRT((Table_03[[#This Row],[Depth h (in)]]-Table_03[[#This Row],[Flange Thickness tf (in)]]*2)/Table_03[[#This Row],[Web Thickness tw (in)]])&lt;0.35,0.35,IF(4/SQRT(Table_03[[#This Row],[Depth h (in)]]/Table_03[[#This Row],[Web Thickness tw (in)]])&gt;0.76,0.76,4/SQRT(Table_03[[#This Row],[Depth h (in)]]/Table_03[[#This Row],[Web Thickness tw (in)]])))</f>
        <v>0.74904595089536985</v>
      </c>
      <c r="AZ19" s="169"/>
    </row>
    <row r="20" spans="1:52" ht="14.4" thickBot="1" x14ac:dyDescent="0.35">
      <c r="A20" s="201" t="s">
        <v>118</v>
      </c>
      <c r="B20" s="202">
        <f>B18-$B$3*2</f>
        <v>6.65</v>
      </c>
      <c r="C20" s="202">
        <f>C18-$B$3*2</f>
        <v>7.0069999999999997</v>
      </c>
      <c r="D20" s="202">
        <f>D18-$B$3*2</f>
        <v>0.15599999999999997</v>
      </c>
      <c r="E20" s="202">
        <f>E18-$B$3*2</f>
        <v>0.29399999999999998</v>
      </c>
      <c r="F20" s="203">
        <f>2*Table_03[[#This Row],[Width w (in)]]*Table_03[[#This Row],[Flange Thickness tf (in)]]+Table_03[[#This Row],[Web Thickness tw (in)]]*(Table_03[[#This Row],[Depth h (in)]]-2*Table_03[[#This Row],[Flange Thickness tf (in)]])</f>
        <v>5.0657879999999995</v>
      </c>
      <c r="G20" s="204"/>
      <c r="H20"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44.537497433155998</v>
      </c>
      <c r="I20" s="203">
        <f>((Table_03[[#This Row],[Depth h (in)]]-2*Table_03[[#This Row],[Flange Thickness tf (in)]])*Table_03[[#This Row],[Web Thickness tw (in)]]^3/12+2*(Table_03[[#This Row],[Flange Thickness tf (in)]]*Table_03[[#This Row],[Width w (in)]]^3/12))</f>
        <v>16.859389260622997</v>
      </c>
      <c r="J20" s="203">
        <f>Table_03[[#This Row],[Width w (in)]]*Table_03[[#This Row],[Flange Thickness tf (in)]]*(Table_03[[#This Row],[Depth h (in)]]-Table_03[[#This Row],[Flange Thickness tf (in)]])+0.25*Table_03[[#This Row],[Web Thickness tw (in)]]*(Table_03[[#This Row],[Depth h (in)]]-2*Table_03[[#This Row],[Flange Thickness tf (in)]])^2</f>
        <v>14.526894563999999</v>
      </c>
      <c r="K20" s="203">
        <f>(Table_03[[#This Row],[Width w (in)]]^2*Table_03[[#This Row],[Flange Thickness tf (in)]])/2+0.25*Table_03[[#This Row],[Web Thickness tw (in)]]^2*(Table_03[[#This Row],[Depth h (in)]]-2*Table_03[[#This Row],[Flange Thickness tf (in)]])</f>
        <v>7.2542944109999983</v>
      </c>
      <c r="L20" s="203">
        <f>Table_03[[#This Row],[Static Parameters Moment of Inertia Ix (in4)]]/(Table_03[[#This Row],[Depth h (in)]]/2)</f>
        <v>13.394736070122104</v>
      </c>
      <c r="M20" s="203">
        <f>Table_03[[#This Row],[Static Parameters Moment of Inertia Iy (in4)]]/(Table_03[[#This Row],[Width w (in)]]/2)</f>
        <v>4.8121562039740251</v>
      </c>
      <c r="N20" s="205">
        <v>50</v>
      </c>
      <c r="O20" s="206">
        <f>SQRT(Table_03[[#This Row],[Static Parameters Moment of Inertia Ix (in4)]]/Table_03[[#This Row],[Sectional Area (in2)]])</f>
        <v>2.9651003748164988</v>
      </c>
      <c r="P20" s="203">
        <f>SQRT(Table_03[[#This Row],[Static Parameters Moment of Inertia Iy (in4)]]/Table_03[[#This Row],[Sectional Area (in2)]])</f>
        <v>1.8243048535920603</v>
      </c>
      <c r="Q20" s="203">
        <f>($B$6*$B$5*12)/Table_03[[#This Row],[ry (in)2]]</f>
        <v>98.421050432698053</v>
      </c>
      <c r="R20" s="203">
        <f>(PI()^2*$B$4)/(Table_03[[#This Row],[KL/ry]]^2)</f>
        <v>29.547568729985191</v>
      </c>
      <c r="S20" s="203">
        <f>IF(Table_03[[#This Row],[Strength (ksi)]]/Table_03[[#This Row],[Fe,y]]&lt;2.25,(0.658^(Table_03[[#This Row],[Strength (ksi)]]/Table_03[[#This Row],[Fe,y]])*Table_03[[#This Row],[Strength (ksi)]]),0.877*Table_03[[#This Row],[Fe,y]])</f>
        <v>24.624889846768287</v>
      </c>
      <c r="T20" s="203">
        <f>Table_03[[#This Row],[Fcr,y]]*Table_03[[#This Row],[Sectional Area (in2)]]</f>
        <v>124.74447148708062</v>
      </c>
      <c r="U20" s="203">
        <f>1.76*Table_03[[#This Row],[ry (in)2]]*SQRT($B$4/Table_03[[#This Row],[Strength (ksi)]])/12</f>
        <v>6.4438115676230643</v>
      </c>
      <c r="V2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18.956994678478633</v>
      </c>
      <c r="W20" s="203">
        <f>Table_03[[#This Row],[Depth h (in)]]-Table_03[[#This Row],[Flange Thickness tf (in)]]</f>
        <v>6.3560000000000008</v>
      </c>
      <c r="X20" s="203">
        <f>(Table_03[[#This Row],[Static Parameters Moment of Inertia Iy (in4)]]*Table_03[[#This Row],[ho]]^2)/4</f>
        <v>170.27450396528593</v>
      </c>
      <c r="Y20" s="203">
        <f>SQRT((SQRT(Table_03[[#This Row],[Static Parameters Moment of Inertia Iy (in4)]]*Table_03[[#This Row],[Cw*]])/Table_03[[#This Row],[Static Parameters Elastic Section Modulus Sx (in3)2]]))</f>
        <v>2.0000036355623845</v>
      </c>
      <c r="Z20" s="203">
        <f>(2*Table_03[[#This Row],[Width w (in)]]*Table_03[[#This Row],[Flange Thickness tf (in)]]^3/3)+((Table_03[[#This Row],[Depth h (in)]]-Table_03[[#This Row],[Flange Thickness tf (in)]]*2)*Table_03[[#This Row],[Web Thickness tw (in)]]^3)/3</f>
        <v>0.12638007345599997</v>
      </c>
      <c r="AA20" s="203">
        <f>Table_03[[#This Row],[Width w (in)]]*0.5/Table_03[[#This Row],[Flange Thickness tf (in)]]</f>
        <v>11.916666666666666</v>
      </c>
      <c r="AB20" s="203">
        <f>0.38*SQRT($B$4/Table_03[[#This Row],[Strength (ksi)]])</f>
        <v>9.1516118798821449</v>
      </c>
      <c r="AC20" s="203">
        <f>1*SQRT($B$4/Table_03[[#This Row],[Strength (ksi)]])</f>
        <v>24.083189157584592</v>
      </c>
      <c r="AD20" s="203">
        <f>(PI()^2*$B$4/(12*$B$5/Table_03[[#This Row],[rts]])^2)*SQRT(1+0.078*(Table_03[[#This Row],[J*]]/(Table_03[[#This Row],[Static Parameters Elastic Section Modulus Sx (in3)2]]*Table_03[[#This Row],[ho]])*$B$4/(12*$B$5/Table_03[[#This Row],[rts]])^2))</f>
        <v>156.75654573030434</v>
      </c>
      <c r="AE20" s="203">
        <f>0.69*$B$4/Table_03[[#This Row],[b/t]]^2</f>
        <v>140.90860188762289</v>
      </c>
      <c r="AF20" s="207">
        <f>Table_03[[#This Row],[Strength (ksi)]]*Table_03[[#This Row],[Static Parameters Plastic Section Modulus Zx (in3)]]</f>
        <v>726.34472819999996</v>
      </c>
      <c r="AG20" s="203">
        <f>Table_03[[#This Row],[Mp (k-in)]]-(Table_03[[#This Row],[Mp (k-in)]]-0.7*Table_03[[#This Row],[Strength (ksi)]]*Table_03[[#This Row],[Static Parameters Elastic Section Modulus Sx (in3)2]])*((Table_03[[#This Row],[b/t]]-Table_03[[#This Row],[λpf]])/(Table_03[[#This Row],[λrf]]-Table_03[[#This Row],[λpf]]))</f>
        <v>678.65507785513989</v>
      </c>
      <c r="AH20" s="208">
        <f>0.9*$B$4*Table_03[[#This Row],[kc]]*Table_03[[#This Row],[Static Parameters Elastic Section Modulus Sx (in3)2]]/Table_03[[#This Row],[b/t]]^2</f>
        <v>1508.2611794266597</v>
      </c>
      <c r="AI20" s="209" t="str">
        <f>IF(Table_03[[#This Row],[b/t]]&lt;Table_03[[#This Row],[λpf]],"Compact",IF(AND(Table_03[[#This Row],[b/t]]&gt;Table_03[[#This Row],[λpf]],Table_03[[#This Row],[λrf]]&gt;Table_03[[#This Row],[b/t]]),"Non-Compact","Slender"))</f>
        <v>Non-Compact</v>
      </c>
      <c r="AJ20" s="210">
        <f>IF(Table_03[[#This Row],[Controlling LBx]]="Compact",Table_03[[#This Row],[Mp (k-in)]],IF(Table_03[[#This Row],[Controlling LBx]]="Non-Compact",Table_03[[#This Row],[Mnlb,Non-Compact (k-in)]],IF(Table_03[[#This Row],[Controlling LBx]]="Slender",Table_03[[#This Row],[Mnlb,slender (k-in)]],"ERROR")))</f>
        <v>678.65507785513989</v>
      </c>
      <c r="AK20" s="207">
        <f>Table_03[[#This Row],[Mp (k-in)]]-(Table_03[[#This Row],[Mp (k-in)]]-0.7*Table_03[[#This Row],[Strength (ksi)]]*Table_03[[#This Row],[Static Parameters Elastic Section Modulus Sx (in3)2]])*(($B$5-Table_03[[#This Row],[Lp (ft)]])/(Table_03[[#This Row],[Lr]]-Table_03[[#This Row],[Lp (ft)]]))</f>
        <v>712.32545341484979</v>
      </c>
      <c r="AL20" s="211">
        <f>Table_03[[#This Row],[Fcrx]]*Table_03[[#This Row],[Static Parameters Elastic Section Modulus Sx (in3)2]]</f>
        <v>2099.7125573214526</v>
      </c>
      <c r="AM20" s="212" t="str">
        <f>IF($B$5&lt;Table_03[[#This Row],[Lp (ft)]],"Yielding Controls",IF(AND($B$5&gt;Table_03[[#This Row],[Lp (ft)]],Table_03[[#This Row],[Lr]]&gt;$B$5),"Mltb,p Controls","Mltb,r Controls"))</f>
        <v>Mltb,p Controls</v>
      </c>
      <c r="AN20" s="213">
        <f>IF(Table_03[[#This Row],[Controlling LTB]]="Yielding Controls",Table_03[[#This Row],[Mp (k-in)]],IF(Table_03[[#This Row],[Controlling LTB]]="Mltb,p Controls",Table_03[[#This Row],[Mnltbp (k-in)]],IF(Table_03[[#This Row],[Controlling LTB]]="Mltb,r Controls",Table_03[[#This Row],[Mnltbr (k-in)]],"ERROR")))</f>
        <v>712.32545341484979</v>
      </c>
      <c r="AO20" s="214">
        <f>MIN(Table_03[[#This Row],[Strength (ksi)]]*Table_03[[#This Row],[Static Parameters Plastic Section Modulus Zy (in3)]],1.6*Table_03[[#This Row],[Strength (ksi)]]*Table_03[[#This Row],[Static Parameters Elastic Section Modulus Sy (in3)3]])</f>
        <v>362.71472054999992</v>
      </c>
      <c r="AP20" s="206">
        <f>MIN(Table_03[[#This Row],[Mny (k-in)]],Table_03[[#This Row],[Mny (k-in)]]-(Table_03[[#This Row],[Mny (k-in)]]-0.7*Table_03[[#This Row],[Static Parameters Elastic Section Modulus Sy (in3)3]]*Table_03[[#This Row],[Strength (ksi)]])*((Table_03[[#This Row],[b/t]]-Table_03[[#This Row],[λpf]])/(Table_03[[#This Row],[λrf]]-Table_03[[#This Row],[λpf]])))</f>
        <v>326.73590731592424</v>
      </c>
      <c r="AQ20" s="211">
        <f>MIN(Table_03[[#This Row],[Mny (k-in)]],Table_03[[#This Row],[Fcry]]*Table_03[[#This Row],[Static Parameters Elastic Section Modulus Sy (in3)3]])</f>
        <v>362.71472054999992</v>
      </c>
      <c r="AR20" s="212" t="str">
        <f>IF(Table_03[[#This Row],[b/t]]&lt;Table_03[[#This Row],[λpf]],"Compact",IF(AND(Table_03[[#This Row],[b/t]]&gt;Table_03[[#This Row],[λpf]],Table_03[[#This Row],[λrf]]&gt;Table_03[[#This Row],[b/t]]),"Non-Compact","Slender"))</f>
        <v>Non-Compact</v>
      </c>
      <c r="AS20" s="213">
        <f>IF(Table_03[[#This Row],[Controlling Lby]]="Compact",Table_03[[#This Row],[Mny (k-in)]],IF(Table_03[[#This Row],[Controlling Lby]]="Non-Compact",Table_03[[#This Row],[Mlby,Non-Compact (k-in)]],IF(Table_03[[#This Row],[Controlling Lby]]="Slender",Table_03[[#This Row],[Mlby,Slender (k-in)]],"ERROR")))</f>
        <v>326.73590731592424</v>
      </c>
      <c r="AT20" s="214">
        <f>MIN(Table_03[[#This Row],[LBx]],Table_03[[#This Row],[LTB]],Table_03[[#This Row],[Mp (k-in)]])</f>
        <v>678.65507785513989</v>
      </c>
      <c r="AU20" s="206">
        <f>Table_03[[#This Row],[Mp (k-in)]]</f>
        <v>726.34472819999996</v>
      </c>
      <c r="AV20" s="206">
        <f>MIN(Table_03[[#This Row],[LBy]],Table_03[[#This Row],[Mny (k-in)]])</f>
        <v>326.73590731592424</v>
      </c>
      <c r="AW20" s="215">
        <f>Table_03[[#This Row],[Mny (k-in)]]</f>
        <v>362.71472054999992</v>
      </c>
      <c r="AX20" s="169"/>
      <c r="AY20" s="165">
        <f>IF(4/SQRT((Table_03[[#This Row],[Depth h (in)]]-Table_03[[#This Row],[Flange Thickness tf (in)]]*2)/Table_03[[#This Row],[Web Thickness tw (in)]])&lt;0.35,0.35,IF(4/SQRT(Table_03[[#This Row],[Depth h (in)]]/Table_03[[#This Row],[Web Thickness tw (in)]])&gt;0.76,0.76,4/SQRT(Table_03[[#This Row],[Depth h (in)]]/Table_03[[#This Row],[Web Thickness tw (in)]])))</f>
        <v>0.61264863165166827</v>
      </c>
      <c r="AZ20" s="169"/>
    </row>
    <row r="21" spans="1:52" x14ac:dyDescent="0.3">
      <c r="A21" s="179" t="s">
        <v>119</v>
      </c>
      <c r="B21" s="180">
        <v>7.0866100000000003</v>
      </c>
      <c r="C21" s="180">
        <v>7.0866100000000003</v>
      </c>
      <c r="D21" s="180">
        <v>0.33460000000000001</v>
      </c>
      <c r="E21" s="180">
        <v>0.55110000000000003</v>
      </c>
      <c r="F21" s="181">
        <v>10.119999999999999</v>
      </c>
      <c r="G21" s="180"/>
      <c r="H21" s="180">
        <v>92.04</v>
      </c>
      <c r="I21" s="180">
        <v>32.75</v>
      </c>
      <c r="J21" s="181">
        <f>Table_03[[#This Row],[Width w (in)]]*Table_03[[#This Row],[Flange Thickness tf (in)]]*(Table_03[[#This Row],[Depth h (in)]]-Table_03[[#This Row],[Flange Thickness tf (in)]])+0.25*Table_03[[#This Row],[Web Thickness tw (in)]]*(Table_03[[#This Row],[Depth h (in)]]-2*Table_03[[#This Row],[Flange Thickness tf (in)]])^2</f>
        <v>28.51975294715178</v>
      </c>
      <c r="K21" s="181">
        <f>(Table_03[[#This Row],[Width w (in)]]^2*Table_03[[#This Row],[Flange Thickness tf (in)]])/2+0.25*Table_03[[#This Row],[Web Thickness tw (in)]]^2*(Table_03[[#This Row],[Depth h (in)]]-2*Table_03[[#This Row],[Flange Thickness tf (in)]])</f>
        <v>14.005631765007058</v>
      </c>
      <c r="L21" s="181">
        <f>Table_03[[#This Row],[Static Parameters Moment of Inertia Ix (in4)]]/(Table_03[[#This Row],[Depth h (in)]]/2)</f>
        <v>25.975748630163082</v>
      </c>
      <c r="M21" s="181">
        <f>Table_03[[#This Row],[Static Parameters Moment of Inertia Iy (in4)]]/(Table_03[[#This Row],[Width w (in)]]/2)</f>
        <v>9.2427832207501179</v>
      </c>
      <c r="N21" s="182">
        <v>50</v>
      </c>
      <c r="O21" s="181">
        <f>SQRT(Table_03[[#This Row],[Static Parameters Moment of Inertia Ix (in4)]]/Table_03[[#This Row],[Sectional Area (in2)]])</f>
        <v>3.0157688339922628</v>
      </c>
      <c r="P21" s="181">
        <f>SQRT(Table_03[[#This Row],[Static Parameters Moment of Inertia Iy (in4)]]/Table_03[[#This Row],[Sectional Area (in2)]])</f>
        <v>1.7989346869481222</v>
      </c>
      <c r="Q21" s="181">
        <f>($B$6*$B$5*12)/Table_03[[#This Row],[ry (in)2]]</f>
        <v>99.809071058941612</v>
      </c>
      <c r="R21" s="181">
        <f>(PI()^2*$B$4)/(Table_03[[#This Row],[KL/ry]]^2)</f>
        <v>28.731461375801381</v>
      </c>
      <c r="S21" s="181">
        <f>IF(Table_03[[#This Row],[Strength (ksi)]]/Table_03[[#This Row],[Fe,y]]&lt;2.25,(0.658^(Table_03[[#This Row],[Strength (ksi)]]/Table_03[[#This Row],[Fe,y]])*Table_03[[#This Row],[Strength (ksi)]]),0.877*Table_03[[#This Row],[Fe,y]])</f>
        <v>24.134435509091816</v>
      </c>
      <c r="T21" s="181">
        <f>Table_03[[#This Row],[Fcr,y]]*Table_03[[#This Row],[Sectional Area (in2)]]</f>
        <v>244.24048735200915</v>
      </c>
      <c r="U21" s="181">
        <f>1.76*Table_03[[#This Row],[ry (in)2]]*SQRT($B$4/Table_03[[#This Row],[Strength (ksi)]])/12</f>
        <v>6.3541990376937383</v>
      </c>
      <c r="V21"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28.773170826714217</v>
      </c>
      <c r="W21" s="181">
        <f>Table_03[[#This Row],[Depth h (in)]]-Table_03[[#This Row],[Flange Thickness tf (in)]]</f>
        <v>6.5355100000000004</v>
      </c>
      <c r="X21" s="181">
        <f>(Table_03[[#This Row],[Static Parameters Moment of Inertia Iy (in4)]]*Table_03[[#This Row],[ho]]^2)/4</f>
        <v>349.71179473581878</v>
      </c>
      <c r="Y21" s="181">
        <f>SQRT((SQRT(Table_03[[#This Row],[Static Parameters Moment of Inertia Iy (in4)]]*Table_03[[#This Row],[Cw*]])/Table_03[[#This Row],[Static Parameters Elastic Section Modulus Sx (in3)2]]))</f>
        <v>2.0297678046362324</v>
      </c>
      <c r="Z21" s="181">
        <f>(2*Table_03[[#This Row],[Width w (in)]]*Table_03[[#This Row],[Flange Thickness tf (in)]]^3/3)+((Table_03[[#This Row],[Depth h (in)]]-Table_03[[#This Row],[Flange Thickness tf (in)]]*2)*Table_03[[#This Row],[Web Thickness tw (in)]]^3)/3</f>
        <v>0.86547579652748752</v>
      </c>
      <c r="AA21" s="181">
        <f>Table_03[[#This Row],[Width w (in)]]*0.5/Table_03[[#This Row],[Flange Thickness tf (in)]]</f>
        <v>6.4295136998729809</v>
      </c>
      <c r="AB21" s="181">
        <f>0.38*SQRT($B$4/Table_03[[#This Row],[Strength (ksi)]])</f>
        <v>9.1516118798821449</v>
      </c>
      <c r="AC21" s="181">
        <f>1*SQRT($B$4/Table_03[[#This Row],[Strength (ksi)]])</f>
        <v>24.083189157584592</v>
      </c>
      <c r="AD21" s="181">
        <f>(PI()^2*$B$4/(12*$B$5/Table_03[[#This Row],[rts]])^2)*SQRT(1+0.078*(Table_03[[#This Row],[J*]]/(Table_03[[#This Row],[Static Parameters Elastic Section Modulus Sx (in3)2]]*Table_03[[#This Row],[ho]])*$B$4/(12*$B$5/Table_03[[#This Row],[rts]])^2))</f>
        <v>161.83220513669363</v>
      </c>
      <c r="AE21" s="181">
        <f>0.69*$B$4/Table_03[[#This Row],[b/t]]^2</f>
        <v>484.05068221686241</v>
      </c>
      <c r="AF21" s="183">
        <f>Table_03[[#This Row],[Strength (ksi)]]*Table_03[[#This Row],[Static Parameters Plastic Section Modulus Zx (in3)]]</f>
        <v>1425.9876473575889</v>
      </c>
      <c r="AG21" s="181">
        <f>Table_03[[#This Row],[Mp (k-in)]]-(Table_03[[#This Row],[Mp (k-in)]]-0.7*Table_03[[#This Row],[Strength (ksi)]]*Table_03[[#This Row],[Static Parameters Elastic Section Modulus Sx (in3)2]])*((Table_03[[#This Row],[b/t]]-Table_03[[#This Row],[λpf]])/(Table_03[[#This Row],[λrf]]-Table_03[[#This Row],[λpf]]))</f>
        <v>1520.2094111373317</v>
      </c>
      <c r="AH21" s="184">
        <f>0.9*$B$4*Table_03[[#This Row],[kc]]*Table_03[[#This Row],[Static Parameters Elastic Section Modulus Sx (in3)2]]/Table_03[[#This Row],[b/t]]^2</f>
        <v>12464.243377302219</v>
      </c>
      <c r="AI21" s="185" t="str">
        <f>IF(Table_03[[#This Row],[b/t]]&lt;Table_03[[#This Row],[λpf]],"Compact",IF(AND(Table_03[[#This Row],[b/t]]&gt;Table_03[[#This Row],[λpf]],Table_03[[#This Row],[λrf]]&gt;Table_03[[#This Row],[b/t]]),"Non-Compact","Slender"))</f>
        <v>Compact</v>
      </c>
      <c r="AJ21" s="186">
        <f>IF(Table_03[[#This Row],[Controlling LBx]]="Compact",Table_03[[#This Row],[Mp (k-in)]],IF(Table_03[[#This Row],[Controlling LBx]]="Non-Compact",Table_03[[#This Row],[Mnlb,Non-Compact (k-in)]],IF(Table_03[[#This Row],[Controlling LBx]]="Slender",Table_03[[#This Row],[Mnlb,slender (k-in)]],"ERROR")))</f>
        <v>1425.9876473575889</v>
      </c>
      <c r="AK21" s="183">
        <f>Table_03[[#This Row],[Mp (k-in)]]-(Table_03[[#This Row],[Mp (k-in)]]-0.7*Table_03[[#This Row],[Strength (ksi)]]*Table_03[[#This Row],[Static Parameters Elastic Section Modulus Sx (in3)2]])*(($B$5-Table_03[[#This Row],[Lp (ft)]])/(Table_03[[#This Row],[Lr]]-Table_03[[#This Row],[Lp (ft)]]))</f>
        <v>1408.2179640223014</v>
      </c>
      <c r="AL21" s="184">
        <f>Table_03[[#This Row],[Fcrx]]*Table_03[[#This Row],[Static Parameters Elastic Section Modulus Sx (in3)2]]</f>
        <v>4203.71268089574</v>
      </c>
      <c r="AM21" s="185" t="str">
        <f>IF($B$5&lt;Table_03[[#This Row],[Lp (ft)]],"Yielding Controls",IF(AND($B$5&gt;Table_03[[#This Row],[Lp (ft)]],Table_03[[#This Row],[Lr]]&gt;$B$5),"Mltb,p Controls","Mltb,r Controls"))</f>
        <v>Mltb,p Controls</v>
      </c>
      <c r="AN21" s="186">
        <f>IF(Table_03[[#This Row],[Controlling LTB]]="Yielding Controls",Table_03[[#This Row],[Mp (k-in)]],IF(Table_03[[#This Row],[Controlling LTB]]="Mltb,p Controls",Table_03[[#This Row],[Mnltbp (k-in)]],IF(Table_03[[#This Row],[Controlling LTB]]="Mltb,r Controls",Table_03[[#This Row],[Mnltbr (k-in)]],"ERROR")))</f>
        <v>1408.2179640223014</v>
      </c>
      <c r="AO21" s="183">
        <f>MIN(Table_03[[#This Row],[Strength (ksi)]]*Table_03[[#This Row],[Static Parameters Plastic Section Modulus Zy (in3)]],1.6*Table_03[[#This Row],[Strength (ksi)]]*Table_03[[#This Row],[Static Parameters Elastic Section Modulus Sy (in3)3]])</f>
        <v>700.28158825035291</v>
      </c>
      <c r="AP21" s="181">
        <f>MIN(Table_03[[#This Row],[Mny (k-in)]],Table_03[[#This Row],[Mny (k-in)]]-(Table_03[[#This Row],[Mny (k-in)]]-0.7*Table_03[[#This Row],[Static Parameters Elastic Section Modulus Sy (in3)3]]*Table_03[[#This Row],[Strength (ksi)]])*((Table_03[[#This Row],[b/t]]-Table_03[[#This Row],[λpf]])/(Table_03[[#This Row],[λrf]]-Table_03[[#This Row],[λpf]])))</f>
        <v>700.28158825035291</v>
      </c>
      <c r="AQ21" s="184">
        <f>MIN(Table_03[[#This Row],[Mny (k-in)]],Table_03[[#This Row],[Fcry]]*Table_03[[#This Row],[Static Parameters Elastic Section Modulus Sy (in3)3]])</f>
        <v>700.28158825035291</v>
      </c>
      <c r="AR21" s="185" t="str">
        <f>IF(Table_03[[#This Row],[b/t]]&lt;Table_03[[#This Row],[λpf]],"Compact",IF(AND(Table_03[[#This Row],[b/t]]&gt;Table_03[[#This Row],[λpf]],Table_03[[#This Row],[λrf]]&gt;Table_03[[#This Row],[b/t]]),"Non-Compact","Slender"))</f>
        <v>Compact</v>
      </c>
      <c r="AS21" s="186">
        <f>IF(Table_03[[#This Row],[Controlling Lby]]="Compact",Table_03[[#This Row],[Mny (k-in)]],IF(Table_03[[#This Row],[Controlling Lby]]="Non-Compact",Table_03[[#This Row],[Mlby,Non-Compact (k-in)]],IF(Table_03[[#This Row],[Controlling Lby]]="Slender",Table_03[[#This Row],[Mlby,Slender (k-in)]],"ERROR")))</f>
        <v>700.28158825035291</v>
      </c>
      <c r="AT21" s="183">
        <f>MIN(Table_03[[#This Row],[LBx]],Table_03[[#This Row],[LTB]],Table_03[[#This Row],[Mp (k-in)]])</f>
        <v>1408.2179640223014</v>
      </c>
      <c r="AU21" s="181">
        <f>Table_03[[#This Row],[Mp (k-in)]]</f>
        <v>1425.9876473575889</v>
      </c>
      <c r="AV21" s="181">
        <f>MIN(Table_03[[#This Row],[LBy]],Table_03[[#This Row],[Mny (k-in)]])</f>
        <v>700.28158825035291</v>
      </c>
      <c r="AW21" s="187">
        <f>Table_03[[#This Row],[Mny (k-in)]]</f>
        <v>700.28158825035291</v>
      </c>
      <c r="AX21" s="169"/>
      <c r="AY21" s="165">
        <f>IF(4/SQRT((Table_03[[#This Row],[Depth h (in)]]-Table_03[[#This Row],[Flange Thickness tf (in)]]*2)/Table_03[[#This Row],[Web Thickness tw (in)]])&lt;0.35,0.35,IF(4/SQRT(Table_03[[#This Row],[Depth h (in)]]/Table_03[[#This Row],[Web Thickness tw (in)]])&gt;0.76,0.76,4/SQRT(Table_03[[#This Row],[Depth h (in)]]/Table_03[[#This Row],[Web Thickness tw (in)]])))</f>
        <v>0.76</v>
      </c>
      <c r="AZ21" s="169"/>
    </row>
    <row r="22" spans="1:52" x14ac:dyDescent="0.3">
      <c r="A22" s="188" t="s">
        <v>120</v>
      </c>
      <c r="B22" s="189">
        <f>B21-$B$1*2</f>
        <v>7.0866100000000003</v>
      </c>
      <c r="C22" s="189">
        <f>C21-$B$1*2</f>
        <v>7.0866100000000003</v>
      </c>
      <c r="D22" s="189">
        <f>D21-$B$1*2</f>
        <v>0.33460000000000001</v>
      </c>
      <c r="E22" s="189">
        <f>E21-$B$1*2</f>
        <v>0.55110000000000003</v>
      </c>
      <c r="F22" s="190">
        <f>2*Table_03[[#This Row],[Width w (in)]]*Table_03[[#This Row],[Flange Thickness tf (in)]]+Table_03[[#This Row],[Web Thickness tw (in)]]*(Table_03[[#This Row],[Depth h (in)]]-2*Table_03[[#This Row],[Flange Thickness tf (in)]])</f>
        <v>9.8132451280000002</v>
      </c>
      <c r="G22" s="189"/>
      <c r="H22"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89.579780675331179</v>
      </c>
      <c r="I22" s="190">
        <f>((Table_03[[#This Row],[Depth h (in)]]-2*Table_03[[#This Row],[Flange Thickness tf (in)]])*Table_03[[#This Row],[Web Thickness tw (in)]]^3/12+2*(Table_03[[#This Row],[Flange Thickness tf (in)]]*Table_03[[#This Row],[Width w (in)]]^3/12))</f>
        <v>32.707164195469595</v>
      </c>
      <c r="J22" s="190">
        <f>Table_03[[#This Row],[Width w (in)]]*Table_03[[#This Row],[Flange Thickness tf (in)]]*(Table_03[[#This Row],[Depth h (in)]]-Table_03[[#This Row],[Flange Thickness tf (in)]])+0.25*Table_03[[#This Row],[Web Thickness tw (in)]]*(Table_03[[#This Row],[Depth h (in)]]-2*Table_03[[#This Row],[Flange Thickness tf (in)]])^2</f>
        <v>28.51975294715178</v>
      </c>
      <c r="K22" s="190">
        <f>(Table_03[[#This Row],[Width w (in)]]^2*Table_03[[#This Row],[Flange Thickness tf (in)]])/2+0.25*Table_03[[#This Row],[Web Thickness tw (in)]]^2*(Table_03[[#This Row],[Depth h (in)]]-2*Table_03[[#This Row],[Flange Thickness tf (in)]])</f>
        <v>14.005631765007058</v>
      </c>
      <c r="L22" s="190">
        <f>Table_03[[#This Row],[Static Parameters Moment of Inertia Ix (in4)]]/(Table_03[[#This Row],[Depth h (in)]]/2)</f>
        <v>25.281419656318374</v>
      </c>
      <c r="M22" s="190">
        <f>Table_03[[#This Row],[Static Parameters Moment of Inertia Iy (in4)]]/(Table_03[[#This Row],[Width w (in)]]/2)</f>
        <v>9.2306939976856626</v>
      </c>
      <c r="N22" s="191">
        <v>50</v>
      </c>
      <c r="O22" s="169">
        <f>SQRT(Table_03[[#This Row],[Static Parameters Moment of Inertia Ix (in4)]]/Table_03[[#This Row],[Sectional Area (in2)]])</f>
        <v>3.0213335530711949</v>
      </c>
      <c r="P22" s="190">
        <f>SQRT(Table_03[[#This Row],[Static Parameters Moment of Inertia Iy (in4)]]/Table_03[[#This Row],[Sectional Area (in2)]])</f>
        <v>1.8256399129494598</v>
      </c>
      <c r="Q22" s="190">
        <f>($B$6*$B$5*12)/Table_03[[#This Row],[ry (in)2]]</f>
        <v>98.349076795721103</v>
      </c>
      <c r="R22" s="190">
        <f>(PI()^2*$B$4)/(Table_03[[#This Row],[KL/ry]]^2)</f>
        <v>29.590831447108219</v>
      </c>
      <c r="S22" s="190">
        <f>IF(Table_03[[#This Row],[Strength (ksi)]]/Table_03[[#This Row],[Fe,y]]&lt;2.25,(0.658^(Table_03[[#This Row],[Strength (ksi)]]/Table_03[[#This Row],[Fe,y]])*Table_03[[#This Row],[Strength (ksi)]]),0.877*Table_03[[#This Row],[Fe,y]])</f>
        <v>24.65040227268651</v>
      </c>
      <c r="T22" s="190">
        <f>Table_03[[#This Row],[Fcr,y]]*Table_03[[#This Row],[Sectional Area (in2)]]</f>
        <v>241.90044000568102</v>
      </c>
      <c r="U22" s="190">
        <f>1.76*Table_03[[#This Row],[ry (in)2]]*SQRT($B$4/Table_03[[#This Row],[Strength (ksi)]])/12</f>
        <v>6.4485272657223893</v>
      </c>
      <c r="V2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29.485979606048115</v>
      </c>
      <c r="W22" s="190">
        <f>Table_03[[#This Row],[Depth h (in)]]-Table_03[[#This Row],[Flange Thickness tf (in)]]</f>
        <v>6.5355100000000004</v>
      </c>
      <c r="X22" s="190">
        <f>(Table_03[[#This Row],[Static Parameters Moment of Inertia Iy (in4)]]*Table_03[[#This Row],[ho]]^2)/4</f>
        <v>349.25438447379497</v>
      </c>
      <c r="Y22" s="190">
        <f>SQRT((SQRT(Table_03[[#This Row],[Static Parameters Moment of Inertia Iy (in4)]]*Table_03[[#This Row],[Cw*]])/Table_03[[#This Row],[Static Parameters Elastic Section Modulus Sx (in3)2]]))</f>
        <v>2.0561058117420719</v>
      </c>
      <c r="Z22" s="190">
        <f>(2*Table_03[[#This Row],[Width w (in)]]*Table_03[[#This Row],[Flange Thickness tf (in)]]^3/3)+((Table_03[[#This Row],[Depth h (in)]]-Table_03[[#This Row],[Flange Thickness tf (in)]]*2)*Table_03[[#This Row],[Web Thickness tw (in)]]^3)/3</f>
        <v>0.86547579652748752</v>
      </c>
      <c r="AA22" s="190">
        <f>Table_03[[#This Row],[Width w (in)]]*0.5/Table_03[[#This Row],[Flange Thickness tf (in)]]</f>
        <v>6.4295136998729809</v>
      </c>
      <c r="AB22" s="190">
        <f>0.38*SQRT($B$4/Table_03[[#This Row],[Strength (ksi)]])</f>
        <v>9.1516118798821449</v>
      </c>
      <c r="AC22" s="190">
        <f>1*SQRT($B$4/Table_03[[#This Row],[Strength (ksi)]])</f>
        <v>24.083189157584592</v>
      </c>
      <c r="AD22" s="190">
        <f>(PI()^2*$B$4/(12*$B$5/Table_03[[#This Row],[rts]])^2)*SQRT(1+0.078*(Table_03[[#This Row],[J*]]/(Table_03[[#This Row],[Static Parameters Elastic Section Modulus Sx (in3)2]]*Table_03[[#This Row],[ho]])*$B$4/(12*$B$5/Table_03[[#This Row],[rts]])^2))</f>
        <v>166.08839206896045</v>
      </c>
      <c r="AE22" s="190">
        <f>0.69*$B$4/Table_03[[#This Row],[b/t]]^2</f>
        <v>484.05068221686241</v>
      </c>
      <c r="AF22" s="192">
        <f>Table_03[[#This Row],[Strength (ksi)]]*Table_03[[#This Row],[Static Parameters Plastic Section Modulus Zx (in3)]]</f>
        <v>1425.9876473575889</v>
      </c>
      <c r="AG22" s="190">
        <f>Table_03[[#This Row],[Mp (k-in)]]-(Table_03[[#This Row],[Mp (k-in)]]-0.7*Table_03[[#This Row],[Strength (ksi)]]*Table_03[[#This Row],[Static Parameters Elastic Section Modulus Sx (in3)2]])*((Table_03[[#This Row],[b/t]]-Table_03[[#This Row],[λpf]])/(Table_03[[#This Row],[λrf]]-Table_03[[#This Row],[λpf]]))</f>
        <v>1524.6396937545503</v>
      </c>
      <c r="AH22" s="193">
        <f>0.9*$B$4*Table_03[[#This Row],[kc]]*Table_03[[#This Row],[Static Parameters Elastic Section Modulus Sx (in3)2]]/Table_03[[#This Row],[b/t]]^2</f>
        <v>12131.075489164297</v>
      </c>
      <c r="AI22" s="194" t="str">
        <f>IF(Table_03[[#This Row],[b/t]]&lt;Table_03[[#This Row],[λpf]],"Compact",IF(AND(Table_03[[#This Row],[b/t]]&gt;Table_03[[#This Row],[λpf]],Table_03[[#This Row],[λrf]]&gt;Table_03[[#This Row],[b/t]]),"Non-Compact","Slender"))</f>
        <v>Compact</v>
      </c>
      <c r="AJ22" s="195">
        <f>IF(Table_03[[#This Row],[Controlling LBx]]="Compact",Table_03[[#This Row],[Mp (k-in)]],IF(Table_03[[#This Row],[Controlling LBx]]="Non-Compact",Table_03[[#This Row],[Mnlb,Non-Compact (k-in)]],IF(Table_03[[#This Row],[Controlling LBx]]="Slender",Table_03[[#This Row],[Mnlb,slender (k-in)]],"ERROR")))</f>
        <v>1425.9876473575889</v>
      </c>
      <c r="AK22" s="192">
        <f>Table_03[[#This Row],[Mp (k-in)]]-(Table_03[[#This Row],[Mp (k-in)]]-0.7*Table_03[[#This Row],[Strength (ksi)]]*Table_03[[#This Row],[Static Parameters Elastic Section Modulus Sx (in3)2]])*(($B$5-Table_03[[#This Row],[Lp (ft)]])/(Table_03[[#This Row],[Lr]]-Table_03[[#This Row],[Lp (ft)]]))</f>
        <v>1410.0976492102338</v>
      </c>
      <c r="AL22" s="196">
        <f>Table_03[[#This Row],[Fcrx]]*Table_03[[#This Row],[Static Parameters Elastic Section Modulus Sx (in3)2]]</f>
        <v>4198.9503399385294</v>
      </c>
      <c r="AM22" s="197" t="str">
        <f>IF($B$5&lt;Table_03[[#This Row],[Lp (ft)]],"Yielding Controls",IF(AND($B$5&gt;Table_03[[#This Row],[Lp (ft)]],Table_03[[#This Row],[Lr]]&gt;$B$5),"Mltb,p Controls","Mltb,r Controls"))</f>
        <v>Mltb,p Controls</v>
      </c>
      <c r="AN22" s="198">
        <f>IF(Table_03[[#This Row],[Controlling LTB]]="Yielding Controls",Table_03[[#This Row],[Mp (k-in)]],IF(Table_03[[#This Row],[Controlling LTB]]="Mltb,p Controls",Table_03[[#This Row],[Mnltbp (k-in)]],IF(Table_03[[#This Row],[Controlling LTB]]="Mltb,r Controls",Table_03[[#This Row],[Mnltbr (k-in)]],"ERROR")))</f>
        <v>1410.0976492102338</v>
      </c>
      <c r="AO22" s="199">
        <f>MIN(Table_03[[#This Row],[Strength (ksi)]]*Table_03[[#This Row],[Static Parameters Plastic Section Modulus Zy (in3)]],1.6*Table_03[[#This Row],[Strength (ksi)]]*Table_03[[#This Row],[Static Parameters Elastic Section Modulus Sy (in3)3]])</f>
        <v>700.28158825035291</v>
      </c>
      <c r="AP22" s="169">
        <f>MIN(Table_03[[#This Row],[Mny (k-in)]],Table_03[[#This Row],[Mny (k-in)]]-(Table_03[[#This Row],[Mny (k-in)]]-0.7*Table_03[[#This Row],[Static Parameters Elastic Section Modulus Sy (in3)3]]*Table_03[[#This Row],[Strength (ksi)]])*((Table_03[[#This Row],[b/t]]-Table_03[[#This Row],[λpf]])/(Table_03[[#This Row],[λrf]]-Table_03[[#This Row],[λpf]])))</f>
        <v>700.28158825035291</v>
      </c>
      <c r="AQ22" s="196">
        <f>MIN(Table_03[[#This Row],[Mny (k-in)]],Table_03[[#This Row],[Fcry]]*Table_03[[#This Row],[Static Parameters Elastic Section Modulus Sy (in3)3]])</f>
        <v>700.28158825035291</v>
      </c>
      <c r="AR22" s="197" t="str">
        <f>IF(Table_03[[#This Row],[b/t]]&lt;Table_03[[#This Row],[λpf]],"Compact",IF(AND(Table_03[[#This Row],[b/t]]&gt;Table_03[[#This Row],[λpf]],Table_03[[#This Row],[λrf]]&gt;Table_03[[#This Row],[b/t]]),"Non-Compact","Slender"))</f>
        <v>Compact</v>
      </c>
      <c r="AS22" s="198">
        <f>IF(Table_03[[#This Row],[Controlling Lby]]="Compact",Table_03[[#This Row],[Mny (k-in)]],IF(Table_03[[#This Row],[Controlling Lby]]="Non-Compact",Table_03[[#This Row],[Mlby,Non-Compact (k-in)]],IF(Table_03[[#This Row],[Controlling Lby]]="Slender",Table_03[[#This Row],[Mlby,Slender (k-in)]],"ERROR")))</f>
        <v>700.28158825035291</v>
      </c>
      <c r="AT22" s="199">
        <f>MIN(Table_03[[#This Row],[LBx]],Table_03[[#This Row],[LTB]],Table_03[[#This Row],[Mp (k-in)]])</f>
        <v>1410.0976492102338</v>
      </c>
      <c r="AU22" s="169">
        <f>Table_03[[#This Row],[Mp (k-in)]]</f>
        <v>1425.9876473575889</v>
      </c>
      <c r="AV22" s="169">
        <f>MIN(Table_03[[#This Row],[LBy]],Table_03[[#This Row],[Mny (k-in)]])</f>
        <v>700.28158825035291</v>
      </c>
      <c r="AW22" s="200">
        <f>Table_03[[#This Row],[Mny (k-in)]]</f>
        <v>700.28158825035291</v>
      </c>
      <c r="AX22" s="169"/>
      <c r="AY22" s="165">
        <f>IF(4/SQRT((Table_03[[#This Row],[Depth h (in)]]-Table_03[[#This Row],[Flange Thickness tf (in)]]*2)/Table_03[[#This Row],[Web Thickness tw (in)]])&lt;0.35,0.35,IF(4/SQRT(Table_03[[#This Row],[Depth h (in)]]/Table_03[[#This Row],[Web Thickness tw (in)]])&gt;0.76,0.76,4/SQRT(Table_03[[#This Row],[Depth h (in)]]/Table_03[[#This Row],[Web Thickness tw (in)]])))</f>
        <v>0.76</v>
      </c>
      <c r="AZ22" s="169"/>
    </row>
    <row r="23" spans="1:52" ht="14.4" thickBot="1" x14ac:dyDescent="0.35">
      <c r="A23" s="201" t="s">
        <v>121</v>
      </c>
      <c r="B23" s="202">
        <f>B21-$B$3*2</f>
        <v>7.0066100000000002</v>
      </c>
      <c r="C23" s="202">
        <f>C21-$B$3*2</f>
        <v>7.0066100000000002</v>
      </c>
      <c r="D23" s="202">
        <f>D21-$B$3*2</f>
        <v>0.25459999999999999</v>
      </c>
      <c r="E23" s="202">
        <f>E21-$B$3*2</f>
        <v>0.47110000000000002</v>
      </c>
      <c r="F23" s="203">
        <f>2*Table_03[[#This Row],[Width w (in)]]*Table_03[[#This Row],[Flange Thickness tf (in)]]+Table_03[[#This Row],[Web Thickness tw (in)]]*(Table_03[[#This Row],[Depth h (in)]]-2*Table_03[[#This Row],[Flange Thickness tf (in)]])</f>
        <v>8.1456267279999999</v>
      </c>
      <c r="G23" s="204"/>
      <c r="H23"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75.347727197195084</v>
      </c>
      <c r="I23" s="203">
        <f>((Table_03[[#This Row],[Depth h (in)]]-2*Table_03[[#This Row],[Flange Thickness tf (in)]])*Table_03[[#This Row],[Web Thickness tw (in)]]^3/12+2*(Table_03[[#This Row],[Flange Thickness tf (in)]]*Table_03[[#This Row],[Width w (in)]]^3/12))</f>
        <v>27.015921336590669</v>
      </c>
      <c r="J23" s="203">
        <f>Table_03[[#This Row],[Width w (in)]]*Table_03[[#This Row],[Flange Thickness tf (in)]]*(Table_03[[#This Row],[Depth h (in)]]-Table_03[[#This Row],[Flange Thickness tf (in)]])+0.25*Table_03[[#This Row],[Web Thickness tw (in)]]*(Table_03[[#This Row],[Depth h (in)]]-2*Table_03[[#This Row],[Flange Thickness tf (in)]])^2</f>
        <v>23.913363135061779</v>
      </c>
      <c r="K23" s="203">
        <f>(Table_03[[#This Row],[Width w (in)]]^2*Table_03[[#This Row],[Flange Thickness tf (in)]])/2+0.25*Table_03[[#This Row],[Web Thickness tw (in)]]^2*(Table_03[[#This Row],[Depth h (in)]]-2*Table_03[[#This Row],[Flange Thickness tf (in)]])</f>
        <v>11.662033611403055</v>
      </c>
      <c r="L23" s="203">
        <f>Table_03[[#This Row],[Static Parameters Moment of Inertia Ix (in4)]]/(Table_03[[#This Row],[Depth h (in)]]/2)</f>
        <v>21.507612724896941</v>
      </c>
      <c r="M23" s="203">
        <f>Table_03[[#This Row],[Static Parameters Moment of Inertia Iy (in4)]]/(Table_03[[#This Row],[Width w (in)]]/2)</f>
        <v>7.7115527584925285</v>
      </c>
      <c r="N23" s="205">
        <v>50</v>
      </c>
      <c r="O23" s="206">
        <f>SQRT(Table_03[[#This Row],[Static Parameters Moment of Inertia Ix (in4)]]/Table_03[[#This Row],[Sectional Area (in2)]])</f>
        <v>3.0413949884649716</v>
      </c>
      <c r="P23" s="203">
        <f>SQRT(Table_03[[#This Row],[Static Parameters Moment of Inertia Iy (in4)]]/Table_03[[#This Row],[Sectional Area (in2)]])</f>
        <v>1.8211580554666649</v>
      </c>
      <c r="Q23" s="203">
        <f>($B$6*$B$5*12)/Table_03[[#This Row],[ry (in)2]]</f>
        <v>98.59111319911824</v>
      </c>
      <c r="R23" s="203">
        <f>(PI()^2*$B$4)/(Table_03[[#This Row],[KL/ry]]^2)</f>
        <v>29.445721671353152</v>
      </c>
      <c r="S23" s="203">
        <f>IF(Table_03[[#This Row],[Strength (ksi)]]/Table_03[[#This Row],[Fe,y]]&lt;2.25,(0.658^(Table_03[[#This Row],[Strength (ksi)]]/Table_03[[#This Row],[Fe,y]])*Table_03[[#This Row],[Strength (ksi)]]),0.877*Table_03[[#This Row],[Fe,y]])</f>
        <v>24.564638786181181</v>
      </c>
      <c r="T23" s="203">
        <f>Table_03[[#This Row],[Fcr,y]]*Table_03[[#This Row],[Sectional Area (in2)]]</f>
        <v>200.09437826038291</v>
      </c>
      <c r="U23" s="203">
        <f>1.76*Table_03[[#This Row],[ry (in)2]]*SQRT($B$4/Table_03[[#This Row],[Strength (ksi)]])/12</f>
        <v>6.4326964438971848</v>
      </c>
      <c r="V23"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25.256224920050951</v>
      </c>
      <c r="W23" s="203">
        <f>Table_03[[#This Row],[Depth h (in)]]-Table_03[[#This Row],[Flange Thickness tf (in)]]</f>
        <v>6.5355100000000004</v>
      </c>
      <c r="X23" s="203">
        <f>(Table_03[[#This Row],[Static Parameters Moment of Inertia Iy (in4)]]*Table_03[[#This Row],[ho]]^2)/4</f>
        <v>288.4820255591091</v>
      </c>
      <c r="Y23" s="203">
        <f>SQRT((SQRT(Table_03[[#This Row],[Static Parameters Moment of Inertia Iy (in4)]]*Table_03[[#This Row],[Cw*]])/Table_03[[#This Row],[Static Parameters Elastic Section Modulus Sx (in3)2]]))</f>
        <v>2.0259957573470091</v>
      </c>
      <c r="Z23" s="203">
        <f>(2*Table_03[[#This Row],[Width w (in)]]*Table_03[[#This Row],[Flange Thickness tf (in)]]^3/3)+((Table_03[[#This Row],[Depth h (in)]]-Table_03[[#This Row],[Flange Thickness tf (in)]]*2)*Table_03[[#This Row],[Web Thickness tw (in)]]^3)/3</f>
        <v>0.52173915866558329</v>
      </c>
      <c r="AA23" s="203">
        <f>Table_03[[#This Row],[Width w (in)]]*0.5/Table_03[[#This Row],[Flange Thickness tf (in)]]</f>
        <v>7.4364360008490769</v>
      </c>
      <c r="AB23" s="203">
        <f>0.38*SQRT($B$4/Table_03[[#This Row],[Strength (ksi)]])</f>
        <v>9.1516118798821449</v>
      </c>
      <c r="AC23" s="203">
        <f>1*SQRT($B$4/Table_03[[#This Row],[Strength (ksi)]])</f>
        <v>24.083189157584592</v>
      </c>
      <c r="AD23" s="203">
        <f>(PI()^2*$B$4/(12*$B$5/Table_03[[#This Row],[rts]])^2)*SQRT(1+0.078*(Table_03[[#This Row],[J*]]/(Table_03[[#This Row],[Static Parameters Elastic Section Modulus Sx (in3)2]]*Table_03[[#This Row],[ho]])*$B$4/(12*$B$5/Table_03[[#This Row],[rts]])^2))</f>
        <v>161.08825364088219</v>
      </c>
      <c r="AE23" s="203">
        <f>0.69*$B$4/Table_03[[#This Row],[b/t]]^2</f>
        <v>361.84068697241003</v>
      </c>
      <c r="AF23" s="207">
        <f>Table_03[[#This Row],[Strength (ksi)]]*Table_03[[#This Row],[Static Parameters Plastic Section Modulus Zx (in3)]]</f>
        <v>1195.6681567530889</v>
      </c>
      <c r="AG23" s="203">
        <f>Table_03[[#This Row],[Mp (k-in)]]-(Table_03[[#This Row],[Mp (k-in)]]-0.7*Table_03[[#This Row],[Strength (ksi)]]*Table_03[[#This Row],[Static Parameters Elastic Section Modulus Sx (in3)2]])*((Table_03[[#This Row],[b/t]]-Table_03[[#This Row],[λpf]])/(Table_03[[#This Row],[λrf]]-Table_03[[#This Row],[λpf]]))</f>
        <v>1246.5438491207501</v>
      </c>
      <c r="AH23" s="208">
        <f>0.9*$B$4*Table_03[[#This Row],[kc]]*Table_03[[#This Row],[Static Parameters Elastic Section Modulus Sx (in3)2]]/Table_03[[#This Row],[b/t]]^2</f>
        <v>7714.6569342653156</v>
      </c>
      <c r="AI23" s="209" t="str">
        <f>IF(Table_03[[#This Row],[b/t]]&lt;Table_03[[#This Row],[λpf]],"Compact",IF(AND(Table_03[[#This Row],[b/t]]&gt;Table_03[[#This Row],[λpf]],Table_03[[#This Row],[λrf]]&gt;Table_03[[#This Row],[b/t]]),"Non-Compact","Slender"))</f>
        <v>Compact</v>
      </c>
      <c r="AJ23" s="210">
        <f>IF(Table_03[[#This Row],[Controlling LBx]]="Compact",Table_03[[#This Row],[Mp (k-in)]],IF(Table_03[[#This Row],[Controlling LBx]]="Non-Compact",Table_03[[#This Row],[Mnlb,Non-Compact (k-in)]],IF(Table_03[[#This Row],[Controlling LBx]]="Slender",Table_03[[#This Row],[Mnlb,slender (k-in)]],"ERROR")))</f>
        <v>1195.6681567530889</v>
      </c>
      <c r="AK23" s="207">
        <f>Table_03[[#This Row],[Mp (k-in)]]-(Table_03[[#This Row],[Mp (k-in)]]-0.7*Table_03[[#This Row],[Strength (ksi)]]*Table_03[[#This Row],[Static Parameters Elastic Section Modulus Sx (in3)2]])*(($B$5-Table_03[[#This Row],[Lp (ft)]])/(Table_03[[#This Row],[Lr]]-Table_03[[#This Row],[Lp (ft)]]))</f>
        <v>1179.3788393606558</v>
      </c>
      <c r="AL23" s="211">
        <f>Table_03[[#This Row],[Fcrx]]*Table_03[[#This Row],[Static Parameters Elastic Section Modulus Sx (in3)2]]</f>
        <v>3464.6237738380637</v>
      </c>
      <c r="AM23" s="212" t="str">
        <f>IF($B$5&lt;Table_03[[#This Row],[Lp (ft)]],"Yielding Controls",IF(AND($B$5&gt;Table_03[[#This Row],[Lp (ft)]],Table_03[[#This Row],[Lr]]&gt;$B$5),"Mltb,p Controls","Mltb,r Controls"))</f>
        <v>Mltb,p Controls</v>
      </c>
      <c r="AN23" s="213">
        <f>IF(Table_03[[#This Row],[Controlling LTB]]="Yielding Controls",Table_03[[#This Row],[Mp (k-in)]],IF(Table_03[[#This Row],[Controlling LTB]]="Mltb,p Controls",Table_03[[#This Row],[Mnltbp (k-in)]],IF(Table_03[[#This Row],[Controlling LTB]]="Mltb,r Controls",Table_03[[#This Row],[Mnltbr (k-in)]],"ERROR")))</f>
        <v>1179.3788393606558</v>
      </c>
      <c r="AO23" s="214">
        <f>MIN(Table_03[[#This Row],[Strength (ksi)]]*Table_03[[#This Row],[Static Parameters Plastic Section Modulus Zy (in3)]],1.6*Table_03[[#This Row],[Strength (ksi)]]*Table_03[[#This Row],[Static Parameters Elastic Section Modulus Sy (in3)3]])</f>
        <v>583.10168057015278</v>
      </c>
      <c r="AP23" s="206">
        <f>MIN(Table_03[[#This Row],[Mny (k-in)]],Table_03[[#This Row],[Mny (k-in)]]-(Table_03[[#This Row],[Mny (k-in)]]-0.7*Table_03[[#This Row],[Static Parameters Elastic Section Modulus Sy (in3)3]]*Table_03[[#This Row],[Strength (ksi)]])*((Table_03[[#This Row],[b/t]]-Table_03[[#This Row],[λpf]])/(Table_03[[#This Row],[λrf]]-Table_03[[#This Row],[λpf]])))</f>
        <v>583.10168057015278</v>
      </c>
      <c r="AQ23" s="211">
        <f>MIN(Table_03[[#This Row],[Mny (k-in)]],Table_03[[#This Row],[Fcry]]*Table_03[[#This Row],[Static Parameters Elastic Section Modulus Sy (in3)3]])</f>
        <v>583.10168057015278</v>
      </c>
      <c r="AR23" s="212" t="str">
        <f>IF(Table_03[[#This Row],[b/t]]&lt;Table_03[[#This Row],[λpf]],"Compact",IF(AND(Table_03[[#This Row],[b/t]]&gt;Table_03[[#This Row],[λpf]],Table_03[[#This Row],[λrf]]&gt;Table_03[[#This Row],[b/t]]),"Non-Compact","Slender"))</f>
        <v>Compact</v>
      </c>
      <c r="AS23" s="213">
        <f>IF(Table_03[[#This Row],[Controlling Lby]]="Compact",Table_03[[#This Row],[Mny (k-in)]],IF(Table_03[[#This Row],[Controlling Lby]]="Non-Compact",Table_03[[#This Row],[Mlby,Non-Compact (k-in)]],IF(Table_03[[#This Row],[Controlling Lby]]="Slender",Table_03[[#This Row],[Mlby,Slender (k-in)]],"ERROR")))</f>
        <v>583.10168057015278</v>
      </c>
      <c r="AT23" s="214">
        <f>MIN(Table_03[[#This Row],[LBx]],Table_03[[#This Row],[LTB]],Table_03[[#This Row],[Mp (k-in)]])</f>
        <v>1179.3788393606558</v>
      </c>
      <c r="AU23" s="206">
        <f>Table_03[[#This Row],[Mp (k-in)]]</f>
        <v>1195.6681567530889</v>
      </c>
      <c r="AV23" s="206">
        <f>MIN(Table_03[[#This Row],[LBy]],Table_03[[#This Row],[Mny (k-in)]])</f>
        <v>583.10168057015278</v>
      </c>
      <c r="AW23" s="215">
        <f>Table_03[[#This Row],[Mny (k-in)]]</f>
        <v>583.10168057015278</v>
      </c>
      <c r="AX23" s="169"/>
      <c r="AY23" s="165">
        <f>IF(4/SQRT((Table_03[[#This Row],[Depth h (in)]]-Table_03[[#This Row],[Flange Thickness tf (in)]]*2)/Table_03[[#This Row],[Web Thickness tw (in)]])&lt;0.35,0.35,IF(4/SQRT(Table_03[[#This Row],[Depth h (in)]]/Table_03[[#This Row],[Web Thickness tw (in)]])&gt;0.76,0.76,4/SQRT(Table_03[[#This Row],[Depth h (in)]]/Table_03[[#This Row],[Web Thickness tw (in)]])))</f>
        <v>0.76</v>
      </c>
      <c r="AZ23" s="169"/>
    </row>
    <row r="24" spans="1:52" x14ac:dyDescent="0.3">
      <c r="A24" s="179" t="s">
        <v>122</v>
      </c>
      <c r="B24" s="180">
        <v>7.48</v>
      </c>
      <c r="C24" s="180">
        <v>7.8739999999999997</v>
      </c>
      <c r="D24" s="180">
        <v>0.25600000000000001</v>
      </c>
      <c r="E24" s="180">
        <v>0.39400000000000002</v>
      </c>
      <c r="F24" s="181">
        <v>8.3000000000000007</v>
      </c>
      <c r="G24" s="180"/>
      <c r="H24" s="180">
        <v>88.703999999999994</v>
      </c>
      <c r="I24" s="180">
        <v>32.085999999999999</v>
      </c>
      <c r="J24" s="181">
        <f>Table_03[[#This Row],[Width w (in)]]*Table_03[[#This Row],[Flange Thickness tf (in)]]*(Table_03[[#This Row],[Depth h (in)]]-Table_03[[#This Row],[Flange Thickness tf (in)]])+0.25*Table_03[[#This Row],[Web Thickness tw (in)]]*(Table_03[[#This Row],[Depth h (in)]]-2*Table_03[[#This Row],[Flange Thickness tf (in)]])^2</f>
        <v>24.849397912000001</v>
      </c>
      <c r="K24" s="181">
        <f>(Table_03[[#This Row],[Width w (in)]]^2*Table_03[[#This Row],[Flange Thickness tf (in)]])/2+0.25*Table_03[[#This Row],[Web Thickness tw (in)]]^2*(Table_03[[#This Row],[Depth h (in)]]-2*Table_03[[#This Row],[Flange Thickness tf (in)]])</f>
        <v>12.323617299999999</v>
      </c>
      <c r="L24" s="181">
        <f>Table_03[[#This Row],[Static Parameters Moment of Inertia Ix (in4)]]/(Table_03[[#This Row],[Depth h (in)]]/2)</f>
        <v>23.717647058823527</v>
      </c>
      <c r="M24" s="181">
        <f>Table_03[[#This Row],[Static Parameters Moment of Inertia Iy (in4)]]/(Table_03[[#This Row],[Width w (in)]]/2)</f>
        <v>8.1498602997205989</v>
      </c>
      <c r="N24" s="182">
        <v>50</v>
      </c>
      <c r="O24" s="181">
        <f>SQRT(Table_03[[#This Row],[Static Parameters Moment of Inertia Ix (in4)]]/Table_03[[#This Row],[Sectional Area (in2)]])</f>
        <v>3.2691327467177973</v>
      </c>
      <c r="P24" s="181">
        <f>SQRT(Table_03[[#This Row],[Static Parameters Moment of Inertia Iy (in4)]]/Table_03[[#This Row],[Sectional Area (in2)]])</f>
        <v>1.9661594880706195</v>
      </c>
      <c r="Q24" s="181">
        <f>($B$6*$B$5*12)/Table_03[[#This Row],[ry (in)2]]</f>
        <v>91.320160490231316</v>
      </c>
      <c r="R24" s="181">
        <f>(PI()^2*$B$4)/(Table_03[[#This Row],[KL/ry]]^2)</f>
        <v>34.321353876222219</v>
      </c>
      <c r="S24" s="181">
        <f>IF(Table_03[[#This Row],[Strength (ksi)]]/Table_03[[#This Row],[Fe,y]]&lt;2.25,(0.658^(Table_03[[#This Row],[Strength (ksi)]]/Table_03[[#This Row],[Fe,y]])*Table_03[[#This Row],[Strength (ksi)]]),0.877*Table_03[[#This Row],[Fe,y]])</f>
        <v>27.174279295225219</v>
      </c>
      <c r="T24" s="181">
        <f>Table_03[[#This Row],[Fcr,y]]*Table_03[[#This Row],[Sectional Area (in2)]]</f>
        <v>225.54651815036934</v>
      </c>
      <c r="U24" s="181">
        <f>1.76*Table_03[[#This Row],[ry (in)2]]*SQRT($B$4/Table_03[[#This Row],[Strength (ksi)]])/12</f>
        <v>6.9448706602270471</v>
      </c>
      <c r="V24"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22.69451342269819</v>
      </c>
      <c r="W24" s="181">
        <f>Table_03[[#This Row],[Depth h (in)]]-Table_03[[#This Row],[Flange Thickness tf (in)]]</f>
        <v>7.0860000000000003</v>
      </c>
      <c r="X24" s="181">
        <f>(Table_03[[#This Row],[Static Parameters Moment of Inertia Iy (in4)]]*Table_03[[#This Row],[ho]]^2)/4</f>
        <v>402.77071301400002</v>
      </c>
      <c r="Y24" s="181">
        <f>SQRT((SQRT(Table_03[[#This Row],[Static Parameters Moment of Inertia Iy (in4)]]*Table_03[[#This Row],[Cw*]])/Table_03[[#This Row],[Static Parameters Elastic Section Modulus Sx (in3)2]]))</f>
        <v>2.1893115322217276</v>
      </c>
      <c r="Z24" s="181">
        <f>(2*Table_03[[#This Row],[Width w (in)]]*Table_03[[#This Row],[Flange Thickness tf (in)]]^3/3)+((Table_03[[#This Row],[Depth h (in)]]-Table_03[[#This Row],[Flange Thickness tf (in)]]*2)*Table_03[[#This Row],[Web Thickness tw (in)]]^3)/3</f>
        <v>0.35848926716800006</v>
      </c>
      <c r="AA24" s="181">
        <f>Table_03[[#This Row],[Width w (in)]]*0.5/Table_03[[#This Row],[Flange Thickness tf (in)]]</f>
        <v>9.9923857868020303</v>
      </c>
      <c r="AB24" s="181">
        <f>0.38*SQRT($B$4/Table_03[[#This Row],[Strength (ksi)]])</f>
        <v>9.1516118798821449</v>
      </c>
      <c r="AC24" s="181">
        <f>1*SQRT($B$4/Table_03[[#This Row],[Strength (ksi)]])</f>
        <v>24.083189157584592</v>
      </c>
      <c r="AD24" s="181">
        <f>(PI()^2*$B$4/(12*$B$5/Table_03[[#This Row],[rts]])^2)*SQRT(1+0.078*(Table_03[[#This Row],[J*]]/(Table_03[[#This Row],[Static Parameters Elastic Section Modulus Sx (in3)2]]*Table_03[[#This Row],[ho]])*$B$4/(12*$B$5/Table_03[[#This Row],[rts]])^2))</f>
        <v>187.96046974638512</v>
      </c>
      <c r="AE24" s="181">
        <f>0.69*$B$4/Table_03[[#This Row],[b/t]]^2</f>
        <v>200.40506919723518</v>
      </c>
      <c r="AF24" s="183">
        <f>Table_03[[#This Row],[Strength (ksi)]]*Table_03[[#This Row],[Static Parameters Plastic Section Modulus Zx (in3)]]</f>
        <v>1242.4698956</v>
      </c>
      <c r="AG24" s="181">
        <f>Table_03[[#This Row],[Mp (k-in)]]-(Table_03[[#This Row],[Mp (k-in)]]-0.7*Table_03[[#This Row],[Strength (ksi)]]*Table_03[[#This Row],[Static Parameters Elastic Section Modulus Sx (in3)2]])*((Table_03[[#This Row],[b/t]]-Table_03[[#This Row],[λpf]])/(Table_03[[#This Row],[λrf]]-Table_03[[#This Row],[λpf]]))</f>
        <v>1219.25098144343</v>
      </c>
      <c r="AH24" s="184">
        <f>0.9*$B$4*Table_03[[#This Row],[kc]]*Table_03[[#This Row],[Static Parameters Elastic Section Modulus Sx (in3)2]]/Table_03[[#This Row],[b/t]]^2</f>
        <v>4587.7833246412574</v>
      </c>
      <c r="AI24" s="185" t="str">
        <f>IF(Table_03[[#This Row],[b/t]]&lt;Table_03[[#This Row],[λpf]],"Compact",IF(AND(Table_03[[#This Row],[b/t]]&gt;Table_03[[#This Row],[λpf]],Table_03[[#This Row],[λrf]]&gt;Table_03[[#This Row],[b/t]]),"Non-Compact","Slender"))</f>
        <v>Non-Compact</v>
      </c>
      <c r="AJ24" s="186">
        <f>IF(Table_03[[#This Row],[Controlling LBx]]="Compact",Table_03[[#This Row],[Mp (k-in)]],IF(Table_03[[#This Row],[Controlling LBx]]="Non-Compact",Table_03[[#This Row],[Mnlb,Non-Compact (k-in)]],IF(Table_03[[#This Row],[Controlling LBx]]="Slender",Table_03[[#This Row],[Mnlb,slender (k-in)]],"ERROR")))</f>
        <v>1219.25098144343</v>
      </c>
      <c r="AK24" s="183">
        <f>Table_03[[#This Row],[Mp (k-in)]]-(Table_03[[#This Row],[Mp (k-in)]]-0.7*Table_03[[#This Row],[Strength (ksi)]]*Table_03[[#This Row],[Static Parameters Elastic Section Modulus Sx (in3)2]])*(($B$5-Table_03[[#This Row],[Lp (ft)]])/(Table_03[[#This Row],[Lr]]-Table_03[[#This Row],[Lp (ft)]]))</f>
        <v>1237.753805247741</v>
      </c>
      <c r="AL24" s="184">
        <f>Table_03[[#This Row],[Fcrx]]*Table_03[[#This Row],[Static Parameters Elastic Section Modulus Sx (in3)2]]</f>
        <v>4457.9800824554395</v>
      </c>
      <c r="AM24" s="185" t="str">
        <f>IF($B$5&lt;Table_03[[#This Row],[Lp (ft)]],"Yielding Controls",IF(AND($B$5&gt;Table_03[[#This Row],[Lp (ft)]],Table_03[[#This Row],[Lr]]&gt;$B$5),"Mltb,p Controls","Mltb,r Controls"))</f>
        <v>Mltb,p Controls</v>
      </c>
      <c r="AN24" s="186">
        <f>IF(Table_03[[#This Row],[Controlling LTB]]="Yielding Controls",Table_03[[#This Row],[Mp (k-in)]],IF(Table_03[[#This Row],[Controlling LTB]]="Mltb,p Controls",Table_03[[#This Row],[Mnltbp (k-in)]],IF(Table_03[[#This Row],[Controlling LTB]]="Mltb,r Controls",Table_03[[#This Row],[Mnltbr (k-in)]],"ERROR")))</f>
        <v>1237.753805247741</v>
      </c>
      <c r="AO24" s="183">
        <f>MIN(Table_03[[#This Row],[Strength (ksi)]]*Table_03[[#This Row],[Static Parameters Plastic Section Modulus Zy (in3)]],1.6*Table_03[[#This Row],[Strength (ksi)]]*Table_03[[#This Row],[Static Parameters Elastic Section Modulus Sy (in3)3]])</f>
        <v>616.18086499999993</v>
      </c>
      <c r="AP24" s="181">
        <f>MIN(Table_03[[#This Row],[Mny (k-in)]],Table_03[[#This Row],[Mny (k-in)]]-(Table_03[[#This Row],[Mny (k-in)]]-0.7*Table_03[[#This Row],[Static Parameters Elastic Section Modulus Sy (in3)3]]*Table_03[[#This Row],[Strength (ksi)]])*((Table_03[[#This Row],[b/t]]-Table_03[[#This Row],[λpf]])/(Table_03[[#This Row],[λrf]]-Table_03[[#This Row],[λpf]])))</f>
        <v>597.54638706884589</v>
      </c>
      <c r="AQ24" s="184">
        <f>MIN(Table_03[[#This Row],[Mny (k-in)]],Table_03[[#This Row],[Fcry]]*Table_03[[#This Row],[Static Parameters Elastic Section Modulus Sy (in3)3]])</f>
        <v>616.18086499999993</v>
      </c>
      <c r="AR24" s="185" t="str">
        <f>IF(Table_03[[#This Row],[b/t]]&lt;Table_03[[#This Row],[λpf]],"Compact",IF(AND(Table_03[[#This Row],[b/t]]&gt;Table_03[[#This Row],[λpf]],Table_03[[#This Row],[λrf]]&gt;Table_03[[#This Row],[b/t]]),"Non-Compact","Slender"))</f>
        <v>Non-Compact</v>
      </c>
      <c r="AS24" s="186">
        <f>IF(Table_03[[#This Row],[Controlling Lby]]="Compact",Table_03[[#This Row],[Mny (k-in)]],IF(Table_03[[#This Row],[Controlling Lby]]="Non-Compact",Table_03[[#This Row],[Mlby,Non-Compact (k-in)]],IF(Table_03[[#This Row],[Controlling Lby]]="Slender",Table_03[[#This Row],[Mlby,Slender (k-in)]],"ERROR")))</f>
        <v>597.54638706884589</v>
      </c>
      <c r="AT24" s="183">
        <f>MIN(Table_03[[#This Row],[LBx]],Table_03[[#This Row],[LTB]],Table_03[[#This Row],[Mp (k-in)]])</f>
        <v>1219.25098144343</v>
      </c>
      <c r="AU24" s="181">
        <f>Table_03[[#This Row],[Mp (k-in)]]</f>
        <v>1242.4698956</v>
      </c>
      <c r="AV24" s="181">
        <f>MIN(Table_03[[#This Row],[LBy]],Table_03[[#This Row],[Mny (k-in)]])</f>
        <v>597.54638706884589</v>
      </c>
      <c r="AW24" s="187">
        <f>Table_03[[#This Row],[Mny (k-in)]]</f>
        <v>616.18086499999993</v>
      </c>
      <c r="AX24" s="169"/>
      <c r="AY24" s="165">
        <f>IF(4/SQRT((Table_03[[#This Row],[Depth h (in)]]-Table_03[[#This Row],[Flange Thickness tf (in)]]*2)/Table_03[[#This Row],[Web Thickness tw (in)]])&lt;0.35,0.35,IF(4/SQRT(Table_03[[#This Row],[Depth h (in)]]/Table_03[[#This Row],[Web Thickness tw (in)]])&gt;0.76,0.76,4/SQRT(Table_03[[#This Row],[Depth h (in)]]/Table_03[[#This Row],[Web Thickness tw (in)]])))</f>
        <v>0.73999566410060846</v>
      </c>
      <c r="AZ24" s="169"/>
    </row>
    <row r="25" spans="1:52" x14ac:dyDescent="0.3">
      <c r="A25" s="188" t="s">
        <v>123</v>
      </c>
      <c r="B25" s="189">
        <f>B24-$B$1*2</f>
        <v>7.48</v>
      </c>
      <c r="C25" s="189">
        <f>C24-$B$1*2</f>
        <v>7.8739999999999997</v>
      </c>
      <c r="D25" s="189">
        <f>D24-$B$1*2</f>
        <v>0.25600000000000001</v>
      </c>
      <c r="E25" s="189">
        <f>E24-$B$1*2</f>
        <v>0.39400000000000002</v>
      </c>
      <c r="F25" s="190">
        <f>2*Table_03[[#This Row],[Width w (in)]]*Table_03[[#This Row],[Flange Thickness tf (in)]]+Table_03[[#This Row],[Web Thickness tw (in)]]*(Table_03[[#This Row],[Depth h (in)]]-2*Table_03[[#This Row],[Flange Thickness tf (in)]])</f>
        <v>7.9178639999999998</v>
      </c>
      <c r="G25" s="189"/>
      <c r="H25"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84.360400132768007</v>
      </c>
      <c r="I25" s="190">
        <f>((Table_03[[#This Row],[Depth h (in)]]-2*Table_03[[#This Row],[Flange Thickness tf (in)]])*Table_03[[#This Row],[Web Thickness tw (in)]]^3/12+2*(Table_03[[#This Row],[Flange Thickness tf (in)]]*Table_03[[#This Row],[Width w (in)]]^3/12))</f>
        <v>32.066970645432001</v>
      </c>
      <c r="J25" s="190">
        <f>Table_03[[#This Row],[Width w (in)]]*Table_03[[#This Row],[Flange Thickness tf (in)]]*(Table_03[[#This Row],[Depth h (in)]]-Table_03[[#This Row],[Flange Thickness tf (in)]])+0.25*Table_03[[#This Row],[Web Thickness tw (in)]]*(Table_03[[#This Row],[Depth h (in)]]-2*Table_03[[#This Row],[Flange Thickness tf (in)]])^2</f>
        <v>24.849397912000001</v>
      </c>
      <c r="K25" s="190">
        <f>(Table_03[[#This Row],[Width w (in)]]^2*Table_03[[#This Row],[Flange Thickness tf (in)]])/2+0.25*Table_03[[#This Row],[Web Thickness tw (in)]]^2*(Table_03[[#This Row],[Depth h (in)]]-2*Table_03[[#This Row],[Flange Thickness tf (in)]])</f>
        <v>12.323617299999999</v>
      </c>
      <c r="L25" s="190">
        <f>Table_03[[#This Row],[Static Parameters Moment of Inertia Ix (in4)]]/(Table_03[[#This Row],[Depth h (in)]]/2)</f>
        <v>22.556256719991445</v>
      </c>
      <c r="M25" s="190">
        <f>Table_03[[#This Row],[Static Parameters Moment of Inertia Iy (in4)]]/(Table_03[[#This Row],[Width w (in)]]/2)</f>
        <v>8.1450268339933967</v>
      </c>
      <c r="N25" s="191">
        <v>50</v>
      </c>
      <c r="O25" s="169">
        <f>SQRT(Table_03[[#This Row],[Static Parameters Moment of Inertia Ix (in4)]]/Table_03[[#This Row],[Sectional Area (in2)]])</f>
        <v>3.2641138373653664</v>
      </c>
      <c r="P25" s="190">
        <f>SQRT(Table_03[[#This Row],[Static Parameters Moment of Inertia Iy (in4)]]/Table_03[[#This Row],[Sectional Area (in2)]])</f>
        <v>2.0124493011779943</v>
      </c>
      <c r="Q25" s="190">
        <f>($B$6*$B$5*12)/Table_03[[#This Row],[ry (in)2]]</f>
        <v>89.219638922033852</v>
      </c>
      <c r="R25" s="190">
        <f>(PI()^2*$B$4)/(Table_03[[#This Row],[KL/ry]]^2)</f>
        <v>35.956451131116005</v>
      </c>
      <c r="S25" s="190">
        <f>IF(Table_03[[#This Row],[Strength (ksi)]]/Table_03[[#This Row],[Fe,y]]&lt;2.25,(0.658^(Table_03[[#This Row],[Strength (ksi)]]/Table_03[[#This Row],[Fe,y]])*Table_03[[#This Row],[Strength (ksi)]]),0.877*Table_03[[#This Row],[Fe,y]])</f>
        <v>27.938314017802302</v>
      </c>
      <c r="T25" s="190">
        <f>Table_03[[#This Row],[Fcr,y]]*Table_03[[#This Row],[Sectional Area (in2)]]</f>
        <v>221.21177078225219</v>
      </c>
      <c r="U25" s="190">
        <f>1.76*Table_03[[#This Row],[ry (in)2]]*SQRT($B$4/Table_03[[#This Row],[Strength (ksi)]])/12</f>
        <v>7.1083755879133887</v>
      </c>
      <c r="V2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23.600905363433583</v>
      </c>
      <c r="W25" s="190">
        <f>Table_03[[#This Row],[Depth h (in)]]-Table_03[[#This Row],[Flange Thickness tf (in)]]</f>
        <v>7.0860000000000003</v>
      </c>
      <c r="X25" s="190">
        <f>(Table_03[[#This Row],[Static Parameters Moment of Inertia Iy (in4)]]*Table_03[[#This Row],[ho]]^2)/4</f>
        <v>402.5318403995405</v>
      </c>
      <c r="Y25" s="190">
        <f>SQRT((SQRT(Table_03[[#This Row],[Static Parameters Moment of Inertia Iy (in4)]]*Table_03[[#This Row],[Cw*]])/Table_03[[#This Row],[Static Parameters Elastic Section Modulus Sx (in3)2]]))</f>
        <v>2.2443006171491087</v>
      </c>
      <c r="Z25" s="190">
        <f>(2*Table_03[[#This Row],[Width w (in)]]*Table_03[[#This Row],[Flange Thickness tf (in)]]^3/3)+((Table_03[[#This Row],[Depth h (in)]]-Table_03[[#This Row],[Flange Thickness tf (in)]]*2)*Table_03[[#This Row],[Web Thickness tw (in)]]^3)/3</f>
        <v>0.35848926716800006</v>
      </c>
      <c r="AA25" s="190">
        <f>Table_03[[#This Row],[Width w (in)]]*0.5/Table_03[[#This Row],[Flange Thickness tf (in)]]</f>
        <v>9.9923857868020303</v>
      </c>
      <c r="AB25" s="190">
        <f>0.38*SQRT($B$4/Table_03[[#This Row],[Strength (ksi)]])</f>
        <v>9.1516118798821449</v>
      </c>
      <c r="AC25" s="190">
        <f>1*SQRT($B$4/Table_03[[#This Row],[Strength (ksi)]])</f>
        <v>24.083189157584592</v>
      </c>
      <c r="AD25" s="190">
        <f>(PI()^2*$B$4/(12*$B$5/Table_03[[#This Row],[rts]])^2)*SQRT(1+0.078*(Table_03[[#This Row],[J*]]/(Table_03[[#This Row],[Static Parameters Elastic Section Modulus Sx (in3)2]]*Table_03[[#This Row],[ho]])*$B$4/(12*$B$5/Table_03[[#This Row],[rts]])^2))</f>
        <v>197.55377050035821</v>
      </c>
      <c r="AE25" s="190">
        <f>0.69*$B$4/Table_03[[#This Row],[b/t]]^2</f>
        <v>200.40506919723518</v>
      </c>
      <c r="AF25" s="192">
        <f>Table_03[[#This Row],[Strength (ksi)]]*Table_03[[#This Row],[Static Parameters Plastic Section Modulus Zx (in3)]]</f>
        <v>1242.4698956</v>
      </c>
      <c r="AG25" s="190">
        <f>Table_03[[#This Row],[Mp (k-in)]]-(Table_03[[#This Row],[Mp (k-in)]]-0.7*Table_03[[#This Row],[Strength (ksi)]]*Table_03[[#This Row],[Static Parameters Elastic Section Modulus Sx (in3)2]])*((Table_03[[#This Row],[b/t]]-Table_03[[#This Row],[λpf]])/(Table_03[[#This Row],[λrf]]-Table_03[[#This Row],[λpf]]))</f>
        <v>1216.9621184782698</v>
      </c>
      <c r="AH25" s="193">
        <f>0.9*$B$4*Table_03[[#This Row],[kc]]*Table_03[[#This Row],[Static Parameters Elastic Section Modulus Sx (in3)2]]/Table_03[[#This Row],[b/t]]^2</f>
        <v>4363.1317301269082</v>
      </c>
      <c r="AI25" s="194" t="str">
        <f>IF(Table_03[[#This Row],[b/t]]&lt;Table_03[[#This Row],[λpf]],"Compact",IF(AND(Table_03[[#This Row],[b/t]]&gt;Table_03[[#This Row],[λpf]],Table_03[[#This Row],[λrf]]&gt;Table_03[[#This Row],[b/t]]),"Non-Compact","Slender"))</f>
        <v>Non-Compact</v>
      </c>
      <c r="AJ25" s="195">
        <f>IF(Table_03[[#This Row],[Controlling LBx]]="Compact",Table_03[[#This Row],[Mp (k-in)]],IF(Table_03[[#This Row],[Controlling LBx]]="Non-Compact",Table_03[[#This Row],[Mnlb,Non-Compact (k-in)]],IF(Table_03[[#This Row],[Controlling LBx]]="Slender",Table_03[[#This Row],[Mnlb,slender (k-in)]],"ERROR")))</f>
        <v>1216.9621184782698</v>
      </c>
      <c r="AK25" s="192">
        <f>Table_03[[#This Row],[Mp (k-in)]]-(Table_03[[#This Row],[Mp (k-in)]]-0.7*Table_03[[#This Row],[Strength (ksi)]]*Table_03[[#This Row],[Static Parameters Elastic Section Modulus Sx (in3)2]])*(($B$5-Table_03[[#This Row],[Lp (ft)]])/(Table_03[[#This Row],[Lr]]-Table_03[[#This Row],[Lp (ft)]]))</f>
        <v>1242.0132722734027</v>
      </c>
      <c r="AL25" s="196">
        <f>Table_03[[#This Row],[Fcrx]]*Table_03[[#This Row],[Static Parameters Elastic Section Modulus Sx (in3)2]]</f>
        <v>4456.073563408353</v>
      </c>
      <c r="AM25" s="197" t="str">
        <f>IF($B$5&lt;Table_03[[#This Row],[Lp (ft)]],"Yielding Controls",IF(AND($B$5&gt;Table_03[[#This Row],[Lp (ft)]],Table_03[[#This Row],[Lr]]&gt;$B$5),"Mltb,p Controls","Mltb,r Controls"))</f>
        <v>Mltb,p Controls</v>
      </c>
      <c r="AN25" s="198">
        <f>IF(Table_03[[#This Row],[Controlling LTB]]="Yielding Controls",Table_03[[#This Row],[Mp (k-in)]],IF(Table_03[[#This Row],[Controlling LTB]]="Mltb,p Controls",Table_03[[#This Row],[Mnltbp (k-in)]],IF(Table_03[[#This Row],[Controlling LTB]]="Mltb,r Controls",Table_03[[#This Row],[Mnltbr (k-in)]],"ERROR")))</f>
        <v>1242.0132722734027</v>
      </c>
      <c r="AO25" s="199">
        <f>MIN(Table_03[[#This Row],[Strength (ksi)]]*Table_03[[#This Row],[Static Parameters Plastic Section Modulus Zy (in3)]],1.6*Table_03[[#This Row],[Strength (ksi)]]*Table_03[[#This Row],[Static Parameters Elastic Section Modulus Sy (in3)3]])</f>
        <v>616.18086499999993</v>
      </c>
      <c r="AP25" s="169">
        <f>MIN(Table_03[[#This Row],[Mny (k-in)]],Table_03[[#This Row],[Mny (k-in)]]-(Table_03[[#This Row],[Mny (k-in)]]-0.7*Table_03[[#This Row],[Static Parameters Elastic Section Modulus Sy (in3)3]]*Table_03[[#This Row],[Strength (ksi)]])*((Table_03[[#This Row],[b/t]]-Table_03[[#This Row],[λpf]])/(Table_03[[#This Row],[λrf]]-Table_03[[#This Row],[λpf]])))</f>
        <v>597.53686129587663</v>
      </c>
      <c r="AQ25" s="196">
        <f>MIN(Table_03[[#This Row],[Mny (k-in)]],Table_03[[#This Row],[Fcry]]*Table_03[[#This Row],[Static Parameters Elastic Section Modulus Sy (in3)3]])</f>
        <v>616.18086499999993</v>
      </c>
      <c r="AR25" s="197" t="str">
        <f>IF(Table_03[[#This Row],[b/t]]&lt;Table_03[[#This Row],[λpf]],"Compact",IF(AND(Table_03[[#This Row],[b/t]]&gt;Table_03[[#This Row],[λpf]],Table_03[[#This Row],[λrf]]&gt;Table_03[[#This Row],[b/t]]),"Non-Compact","Slender"))</f>
        <v>Non-Compact</v>
      </c>
      <c r="AS25" s="198">
        <f>IF(Table_03[[#This Row],[Controlling Lby]]="Compact",Table_03[[#This Row],[Mny (k-in)]],IF(Table_03[[#This Row],[Controlling Lby]]="Non-Compact",Table_03[[#This Row],[Mlby,Non-Compact (k-in)]],IF(Table_03[[#This Row],[Controlling Lby]]="Slender",Table_03[[#This Row],[Mlby,Slender (k-in)]],"ERROR")))</f>
        <v>597.53686129587663</v>
      </c>
      <c r="AT25" s="199">
        <f>MIN(Table_03[[#This Row],[LBx]],Table_03[[#This Row],[LTB]],Table_03[[#This Row],[Mp (k-in)]])</f>
        <v>1216.9621184782698</v>
      </c>
      <c r="AU25" s="169">
        <f>Table_03[[#This Row],[Mp (k-in)]]</f>
        <v>1242.4698956</v>
      </c>
      <c r="AV25" s="169">
        <f>MIN(Table_03[[#This Row],[LBy]],Table_03[[#This Row],[Mny (k-in)]])</f>
        <v>597.53686129587663</v>
      </c>
      <c r="AW25" s="200">
        <f>Table_03[[#This Row],[Mny (k-in)]]</f>
        <v>616.18086499999993</v>
      </c>
      <c r="AX25" s="169"/>
      <c r="AY25" s="165">
        <f>IF(4/SQRT((Table_03[[#This Row],[Depth h (in)]]-Table_03[[#This Row],[Flange Thickness tf (in)]]*2)/Table_03[[#This Row],[Web Thickness tw (in)]])&lt;0.35,0.35,IF(4/SQRT(Table_03[[#This Row],[Depth h (in)]]/Table_03[[#This Row],[Web Thickness tw (in)]])&gt;0.76,0.76,4/SQRT(Table_03[[#This Row],[Depth h (in)]]/Table_03[[#This Row],[Web Thickness tw (in)]])))</f>
        <v>0.73999566410060846</v>
      </c>
      <c r="AZ25" s="169"/>
    </row>
    <row r="26" spans="1:52" ht="14.4" thickBot="1" x14ac:dyDescent="0.35">
      <c r="A26" s="201" t="s">
        <v>124</v>
      </c>
      <c r="B26" s="202">
        <f>B24-$B$3*2</f>
        <v>7.4</v>
      </c>
      <c r="C26" s="202">
        <f>C24-$B$3*2</f>
        <v>7.7939999999999996</v>
      </c>
      <c r="D26" s="202">
        <f>D24-$B$3*2</f>
        <v>0.17599999999999999</v>
      </c>
      <c r="E26" s="202">
        <f>E24-$B$3*2</f>
        <v>0.314</v>
      </c>
      <c r="F26" s="203">
        <f>2*Table_03[[#This Row],[Width w (in)]]*Table_03[[#This Row],[Flange Thickness tf (in)]]+Table_03[[#This Row],[Web Thickness tw (in)]]*(Table_03[[#This Row],[Depth h (in)]]-2*Table_03[[#This Row],[Flange Thickness tf (in)]])</f>
        <v>6.0865039999999997</v>
      </c>
      <c r="G26" s="204"/>
      <c r="H26"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66.036728238794666</v>
      </c>
      <c r="I26" s="203">
        <f>((Table_03[[#This Row],[Depth h (in)]]-2*Table_03[[#This Row],[Flange Thickness tf (in)]])*Table_03[[#This Row],[Web Thickness tw (in)]]^3/12+2*(Table_03[[#This Row],[Flange Thickness tf (in)]]*Table_03[[#This Row],[Width w (in)]]^3/12))</f>
        <v>24.780697413218661</v>
      </c>
      <c r="J26" s="203">
        <f>Table_03[[#This Row],[Width w (in)]]*Table_03[[#This Row],[Flange Thickness tf (in)]]*(Table_03[[#This Row],[Depth h (in)]]-Table_03[[#This Row],[Flange Thickness tf (in)]])+0.25*Table_03[[#This Row],[Web Thickness tw (in)]]*(Table_03[[#This Row],[Depth h (in)]]-2*Table_03[[#This Row],[Flange Thickness tf (in)]])^2</f>
        <v>19.359520472</v>
      </c>
      <c r="K26" s="203">
        <f>(Table_03[[#This Row],[Width w (in)]]^2*Table_03[[#This Row],[Flange Thickness tf (in)]])/2+0.25*Table_03[[#This Row],[Web Thickness tw (in)]]^2*(Table_03[[#This Row],[Depth h (in)]]-2*Table_03[[#This Row],[Flange Thickness tf (in)]])</f>
        <v>9.5896328199999985</v>
      </c>
      <c r="L26" s="203">
        <f>Table_03[[#This Row],[Static Parameters Moment of Inertia Ix (in4)]]/(Table_03[[#This Row],[Depth h (in)]]/2)</f>
        <v>17.847764388863421</v>
      </c>
      <c r="M26" s="203">
        <f>Table_03[[#This Row],[Static Parameters Moment of Inertia Iy (in4)]]/(Table_03[[#This Row],[Width w (in)]]/2)</f>
        <v>6.3589164519421768</v>
      </c>
      <c r="N26" s="205">
        <v>50</v>
      </c>
      <c r="O26" s="206">
        <f>SQRT(Table_03[[#This Row],[Static Parameters Moment of Inertia Ix (in4)]]/Table_03[[#This Row],[Sectional Area (in2)]])</f>
        <v>3.2938879254348588</v>
      </c>
      <c r="P26" s="203">
        <f>SQRT(Table_03[[#This Row],[Static Parameters Moment of Inertia Iy (in4)]]/Table_03[[#This Row],[Sectional Area (in2)]])</f>
        <v>2.0177753234243396</v>
      </c>
      <c r="Q26" s="203">
        <f>($B$6*$B$5*12)/Table_03[[#This Row],[ry (in)2]]</f>
        <v>88.984139074160197</v>
      </c>
      <c r="R26" s="203">
        <f>(PI()^2*$B$4)/(Table_03[[#This Row],[KL/ry]]^2)</f>
        <v>36.147023157842355</v>
      </c>
      <c r="S26" s="203">
        <f>IF(Table_03[[#This Row],[Strength (ksi)]]/Table_03[[#This Row],[Fe,y]]&lt;2.25,(0.658^(Table_03[[#This Row],[Strength (ksi)]]/Table_03[[#This Row],[Fe,y]])*Table_03[[#This Row],[Strength (ksi)]]),0.877*Table_03[[#This Row],[Fe,y]])</f>
        <v>28.024174671210311</v>
      </c>
      <c r="T26" s="203">
        <f>Table_03[[#This Row],[Fcr,y]]*Table_03[[#This Row],[Sectional Area (in2)]]</f>
        <v>170.56925123302022</v>
      </c>
      <c r="U26" s="203">
        <f>1.76*Table_03[[#This Row],[ry (in)2]]*SQRT($B$4/Table_03[[#This Row],[Strength (ksi)]])/12</f>
        <v>7.1271881694251036</v>
      </c>
      <c r="V2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20.674476552024256</v>
      </c>
      <c r="W26" s="203">
        <f>Table_03[[#This Row],[Depth h (in)]]-Table_03[[#This Row],[Flange Thickness tf (in)]]</f>
        <v>7.0860000000000003</v>
      </c>
      <c r="X26" s="203">
        <f>(Table_03[[#This Row],[Static Parameters Moment of Inertia Iy (in4)]]*Table_03[[#This Row],[ho]]^2)/4</f>
        <v>311.06835274282452</v>
      </c>
      <c r="Y26" s="203">
        <f>SQRT((SQRT(Table_03[[#This Row],[Static Parameters Moment of Inertia Iy (in4)]]*Table_03[[#This Row],[Cw*]])/Table_03[[#This Row],[Static Parameters Elastic Section Modulus Sx (in3)2]]))</f>
        <v>2.2179432332001583</v>
      </c>
      <c r="Z26" s="203">
        <f>(2*Table_03[[#This Row],[Width w (in)]]*Table_03[[#This Row],[Flange Thickness tf (in)]]^3/3)+((Table_03[[#This Row],[Depth h (in)]]-Table_03[[#This Row],[Flange Thickness tf (in)]]*2)*Table_03[[#This Row],[Web Thickness tw (in)]]^3)/3</f>
        <v>0.17317018791466668</v>
      </c>
      <c r="AA26" s="203">
        <f>Table_03[[#This Row],[Width w (in)]]*0.5/Table_03[[#This Row],[Flange Thickness tf (in)]]</f>
        <v>12.410828025477706</v>
      </c>
      <c r="AB26" s="203">
        <f>0.38*SQRT($B$4/Table_03[[#This Row],[Strength (ksi)]])</f>
        <v>9.1516118798821449</v>
      </c>
      <c r="AC26" s="203">
        <f>1*SQRT($B$4/Table_03[[#This Row],[Strength (ksi)]])</f>
        <v>24.083189157584592</v>
      </c>
      <c r="AD26" s="203">
        <f>(PI()^2*$B$4/(12*$B$5/Table_03[[#This Row],[rts]])^2)*SQRT(1+0.078*(Table_03[[#This Row],[J*]]/(Table_03[[#This Row],[Static Parameters Elastic Section Modulus Sx (in3)2]]*Table_03[[#This Row],[ho]])*$B$4/(12*$B$5/Table_03[[#This Row],[rts]])^2))</f>
        <v>192.80508533739979</v>
      </c>
      <c r="AE26" s="203">
        <f>0.69*$B$4/Table_03[[#This Row],[b/t]]^2</f>
        <v>129.91089452556528</v>
      </c>
      <c r="AF26" s="207">
        <f>Table_03[[#This Row],[Strength (ksi)]]*Table_03[[#This Row],[Static Parameters Plastic Section Modulus Zx (in3)]]</f>
        <v>967.97602359999996</v>
      </c>
      <c r="AG26" s="203">
        <f>Table_03[[#This Row],[Mp (k-in)]]-(Table_03[[#This Row],[Mp (k-in)]]-0.7*Table_03[[#This Row],[Strength (ksi)]]*Table_03[[#This Row],[Static Parameters Elastic Section Modulus Sx (in3)2]])*((Table_03[[#This Row],[b/t]]-Table_03[[#This Row],[λpf]])/(Table_03[[#This Row],[λrf]]-Table_03[[#This Row],[λpf]]))</f>
        <v>893.04068362935504</v>
      </c>
      <c r="AH26" s="208">
        <f>0.9*$B$4*Table_03[[#This Row],[kc]]*Table_03[[#This Row],[Static Parameters Elastic Section Modulus Sx (in3)2]]/Table_03[[#This Row],[b/t]]^2</f>
        <v>1865.6203974571029</v>
      </c>
      <c r="AI26" s="209" t="str">
        <f>IF(Table_03[[#This Row],[b/t]]&lt;Table_03[[#This Row],[λpf]],"Compact",IF(AND(Table_03[[#This Row],[b/t]]&gt;Table_03[[#This Row],[λpf]],Table_03[[#This Row],[λrf]]&gt;Table_03[[#This Row],[b/t]]),"Non-Compact","Slender"))</f>
        <v>Non-Compact</v>
      </c>
      <c r="AJ26" s="210">
        <f>IF(Table_03[[#This Row],[Controlling LBx]]="Compact",Table_03[[#This Row],[Mp (k-in)]],IF(Table_03[[#This Row],[Controlling LBx]]="Non-Compact",Table_03[[#This Row],[Mnlb,Non-Compact (k-in)]],IF(Table_03[[#This Row],[Controlling LBx]]="Slender",Table_03[[#This Row],[Mnlb,slender (k-in)]],"ERROR")))</f>
        <v>893.04068362935504</v>
      </c>
      <c r="AK26" s="207">
        <f>Table_03[[#This Row],[Mp (k-in)]]-(Table_03[[#This Row],[Mp (k-in)]]-0.7*Table_03[[#This Row],[Strength (ksi)]]*Table_03[[#This Row],[Static Parameters Elastic Section Modulus Sx (in3)2]])*(($B$5-Table_03[[#This Row],[Lp (ft)]])/(Table_03[[#This Row],[Lr]]-Table_03[[#This Row],[Lp (ft)]]))</f>
        <v>968.03147439471866</v>
      </c>
      <c r="AL26" s="211">
        <f>Table_03[[#This Row],[Fcrx]]*Table_03[[#This Row],[Static Parameters Elastic Section Modulus Sx (in3)2]]</f>
        <v>3441.1397360766168</v>
      </c>
      <c r="AM26" s="212" t="str">
        <f>IF($B$5&lt;Table_03[[#This Row],[Lp (ft)]],"Yielding Controls",IF(AND($B$5&gt;Table_03[[#This Row],[Lp (ft)]],Table_03[[#This Row],[Lr]]&gt;$B$5),"Mltb,p Controls","Mltb,r Controls"))</f>
        <v>Yielding Controls</v>
      </c>
      <c r="AN26" s="213">
        <f>IF(Table_03[[#This Row],[Controlling LTB]]="Yielding Controls",Table_03[[#This Row],[Mp (k-in)]],IF(Table_03[[#This Row],[Controlling LTB]]="Mltb,p Controls",Table_03[[#This Row],[Mnltbp (k-in)]],IF(Table_03[[#This Row],[Controlling LTB]]="Mltb,r Controls",Table_03[[#This Row],[Mnltbr (k-in)]],"ERROR")))</f>
        <v>967.97602359999996</v>
      </c>
      <c r="AO26" s="214">
        <f>MIN(Table_03[[#This Row],[Strength (ksi)]]*Table_03[[#This Row],[Static Parameters Plastic Section Modulus Zy (in3)]],1.6*Table_03[[#This Row],[Strength (ksi)]]*Table_03[[#This Row],[Static Parameters Elastic Section Modulus Sy (in3)3]])</f>
        <v>479.48164099999991</v>
      </c>
      <c r="AP26" s="206">
        <f>MIN(Table_03[[#This Row],[Mny (k-in)]],Table_03[[#This Row],[Mny (k-in)]]-(Table_03[[#This Row],[Mny (k-in)]]-0.7*Table_03[[#This Row],[Static Parameters Elastic Section Modulus Sy (in3)3]]*Table_03[[#This Row],[Strength (ksi)]])*((Table_03[[#This Row],[b/t]]-Table_03[[#This Row],[λpf]])/(Table_03[[#This Row],[λrf]]-Table_03[[#This Row],[λpf]])))</f>
        <v>423.40207355798026</v>
      </c>
      <c r="AQ26" s="211">
        <f>MIN(Table_03[[#This Row],[Mny (k-in)]],Table_03[[#This Row],[Fcry]]*Table_03[[#This Row],[Static Parameters Elastic Section Modulus Sy (in3)3]])</f>
        <v>479.48164099999991</v>
      </c>
      <c r="AR26" s="212" t="str">
        <f>IF(Table_03[[#This Row],[b/t]]&lt;Table_03[[#This Row],[λpf]],"Compact",IF(AND(Table_03[[#This Row],[b/t]]&gt;Table_03[[#This Row],[λpf]],Table_03[[#This Row],[λrf]]&gt;Table_03[[#This Row],[b/t]]),"Non-Compact","Slender"))</f>
        <v>Non-Compact</v>
      </c>
      <c r="AS26" s="213">
        <f>IF(Table_03[[#This Row],[Controlling Lby]]="Compact",Table_03[[#This Row],[Mny (k-in)]],IF(Table_03[[#This Row],[Controlling Lby]]="Non-Compact",Table_03[[#This Row],[Mlby,Non-Compact (k-in)]],IF(Table_03[[#This Row],[Controlling Lby]]="Slender",Table_03[[#This Row],[Mlby,Slender (k-in)]],"ERROR")))</f>
        <v>423.40207355798026</v>
      </c>
      <c r="AT26" s="214">
        <f>MIN(Table_03[[#This Row],[LBx]],Table_03[[#This Row],[LTB]],Table_03[[#This Row],[Mp (k-in)]])</f>
        <v>893.04068362935504</v>
      </c>
      <c r="AU26" s="206">
        <f>Table_03[[#This Row],[Mp (k-in)]]</f>
        <v>967.97602359999996</v>
      </c>
      <c r="AV26" s="206">
        <f>MIN(Table_03[[#This Row],[LBy]],Table_03[[#This Row],[Mny (k-in)]])</f>
        <v>423.40207355798026</v>
      </c>
      <c r="AW26" s="215">
        <f>Table_03[[#This Row],[Mny (k-in)]]</f>
        <v>479.48164099999991</v>
      </c>
      <c r="AX26" s="169"/>
      <c r="AY26" s="165">
        <f>IF(4/SQRT((Table_03[[#This Row],[Depth h (in)]]-Table_03[[#This Row],[Flange Thickness tf (in)]]*2)/Table_03[[#This Row],[Web Thickness tw (in)]])&lt;0.35,0.35,IF(4/SQRT(Table_03[[#This Row],[Depth h (in)]]/Table_03[[#This Row],[Web Thickness tw (in)]])&gt;0.76,0.76,4/SQRT(Table_03[[#This Row],[Depth h (in)]]/Table_03[[#This Row],[Web Thickness tw (in)]])))</f>
        <v>0.61687968076484778</v>
      </c>
      <c r="AZ26" s="169"/>
    </row>
    <row r="27" spans="1:52" x14ac:dyDescent="0.3">
      <c r="A27" s="179" t="s">
        <v>125</v>
      </c>
      <c r="B27" s="180">
        <v>8.2680000000000007</v>
      </c>
      <c r="C27" s="180">
        <v>8.6609999999999996</v>
      </c>
      <c r="D27" s="180">
        <v>0.27600000000000002</v>
      </c>
      <c r="E27" s="180">
        <v>0.433</v>
      </c>
      <c r="F27" s="181">
        <v>10</v>
      </c>
      <c r="G27" s="180"/>
      <c r="H27" s="180">
        <v>129.96899999999999</v>
      </c>
      <c r="I27" s="180">
        <v>46.957999999999998</v>
      </c>
      <c r="J27" s="181">
        <f>Table_03[[#This Row],[Width w (in)]]*Table_03[[#This Row],[Flange Thickness tf (in)]]*(Table_03[[#This Row],[Depth h (in)]]-Table_03[[#This Row],[Flange Thickness tf (in)]])+0.25*Table_03[[#This Row],[Web Thickness tw (in)]]*(Table_03[[#This Row],[Depth h (in)]]-2*Table_03[[#This Row],[Flange Thickness tf (in)]])^2</f>
        <v>33.163401530999998</v>
      </c>
      <c r="K27" s="181">
        <f>(Table_03[[#This Row],[Width w (in)]]^2*Table_03[[#This Row],[Flange Thickness tf (in)]])/2+0.25*Table_03[[#This Row],[Web Thickness tw (in)]]^2*(Table_03[[#This Row],[Depth h (in)]]-2*Table_03[[#This Row],[Flange Thickness tf (in)]])</f>
        <v>16.381261084499997</v>
      </c>
      <c r="L27" s="181">
        <f>Table_03[[#This Row],[Static Parameters Moment of Inertia Ix (in4)]]/(Table_03[[#This Row],[Depth h (in)]]/2)</f>
        <v>31.439042089985481</v>
      </c>
      <c r="M27" s="181">
        <f>Table_03[[#This Row],[Static Parameters Moment of Inertia Iy (in4)]]/(Table_03[[#This Row],[Width w (in)]]/2)</f>
        <v>10.843551552938459</v>
      </c>
      <c r="N27" s="182">
        <v>50</v>
      </c>
      <c r="O27" s="181">
        <f>SQRT(Table_03[[#This Row],[Static Parameters Moment of Inertia Ix (in4)]]/Table_03[[#This Row],[Sectional Area (in2)]])</f>
        <v>3.6051213571806429</v>
      </c>
      <c r="P27" s="181">
        <f>SQRT(Table_03[[#This Row],[Static Parameters Moment of Inertia Iy (in4)]]/Table_03[[#This Row],[Sectional Area (in2)]])</f>
        <v>2.1669794646004377</v>
      </c>
      <c r="Q27" s="181">
        <f>($B$6*$B$5*12)/Table_03[[#This Row],[ry (in)2]]</f>
        <v>82.857268808085664</v>
      </c>
      <c r="R27" s="181">
        <f>(PI()^2*$B$4)/(Table_03[[#This Row],[KL/ry]]^2)</f>
        <v>41.690443567764873</v>
      </c>
      <c r="S27" s="181">
        <f>IF(Table_03[[#This Row],[Strength (ksi)]]/Table_03[[#This Row],[Fe,y]]&lt;2.25,(0.658^(Table_03[[#This Row],[Strength (ksi)]]/Table_03[[#This Row],[Fe,y]])*Table_03[[#This Row],[Strength (ksi)]]),0.877*Table_03[[#This Row],[Fe,y]])</f>
        <v>30.266728427381608</v>
      </c>
      <c r="T27" s="181">
        <f>Table_03[[#This Row],[Fcr,y]]*Table_03[[#This Row],[Sectional Area (in2)]]</f>
        <v>302.66728427381611</v>
      </c>
      <c r="U27" s="181">
        <f>1.76*Table_03[[#This Row],[ry (in)2]]*SQRT($B$4/Table_03[[#This Row],[Strength (ksi)]])/12</f>
        <v>7.6542071974974801</v>
      </c>
      <c r="V2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25.010396040038064</v>
      </c>
      <c r="W27" s="181">
        <f>Table_03[[#This Row],[Depth h (in)]]-Table_03[[#This Row],[Flange Thickness tf (in)]]</f>
        <v>7.8350000000000009</v>
      </c>
      <c r="X27" s="181">
        <f>(Table_03[[#This Row],[Static Parameters Moment of Inertia Iy (in4)]]*Table_03[[#This Row],[ho]]^2)/4</f>
        <v>720.65532788750011</v>
      </c>
      <c r="Y27" s="181">
        <f>SQRT((SQRT(Table_03[[#This Row],[Static Parameters Moment of Inertia Iy (in4)]]*Table_03[[#This Row],[Cw*]])/Table_03[[#This Row],[Static Parameters Elastic Section Modulus Sx (in3)2]]))</f>
        <v>2.4189374913636406</v>
      </c>
      <c r="Z27" s="181">
        <f>(2*Table_03[[#This Row],[Width w (in)]]*Table_03[[#This Row],[Flange Thickness tf (in)]]^3/3)+((Table_03[[#This Row],[Depth h (in)]]-Table_03[[#This Row],[Flange Thickness tf (in)]]*2)*Table_03[[#This Row],[Web Thickness tw (in)]]^3)/3</f>
        <v>0.52062376062199989</v>
      </c>
      <c r="AA27" s="181">
        <f>Table_03[[#This Row],[Width w (in)]]*0.5/Table_03[[#This Row],[Flange Thickness tf (in)]]</f>
        <v>10.001154734411084</v>
      </c>
      <c r="AB27" s="181">
        <f>0.38*SQRT($B$4/Table_03[[#This Row],[Strength (ksi)]])</f>
        <v>9.1516118798821449</v>
      </c>
      <c r="AC27" s="181">
        <f>1*SQRT($B$4/Table_03[[#This Row],[Strength (ksi)]])</f>
        <v>24.083189157584592</v>
      </c>
      <c r="AD27" s="181">
        <f>(PI()^2*$B$4/(12*$B$5/Table_03[[#This Row],[rts]])^2)*SQRT(1+0.078*(Table_03[[#This Row],[J*]]/(Table_03[[#This Row],[Static Parameters Elastic Section Modulus Sx (in3)2]]*Table_03[[#This Row],[ho]])*$B$4/(12*$B$5/Table_03[[#This Row],[rts]])^2))</f>
        <v>229.532495587033</v>
      </c>
      <c r="AE27" s="181">
        <f>0.69*$B$4/Table_03[[#This Row],[b/t]]^2</f>
        <v>200.05379553210577</v>
      </c>
      <c r="AF27" s="183">
        <f>Table_03[[#This Row],[Strength (ksi)]]*Table_03[[#This Row],[Static Parameters Plastic Section Modulus Zx (in3)]]</f>
        <v>1658.17007655</v>
      </c>
      <c r="AG27" s="181">
        <f>Table_03[[#This Row],[Mp (k-in)]]-(Table_03[[#This Row],[Mp (k-in)]]-0.7*Table_03[[#This Row],[Strength (ksi)]]*Table_03[[#This Row],[Static Parameters Elastic Section Modulus Sx (in3)2]])*((Table_03[[#This Row],[b/t]]-Table_03[[#This Row],[λpf]])/(Table_03[[#This Row],[λrf]]-Table_03[[#This Row],[λpf]]))</f>
        <v>1626.4334383713231</v>
      </c>
      <c r="AH27" s="184">
        <f>0.9*$B$4*Table_03[[#This Row],[kc]]*Table_03[[#This Row],[Static Parameters Elastic Section Modulus Sx (in3)2]]/Table_03[[#This Row],[b/t]]^2</f>
        <v>5995.4780550279829</v>
      </c>
      <c r="AI27" s="185" t="str">
        <f>IF(Table_03[[#This Row],[b/t]]&lt;Table_03[[#This Row],[λpf]],"Compact",IF(AND(Table_03[[#This Row],[b/t]]&gt;Table_03[[#This Row],[λpf]],Table_03[[#This Row],[λrf]]&gt;Table_03[[#This Row],[b/t]]),"Non-Compact","Slender"))</f>
        <v>Non-Compact</v>
      </c>
      <c r="AJ27" s="186">
        <f>IF(Table_03[[#This Row],[Controlling LBx]]="Compact",Table_03[[#This Row],[Mp (k-in)]],IF(Table_03[[#This Row],[Controlling LBx]]="Non-Compact",Table_03[[#This Row],[Mnlb,Non-Compact (k-in)]],IF(Table_03[[#This Row],[Controlling LBx]]="Slender",Table_03[[#This Row],[Mnlb,slender (k-in)]],"ERROR")))</f>
        <v>1626.4334383713231</v>
      </c>
      <c r="AK27" s="183">
        <f>Table_03[[#This Row],[Mp (k-in)]]-(Table_03[[#This Row],[Mp (k-in)]]-0.7*Table_03[[#This Row],[Strength (ksi)]]*Table_03[[#This Row],[Static Parameters Elastic Section Modulus Sx (in3)2]])*(($B$5-Table_03[[#This Row],[Lp (ft)]])/(Table_03[[#This Row],[Lr]]-Table_03[[#This Row],[Lp (ft)]]))</f>
        <v>1675.1780547638605</v>
      </c>
      <c r="AL27" s="184">
        <f>Table_03[[#This Row],[Fcrx]]*Table_03[[#This Row],[Static Parameters Elastic Section Modulus Sx (in3)2]]</f>
        <v>7216.2817897801369</v>
      </c>
      <c r="AM27" s="185" t="str">
        <f>IF($B$5&lt;Table_03[[#This Row],[Lp (ft)]],"Yielding Controls",IF(AND($B$5&gt;Table_03[[#This Row],[Lp (ft)]],Table_03[[#This Row],[Lr]]&gt;$B$5),"Mltb,p Controls","Mltb,r Controls"))</f>
        <v>Yielding Controls</v>
      </c>
      <c r="AN27" s="186">
        <f>IF(Table_03[[#This Row],[Controlling LTB]]="Yielding Controls",Table_03[[#This Row],[Mp (k-in)]],IF(Table_03[[#This Row],[Controlling LTB]]="Mltb,p Controls",Table_03[[#This Row],[Mnltbp (k-in)]],IF(Table_03[[#This Row],[Controlling LTB]]="Mltb,r Controls",Table_03[[#This Row],[Mnltbr (k-in)]],"ERROR")))</f>
        <v>1658.17007655</v>
      </c>
      <c r="AO27" s="183">
        <f>MIN(Table_03[[#This Row],[Strength (ksi)]]*Table_03[[#This Row],[Static Parameters Plastic Section Modulus Zy (in3)]],1.6*Table_03[[#This Row],[Strength (ksi)]]*Table_03[[#This Row],[Static Parameters Elastic Section Modulus Sy (in3)3]])</f>
        <v>819.06305422499986</v>
      </c>
      <c r="AP27" s="181">
        <f>MIN(Table_03[[#This Row],[Mny (k-in)]],Table_03[[#This Row],[Mny (k-in)]]-(Table_03[[#This Row],[Mny (k-in)]]-0.7*Table_03[[#This Row],[Static Parameters Elastic Section Modulus Sy (in3)3]]*Table_03[[#This Row],[Strength (ksi)]])*((Table_03[[#This Row],[b/t]]-Table_03[[#This Row],[λpf]])/(Table_03[[#This Row],[λrf]]-Table_03[[#This Row],[λpf]])))</f>
        <v>794.05518015398093</v>
      </c>
      <c r="AQ27" s="184">
        <f>MIN(Table_03[[#This Row],[Mny (k-in)]],Table_03[[#This Row],[Fcry]]*Table_03[[#This Row],[Static Parameters Elastic Section Modulus Sy (in3)3]])</f>
        <v>819.06305422499986</v>
      </c>
      <c r="AR27" s="185" t="str">
        <f>IF(Table_03[[#This Row],[b/t]]&lt;Table_03[[#This Row],[λpf]],"Compact",IF(AND(Table_03[[#This Row],[b/t]]&gt;Table_03[[#This Row],[λpf]],Table_03[[#This Row],[λrf]]&gt;Table_03[[#This Row],[b/t]]),"Non-Compact","Slender"))</f>
        <v>Non-Compact</v>
      </c>
      <c r="AS27" s="186">
        <f>IF(Table_03[[#This Row],[Controlling Lby]]="Compact",Table_03[[#This Row],[Mny (k-in)]],IF(Table_03[[#This Row],[Controlling Lby]]="Non-Compact",Table_03[[#This Row],[Mlby,Non-Compact (k-in)]],IF(Table_03[[#This Row],[Controlling Lby]]="Slender",Table_03[[#This Row],[Mlby,Slender (k-in)]],"ERROR")))</f>
        <v>794.05518015398093</v>
      </c>
      <c r="AT27" s="183">
        <f>MIN(Table_03[[#This Row],[LBx]],Table_03[[#This Row],[LTB]],Table_03[[#This Row],[Mp (k-in)]])</f>
        <v>1626.4334383713231</v>
      </c>
      <c r="AU27" s="181">
        <f>Table_03[[#This Row],[Mp (k-in)]]</f>
        <v>1658.17007655</v>
      </c>
      <c r="AV27" s="181">
        <f>MIN(Table_03[[#This Row],[LBy]],Table_03[[#This Row],[Mny (k-in)]])</f>
        <v>794.05518015398093</v>
      </c>
      <c r="AW27" s="187">
        <f>Table_03[[#This Row],[Mny (k-in)]]</f>
        <v>819.06305422499986</v>
      </c>
      <c r="AX27" s="169"/>
      <c r="AY27" s="165">
        <f>IF(4/SQRT((Table_03[[#This Row],[Depth h (in)]]-Table_03[[#This Row],[Flange Thickness tf (in)]]*2)/Table_03[[#This Row],[Web Thickness tw (in)]])&lt;0.35,0.35,IF(4/SQRT(Table_03[[#This Row],[Depth h (in)]]/Table_03[[#This Row],[Web Thickness tw (in)]])&gt;0.76,0.76,4/SQRT(Table_03[[#This Row],[Depth h (in)]]/Table_03[[#This Row],[Web Thickness tw (in)]])))</f>
        <v>0.7308265197924404</v>
      </c>
      <c r="AZ27" s="169"/>
    </row>
    <row r="28" spans="1:52" x14ac:dyDescent="0.3">
      <c r="A28" s="188" t="s">
        <v>126</v>
      </c>
      <c r="B28" s="189">
        <f>B27-$B$1*2</f>
        <v>8.2680000000000007</v>
      </c>
      <c r="C28" s="189">
        <f>C27-$B$1*2</f>
        <v>8.6609999999999996</v>
      </c>
      <c r="D28" s="189">
        <f>D27-$B$1*2</f>
        <v>0.27600000000000002</v>
      </c>
      <c r="E28" s="189">
        <f>E27-$B$1*2</f>
        <v>0.433</v>
      </c>
      <c r="F28" s="190">
        <f>2*Table_03[[#This Row],[Width w (in)]]*Table_03[[#This Row],[Flange Thickness tf (in)]]+Table_03[[#This Row],[Web Thickness tw (in)]]*(Table_03[[#This Row],[Depth h (in)]]-2*Table_03[[#This Row],[Flange Thickness tf (in)]])</f>
        <v>9.5433780000000006</v>
      </c>
      <c r="G28" s="189"/>
      <c r="H28"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124.55248281790601</v>
      </c>
      <c r="I28" s="190">
        <f>((Table_03[[#This Row],[Depth h (in)]]-2*Table_03[[#This Row],[Flange Thickness tf (in)]])*Table_03[[#This Row],[Web Thickness tw (in)]]^3/12+2*(Table_03[[#This Row],[Flange Thickness tf (in)]]*Table_03[[#This Row],[Width w (in)]]^3/12))</f>
        <v>46.898707242991492</v>
      </c>
      <c r="J28" s="190">
        <f>Table_03[[#This Row],[Width w (in)]]*Table_03[[#This Row],[Flange Thickness tf (in)]]*(Table_03[[#This Row],[Depth h (in)]]-Table_03[[#This Row],[Flange Thickness tf (in)]])+0.25*Table_03[[#This Row],[Web Thickness tw (in)]]*(Table_03[[#This Row],[Depth h (in)]]-2*Table_03[[#This Row],[Flange Thickness tf (in)]])^2</f>
        <v>33.163401530999998</v>
      </c>
      <c r="K28" s="190">
        <f>(Table_03[[#This Row],[Width w (in)]]^2*Table_03[[#This Row],[Flange Thickness tf (in)]])/2+0.25*Table_03[[#This Row],[Web Thickness tw (in)]]^2*(Table_03[[#This Row],[Depth h (in)]]-2*Table_03[[#This Row],[Flange Thickness tf (in)]])</f>
        <v>16.381261084499997</v>
      </c>
      <c r="L28" s="190">
        <f>Table_03[[#This Row],[Static Parameters Moment of Inertia Ix (in4)]]/(Table_03[[#This Row],[Depth h (in)]]/2)</f>
        <v>30.128805713088049</v>
      </c>
      <c r="M28" s="190">
        <f>Table_03[[#This Row],[Static Parameters Moment of Inertia Iy (in4)]]/(Table_03[[#This Row],[Width w (in)]]/2)</f>
        <v>10.829859656619673</v>
      </c>
      <c r="N28" s="191">
        <v>50</v>
      </c>
      <c r="O28" s="169">
        <f>SQRT(Table_03[[#This Row],[Static Parameters Moment of Inertia Ix (in4)]]/Table_03[[#This Row],[Sectional Area (in2)]])</f>
        <v>3.6126437046817874</v>
      </c>
      <c r="P28" s="190">
        <f>SQRT(Table_03[[#This Row],[Static Parameters Moment of Inertia Iy (in4)]]/Table_03[[#This Row],[Sectional Area (in2)]])</f>
        <v>2.216814598770751</v>
      </c>
      <c r="Q28" s="190">
        <f>($B$6*$B$5*12)/Table_03[[#This Row],[ry (in)2]]</f>
        <v>80.99459472143613</v>
      </c>
      <c r="R28" s="190">
        <f>(PI()^2*$B$4)/(Table_03[[#This Row],[KL/ry]]^2)</f>
        <v>43.630045912248157</v>
      </c>
      <c r="S28" s="190">
        <f>IF(Table_03[[#This Row],[Strength (ksi)]]/Table_03[[#This Row],[Fe,y]]&lt;2.25,(0.658^(Table_03[[#This Row],[Strength (ksi)]]/Table_03[[#This Row],[Fe,y]])*Table_03[[#This Row],[Strength (ksi)]]),0.877*Table_03[[#This Row],[Fe,y]])</f>
        <v>30.94974066386159</v>
      </c>
      <c r="T28" s="190">
        <f>Table_03[[#This Row],[Fcr,y]]*Table_03[[#This Row],[Sectional Area (in2)]]</f>
        <v>295.36507415720212</v>
      </c>
      <c r="U28" s="190">
        <f>1.76*Table_03[[#This Row],[ry (in)2]]*SQRT($B$4/Table_03[[#This Row],[Strength (ksi)]])/12</f>
        <v>7.8302349120586783</v>
      </c>
      <c r="V2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25.842203535692793</v>
      </c>
      <c r="W28" s="190">
        <f>Table_03[[#This Row],[Depth h (in)]]-Table_03[[#This Row],[Flange Thickness tf (in)]]</f>
        <v>7.8350000000000009</v>
      </c>
      <c r="X28" s="190">
        <f>(Table_03[[#This Row],[Static Parameters Moment of Inertia Iy (in4)]]*Table_03[[#This Row],[ho]]^2)/4</f>
        <v>719.74537343366228</v>
      </c>
      <c r="Y28" s="190">
        <f>SQRT((SQRT(Table_03[[#This Row],[Static Parameters Moment of Inertia Iy (in4)]]*Table_03[[#This Row],[Cw*]])/Table_03[[#This Row],[Static Parameters Elastic Section Modulus Sx (in3)2]]))</f>
        <v>2.4694144205298261</v>
      </c>
      <c r="Z28" s="190">
        <f>(2*Table_03[[#This Row],[Width w (in)]]*Table_03[[#This Row],[Flange Thickness tf (in)]]^3/3)+((Table_03[[#This Row],[Depth h (in)]]-Table_03[[#This Row],[Flange Thickness tf (in)]]*2)*Table_03[[#This Row],[Web Thickness tw (in)]]^3)/3</f>
        <v>0.52062376062199989</v>
      </c>
      <c r="AA28" s="190">
        <f>Table_03[[#This Row],[Width w (in)]]*0.5/Table_03[[#This Row],[Flange Thickness tf (in)]]</f>
        <v>10.001154734411084</v>
      </c>
      <c r="AB28" s="190">
        <f>0.38*SQRT($B$4/Table_03[[#This Row],[Strength (ksi)]])</f>
        <v>9.1516118798821449</v>
      </c>
      <c r="AC28" s="190">
        <f>1*SQRT($B$4/Table_03[[#This Row],[Strength (ksi)]])</f>
        <v>24.083189157584592</v>
      </c>
      <c r="AD28" s="190">
        <f>(PI()^2*$B$4/(12*$B$5/Table_03[[#This Row],[rts]])^2)*SQRT(1+0.078*(Table_03[[#This Row],[J*]]/(Table_03[[#This Row],[Static Parameters Elastic Section Modulus Sx (in3)2]]*Table_03[[#This Row],[ho]])*$B$4/(12*$B$5/Table_03[[#This Row],[rts]])^2))</f>
        <v>239.25182541373482</v>
      </c>
      <c r="AE28" s="190">
        <f>0.69*$B$4/Table_03[[#This Row],[b/t]]^2</f>
        <v>200.05379553210577</v>
      </c>
      <c r="AF28" s="192">
        <f>Table_03[[#This Row],[Strength (ksi)]]*Table_03[[#This Row],[Static Parameters Plastic Section Modulus Zx (in3)]]</f>
        <v>1658.17007655</v>
      </c>
      <c r="AG28" s="190">
        <f>Table_03[[#This Row],[Mp (k-in)]]-(Table_03[[#This Row],[Mp (k-in)]]-0.7*Table_03[[#This Row],[Strength (ksi)]]*Table_03[[#This Row],[Static Parameters Elastic Section Modulus Sx (in3)2]])*((Table_03[[#This Row],[b/t]]-Table_03[[#This Row],[λpf]])/(Table_03[[#This Row],[λrf]]-Table_03[[#This Row],[λpf]]))</f>
        <v>1623.8242988553675</v>
      </c>
      <c r="AH28" s="193">
        <f>0.9*$B$4*Table_03[[#This Row],[kc]]*Table_03[[#This Row],[Static Parameters Elastic Section Modulus Sx (in3)2]]/Table_03[[#This Row],[b/t]]^2</f>
        <v>5745.6137804707696</v>
      </c>
      <c r="AI28" s="194" t="str">
        <f>IF(Table_03[[#This Row],[b/t]]&lt;Table_03[[#This Row],[λpf]],"Compact",IF(AND(Table_03[[#This Row],[b/t]]&gt;Table_03[[#This Row],[λpf]],Table_03[[#This Row],[λrf]]&gt;Table_03[[#This Row],[b/t]]),"Non-Compact","Slender"))</f>
        <v>Non-Compact</v>
      </c>
      <c r="AJ28" s="195">
        <f>IF(Table_03[[#This Row],[Controlling LBx]]="Compact",Table_03[[#This Row],[Mp (k-in)]],IF(Table_03[[#This Row],[Controlling LBx]]="Non-Compact",Table_03[[#This Row],[Mnlb,Non-Compact (k-in)]],IF(Table_03[[#This Row],[Controlling LBx]]="Slender",Table_03[[#This Row],[Mnlb,slender (k-in)]],"ERROR")))</f>
        <v>1623.8242988553675</v>
      </c>
      <c r="AK28" s="192">
        <f>Table_03[[#This Row],[Mp (k-in)]]-(Table_03[[#This Row],[Mp (k-in)]]-0.7*Table_03[[#This Row],[Strength (ksi)]]*Table_03[[#This Row],[Static Parameters Elastic Section Modulus Sx (in3)2]])*(($B$5-Table_03[[#This Row],[Lp (ft)]])/(Table_03[[#This Row],[Lr]]-Table_03[[#This Row],[Lp (ft)]]))</f>
        <v>1681.8056623844586</v>
      </c>
      <c r="AL28" s="196">
        <f>Table_03[[#This Row],[Fcrx]]*Table_03[[#This Row],[Static Parameters Elastic Section Modulus Sx (in3)2]]</f>
        <v>7208.3717643920781</v>
      </c>
      <c r="AM28" s="197" t="str">
        <f>IF($B$5&lt;Table_03[[#This Row],[Lp (ft)]],"Yielding Controls",IF(AND($B$5&gt;Table_03[[#This Row],[Lp (ft)]],Table_03[[#This Row],[Lr]]&gt;$B$5),"Mltb,p Controls","Mltb,r Controls"))</f>
        <v>Yielding Controls</v>
      </c>
      <c r="AN28" s="198">
        <f>IF(Table_03[[#This Row],[Controlling LTB]]="Yielding Controls",Table_03[[#This Row],[Mp (k-in)]],IF(Table_03[[#This Row],[Controlling LTB]]="Mltb,p Controls",Table_03[[#This Row],[Mnltbp (k-in)]],IF(Table_03[[#This Row],[Controlling LTB]]="Mltb,r Controls",Table_03[[#This Row],[Mnltbr (k-in)]],"ERROR")))</f>
        <v>1658.17007655</v>
      </c>
      <c r="AO28" s="199">
        <f>MIN(Table_03[[#This Row],[Strength (ksi)]]*Table_03[[#This Row],[Static Parameters Plastic Section Modulus Zy (in3)]],1.6*Table_03[[#This Row],[Strength (ksi)]]*Table_03[[#This Row],[Static Parameters Elastic Section Modulus Sy (in3)3]])</f>
        <v>819.06305422499986</v>
      </c>
      <c r="AP28" s="169">
        <f>MIN(Table_03[[#This Row],[Mny (k-in)]],Table_03[[#This Row],[Mny (k-in)]]-(Table_03[[#This Row],[Mny (k-in)]]-0.7*Table_03[[#This Row],[Static Parameters Elastic Section Modulus Sy (in3)3]]*Table_03[[#This Row],[Strength (ksi)]])*((Table_03[[#This Row],[b/t]]-Table_03[[#This Row],[λpf]])/(Table_03[[#This Row],[λrf]]-Table_03[[#This Row],[λpf]])))</f>
        <v>794.02791479304017</v>
      </c>
      <c r="AQ28" s="196">
        <f>MIN(Table_03[[#This Row],[Mny (k-in)]],Table_03[[#This Row],[Fcry]]*Table_03[[#This Row],[Static Parameters Elastic Section Modulus Sy (in3)3]])</f>
        <v>819.06305422499986</v>
      </c>
      <c r="AR28" s="197" t="str">
        <f>IF(Table_03[[#This Row],[b/t]]&lt;Table_03[[#This Row],[λpf]],"Compact",IF(AND(Table_03[[#This Row],[b/t]]&gt;Table_03[[#This Row],[λpf]],Table_03[[#This Row],[λrf]]&gt;Table_03[[#This Row],[b/t]]),"Non-Compact","Slender"))</f>
        <v>Non-Compact</v>
      </c>
      <c r="AS28" s="198">
        <f>IF(Table_03[[#This Row],[Controlling Lby]]="Compact",Table_03[[#This Row],[Mny (k-in)]],IF(Table_03[[#This Row],[Controlling Lby]]="Non-Compact",Table_03[[#This Row],[Mlby,Non-Compact (k-in)]],IF(Table_03[[#This Row],[Controlling Lby]]="Slender",Table_03[[#This Row],[Mlby,Slender (k-in)]],"ERROR")))</f>
        <v>794.02791479304017</v>
      </c>
      <c r="AT28" s="199">
        <f>MIN(Table_03[[#This Row],[LBx]],Table_03[[#This Row],[LTB]],Table_03[[#This Row],[Mp (k-in)]])</f>
        <v>1623.8242988553675</v>
      </c>
      <c r="AU28" s="169">
        <f>Table_03[[#This Row],[Mp (k-in)]]</f>
        <v>1658.17007655</v>
      </c>
      <c r="AV28" s="169">
        <f>MIN(Table_03[[#This Row],[LBy]],Table_03[[#This Row],[Mny (k-in)]])</f>
        <v>794.02791479304017</v>
      </c>
      <c r="AW28" s="200">
        <f>Table_03[[#This Row],[Mny (k-in)]]</f>
        <v>819.06305422499986</v>
      </c>
      <c r="AX28" s="169"/>
      <c r="AY28" s="165">
        <f>IF(4/SQRT((Table_03[[#This Row],[Depth h (in)]]-Table_03[[#This Row],[Flange Thickness tf (in)]]*2)/Table_03[[#This Row],[Web Thickness tw (in)]])&lt;0.35,0.35,IF(4/SQRT(Table_03[[#This Row],[Depth h (in)]]/Table_03[[#This Row],[Web Thickness tw (in)]])&gt;0.76,0.76,4/SQRT(Table_03[[#This Row],[Depth h (in)]]/Table_03[[#This Row],[Web Thickness tw (in)]])))</f>
        <v>0.7308265197924404</v>
      </c>
      <c r="AZ28" s="169"/>
    </row>
    <row r="29" spans="1:52" ht="14.4" thickBot="1" x14ac:dyDescent="0.35">
      <c r="A29" s="201" t="s">
        <v>127</v>
      </c>
      <c r="B29" s="202">
        <f>B27-$B$3*2</f>
        <v>8.1880000000000006</v>
      </c>
      <c r="C29" s="202">
        <f>C27-$B$3*2</f>
        <v>8.5809999999999995</v>
      </c>
      <c r="D29" s="202">
        <f>D27-$B$3*2</f>
        <v>0.19600000000000001</v>
      </c>
      <c r="E29" s="202">
        <f>E27-$B$3*2</f>
        <v>0.35299999999999998</v>
      </c>
      <c r="F29" s="203">
        <f>2*Table_03[[#This Row],[Width w (in)]]*Table_03[[#This Row],[Flange Thickness tf (in)]]+Table_03[[#This Row],[Web Thickness tw (in)]]*(Table_03[[#This Row],[Depth h (in)]]-2*Table_03[[#This Row],[Flange Thickness tf (in)]])</f>
        <v>7.5246579999999996</v>
      </c>
      <c r="G29" s="204"/>
      <c r="H29"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99.877846951479341</v>
      </c>
      <c r="I29" s="203">
        <f>((Table_03[[#This Row],[Depth h (in)]]-2*Table_03[[#This Row],[Flange Thickness tf (in)]])*Table_03[[#This Row],[Web Thickness tw (in)]]^3/12+2*(Table_03[[#This Row],[Flange Thickness tf (in)]]*Table_03[[#This Row],[Width w (in)]]^3/12))</f>
        <v>37.178512030724825</v>
      </c>
      <c r="J29" s="203">
        <f>Table_03[[#This Row],[Width w (in)]]*Table_03[[#This Row],[Flange Thickness tf (in)]]*(Table_03[[#This Row],[Depth h (in)]]-Table_03[[#This Row],[Flange Thickness tf (in)]])+0.25*Table_03[[#This Row],[Web Thickness tw (in)]]*(Table_03[[#This Row],[Depth h (in)]]-2*Table_03[[#This Row],[Flange Thickness tf (in)]])^2</f>
        <v>26.475979531</v>
      </c>
      <c r="K29" s="203">
        <f>(Table_03[[#This Row],[Width w (in)]]^2*Table_03[[#This Row],[Flange Thickness tf (in)]])/2+0.25*Table_03[[#This Row],[Web Thickness tw (in)]]^2*(Table_03[[#This Row],[Depth h (in)]]-2*Table_03[[#This Row],[Flange Thickness tf (in)]])</f>
        <v>13.068180644499996</v>
      </c>
      <c r="L29" s="203">
        <f>Table_03[[#This Row],[Static Parameters Moment of Inertia Ix (in4)]]/(Table_03[[#This Row],[Depth h (in)]]/2)</f>
        <v>24.396152162061391</v>
      </c>
      <c r="M29" s="203">
        <f>Table_03[[#This Row],[Static Parameters Moment of Inertia Iy (in4)]]/(Table_03[[#This Row],[Width w (in)]]/2)</f>
        <v>8.6653098778055764</v>
      </c>
      <c r="N29" s="205">
        <v>50</v>
      </c>
      <c r="O29" s="206">
        <f>SQRT(Table_03[[#This Row],[Static Parameters Moment of Inertia Ix (in4)]]/Table_03[[#This Row],[Sectional Area (in2)]])</f>
        <v>3.6432687024276382</v>
      </c>
      <c r="P29" s="203">
        <f>SQRT(Table_03[[#This Row],[Static Parameters Moment of Inertia Iy (in4)]]/Table_03[[#This Row],[Sectional Area (in2)]])</f>
        <v>2.2228114195059421</v>
      </c>
      <c r="Q29" s="203">
        <f>($B$6*$B$5*12)/Table_03[[#This Row],[ry (in)2]]</f>
        <v>80.77608312805414</v>
      </c>
      <c r="R29" s="203">
        <f>(PI()^2*$B$4)/(Table_03[[#This Row],[KL/ry]]^2)</f>
        <v>43.866417013617095</v>
      </c>
      <c r="S29" s="203">
        <f>IF(Table_03[[#This Row],[Strength (ksi)]]/Table_03[[#This Row],[Fe,y]]&lt;2.25,(0.658^(Table_03[[#This Row],[Strength (ksi)]]/Table_03[[#This Row],[Fe,y]])*Table_03[[#This Row],[Strength (ksi)]]),0.877*Table_03[[#This Row],[Fe,y]])</f>
        <v>31.029836996649035</v>
      </c>
      <c r="T29" s="203">
        <f>Table_03[[#This Row],[Fcr,y]]*Table_03[[#This Row],[Sectional Area (in2)]]</f>
        <v>233.48891119553113</v>
      </c>
      <c r="U29" s="203">
        <f>1.76*Table_03[[#This Row],[ry (in)2]]*SQRT($B$4/Table_03[[#This Row],[Strength (ksi)]])/12</f>
        <v>7.8514168887147724</v>
      </c>
      <c r="V2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22.92707221621831</v>
      </c>
      <c r="W29" s="203">
        <f>Table_03[[#This Row],[Depth h (in)]]-Table_03[[#This Row],[Flange Thickness tf (in)]]</f>
        <v>7.8350000000000009</v>
      </c>
      <c r="X29" s="203">
        <f>(Table_03[[#This Row],[Static Parameters Moment of Inertia Iy (in4)]]*Table_03[[#This Row],[ho]]^2)/4</f>
        <v>570.57142079882806</v>
      </c>
      <c r="Y29" s="203">
        <f>SQRT((SQRT(Table_03[[#This Row],[Static Parameters Moment of Inertia Iy (in4)]]*Table_03[[#This Row],[Cw*]])/Table_03[[#This Row],[Static Parameters Elastic Section Modulus Sx (in3)2]]))</f>
        <v>2.4433733798969479</v>
      </c>
      <c r="Z29" s="203">
        <f>(2*Table_03[[#This Row],[Width w (in)]]*Table_03[[#This Row],[Flange Thickness tf (in)]]^3/3)+((Table_03[[#This Row],[Depth h (in)]]-Table_03[[#This Row],[Flange Thickness tf (in)]]*2)*Table_03[[#This Row],[Web Thickness tw (in)]]^3)/3</f>
        <v>0.27041349587533331</v>
      </c>
      <c r="AA29" s="203">
        <f>Table_03[[#This Row],[Width w (in)]]*0.5/Table_03[[#This Row],[Flange Thickness tf (in)]]</f>
        <v>12.154390934844193</v>
      </c>
      <c r="AB29" s="203">
        <f>0.38*SQRT($B$4/Table_03[[#This Row],[Strength (ksi)]])</f>
        <v>9.1516118798821449</v>
      </c>
      <c r="AC29" s="203">
        <f>1*SQRT($B$4/Table_03[[#This Row],[Strength (ksi)]])</f>
        <v>24.083189157584592</v>
      </c>
      <c r="AD29" s="203">
        <f>(PI()^2*$B$4/(12*$B$5/Table_03[[#This Row],[rts]])^2)*SQRT(1+0.078*(Table_03[[#This Row],[J*]]/(Table_03[[#This Row],[Static Parameters Elastic Section Modulus Sx (in3)2]]*Table_03[[#This Row],[ho]])*$B$4/(12*$B$5/Table_03[[#This Row],[rts]])^2))</f>
        <v>234.05177821831271</v>
      </c>
      <c r="AE29" s="203">
        <f>0.69*$B$4/Table_03[[#This Row],[b/t]]^2</f>
        <v>135.4505231656527</v>
      </c>
      <c r="AF29" s="207">
        <f>Table_03[[#This Row],[Strength (ksi)]]*Table_03[[#This Row],[Static Parameters Plastic Section Modulus Zx (in3)]]</f>
        <v>1323.7989765499999</v>
      </c>
      <c r="AG29" s="203">
        <f>Table_03[[#This Row],[Mp (k-in)]]-(Table_03[[#This Row],[Mp (k-in)]]-0.7*Table_03[[#This Row],[Strength (ksi)]]*Table_03[[#This Row],[Static Parameters Elastic Section Modulus Sx (in3)2]])*((Table_03[[#This Row],[b/t]]-Table_03[[#This Row],[λpf]])/(Table_03[[#This Row],[λrf]]-Table_03[[#This Row],[λpf]]))</f>
        <v>1229.294096199209</v>
      </c>
      <c r="AH29" s="208">
        <f>0.9*$B$4*Table_03[[#This Row],[kc]]*Table_03[[#This Row],[Static Parameters Elastic Section Modulus Sx (in3)2]]/Table_03[[#This Row],[b/t]]^2</f>
        <v>2667.439321571127</v>
      </c>
      <c r="AI29" s="209" t="str">
        <f>IF(Table_03[[#This Row],[b/t]]&lt;Table_03[[#This Row],[λpf]],"Compact",IF(AND(Table_03[[#This Row],[b/t]]&gt;Table_03[[#This Row],[λpf]],Table_03[[#This Row],[λrf]]&gt;Table_03[[#This Row],[b/t]]),"Non-Compact","Slender"))</f>
        <v>Non-Compact</v>
      </c>
      <c r="AJ29" s="210">
        <f>IF(Table_03[[#This Row],[Controlling LBx]]="Compact",Table_03[[#This Row],[Mp (k-in)]],IF(Table_03[[#This Row],[Controlling LBx]]="Non-Compact",Table_03[[#This Row],[Mnlb,Non-Compact (k-in)]],IF(Table_03[[#This Row],[Controlling LBx]]="Slender",Table_03[[#This Row],[Mnlb,slender (k-in)]],"ERROR")))</f>
        <v>1229.294096199209</v>
      </c>
      <c r="AK29" s="207">
        <f>Table_03[[#This Row],[Mp (k-in)]]-(Table_03[[#This Row],[Mp (k-in)]]-0.7*Table_03[[#This Row],[Strength (ksi)]]*Table_03[[#This Row],[Static Parameters Elastic Section Modulus Sx (in3)2]])*(($B$5-Table_03[[#This Row],[Lp (ft)]])/(Table_03[[#This Row],[Lr]]-Table_03[[#This Row],[Lp (ft)]]))</f>
        <v>1346.4426184453066</v>
      </c>
      <c r="AL29" s="211">
        <f>Table_03[[#This Row],[Fcrx]]*Table_03[[#This Row],[Static Parameters Elastic Section Modulus Sx (in3)2]]</f>
        <v>5709.9627952150022</v>
      </c>
      <c r="AM29" s="212" t="str">
        <f>IF($B$5&lt;Table_03[[#This Row],[Lp (ft)]],"Yielding Controls",IF(AND($B$5&gt;Table_03[[#This Row],[Lp (ft)]],Table_03[[#This Row],[Lr]]&gt;$B$5),"Mltb,p Controls","Mltb,r Controls"))</f>
        <v>Yielding Controls</v>
      </c>
      <c r="AN29" s="213">
        <f>IF(Table_03[[#This Row],[Controlling LTB]]="Yielding Controls",Table_03[[#This Row],[Mp (k-in)]],IF(Table_03[[#This Row],[Controlling LTB]]="Mltb,p Controls",Table_03[[#This Row],[Mnltbp (k-in)]],IF(Table_03[[#This Row],[Controlling LTB]]="Mltb,r Controls",Table_03[[#This Row],[Mnltbr (k-in)]],"ERROR")))</f>
        <v>1323.7989765499999</v>
      </c>
      <c r="AO29" s="214">
        <f>MIN(Table_03[[#This Row],[Strength (ksi)]]*Table_03[[#This Row],[Static Parameters Plastic Section Modulus Zy (in3)]],1.6*Table_03[[#This Row],[Strength (ksi)]]*Table_03[[#This Row],[Static Parameters Elastic Section Modulus Sy (in3)3]])</f>
        <v>653.40903222499981</v>
      </c>
      <c r="AP29" s="206">
        <f>MIN(Table_03[[#This Row],[Mny (k-in)]],Table_03[[#This Row],[Mny (k-in)]]-(Table_03[[#This Row],[Mny (k-in)]]-0.7*Table_03[[#This Row],[Static Parameters Elastic Section Modulus Sy (in3)3]]*Table_03[[#This Row],[Strength (ksi)]])*((Table_03[[#This Row],[b/t]]-Table_03[[#This Row],[λpf]])/(Table_03[[#This Row],[λrf]]-Table_03[[#This Row],[λpf]])))</f>
        <v>582.99834810697462</v>
      </c>
      <c r="AQ29" s="211">
        <f>MIN(Table_03[[#This Row],[Mny (k-in)]],Table_03[[#This Row],[Fcry]]*Table_03[[#This Row],[Static Parameters Elastic Section Modulus Sy (in3)3]])</f>
        <v>653.40903222499981</v>
      </c>
      <c r="AR29" s="212" t="str">
        <f>IF(Table_03[[#This Row],[b/t]]&lt;Table_03[[#This Row],[λpf]],"Compact",IF(AND(Table_03[[#This Row],[b/t]]&gt;Table_03[[#This Row],[λpf]],Table_03[[#This Row],[λrf]]&gt;Table_03[[#This Row],[b/t]]),"Non-Compact","Slender"))</f>
        <v>Non-Compact</v>
      </c>
      <c r="AS29" s="213">
        <f>IF(Table_03[[#This Row],[Controlling Lby]]="Compact",Table_03[[#This Row],[Mny (k-in)]],IF(Table_03[[#This Row],[Controlling Lby]]="Non-Compact",Table_03[[#This Row],[Mlby,Non-Compact (k-in)]],IF(Table_03[[#This Row],[Controlling Lby]]="Slender",Table_03[[#This Row],[Mlby,Slender (k-in)]],"ERROR")))</f>
        <v>582.99834810697462</v>
      </c>
      <c r="AT29" s="214">
        <f>MIN(Table_03[[#This Row],[LBx]],Table_03[[#This Row],[LTB]],Table_03[[#This Row],[Mp (k-in)]])</f>
        <v>1229.294096199209</v>
      </c>
      <c r="AU29" s="206">
        <f>Table_03[[#This Row],[Mp (k-in)]]</f>
        <v>1323.7989765499999</v>
      </c>
      <c r="AV29" s="206">
        <f>MIN(Table_03[[#This Row],[LBy]],Table_03[[#This Row],[Mny (k-in)]])</f>
        <v>582.99834810697462</v>
      </c>
      <c r="AW29" s="215">
        <f>Table_03[[#This Row],[Mny (k-in)]]</f>
        <v>653.40903222499981</v>
      </c>
      <c r="AX29" s="169"/>
      <c r="AY29" s="165">
        <f>IF(4/SQRT((Table_03[[#This Row],[Depth h (in)]]-Table_03[[#This Row],[Flange Thickness tf (in)]]*2)/Table_03[[#This Row],[Web Thickness tw (in)]])&lt;0.35,0.35,IF(4/SQRT(Table_03[[#This Row],[Depth h (in)]]/Table_03[[#This Row],[Web Thickness tw (in)]])&gt;0.76,0.76,4/SQRT(Table_03[[#This Row],[Depth h (in)]]/Table_03[[#This Row],[Web Thickness tw (in)]])))</f>
        <v>0.61886954318354925</v>
      </c>
      <c r="AZ29" s="169"/>
    </row>
    <row r="30" spans="1:52" x14ac:dyDescent="0.3">
      <c r="A30" s="179" t="s">
        <v>128</v>
      </c>
      <c r="B30" s="180">
        <v>9.0549999999999997</v>
      </c>
      <c r="C30" s="180">
        <v>9.4489999999999998</v>
      </c>
      <c r="D30" s="180">
        <v>0.29499999999999998</v>
      </c>
      <c r="E30" s="180">
        <v>0.47199999999999998</v>
      </c>
      <c r="F30" s="181">
        <v>11.9</v>
      </c>
      <c r="G30" s="180"/>
      <c r="H30" s="180">
        <v>186.511</v>
      </c>
      <c r="I30" s="180">
        <v>66.521000000000001</v>
      </c>
      <c r="J30" s="181">
        <f>Table_03[[#This Row],[Width w (in)]]*Table_03[[#This Row],[Flange Thickness tf (in)]]*(Table_03[[#This Row],[Depth h (in)]]-Table_03[[#This Row],[Flange Thickness tf (in)]])+0.25*Table_03[[#This Row],[Web Thickness tw (in)]]*(Table_03[[#This Row],[Depth h (in)]]-2*Table_03[[#This Row],[Flange Thickness tf (in)]])^2</f>
        <v>43.131450697749997</v>
      </c>
      <c r="K30" s="181">
        <f>(Table_03[[#This Row],[Width w (in)]]^2*Table_03[[#This Row],[Flange Thickness tf (in)]])/2+0.25*Table_03[[#This Row],[Web Thickness tw (in)]]^2*(Table_03[[#This Row],[Depth h (in)]]-2*Table_03[[#This Row],[Flange Thickness tf (in)]])</f>
        <v>21.247394779749996</v>
      </c>
      <c r="L30" s="181">
        <f>Table_03[[#This Row],[Static Parameters Moment of Inertia Ix (in4)]]/(Table_03[[#This Row],[Depth h (in)]]/2)</f>
        <v>41.195140806184426</v>
      </c>
      <c r="M30" s="181">
        <f>Table_03[[#This Row],[Static Parameters Moment of Inertia Iy (in4)]]/(Table_03[[#This Row],[Width w (in)]]/2)</f>
        <v>14.080008466504392</v>
      </c>
      <c r="N30" s="182">
        <v>50</v>
      </c>
      <c r="O30" s="181">
        <f>SQRT(Table_03[[#This Row],[Static Parameters Moment of Inertia Ix (in4)]]/Table_03[[#This Row],[Sectional Area (in2)]])</f>
        <v>3.9589384028184784</v>
      </c>
      <c r="P30" s="181">
        <f>SQRT(Table_03[[#This Row],[Static Parameters Moment of Inertia Iy (in4)]]/Table_03[[#This Row],[Sectional Area (in2)]])</f>
        <v>2.3643180835073778</v>
      </c>
      <c r="Q30" s="181">
        <f>($B$6*$B$5*12)/Table_03[[#This Row],[ry (in)2]]</f>
        <v>75.941558478309432</v>
      </c>
      <c r="R30" s="181">
        <f>(PI()^2*$B$4)/(Table_03[[#This Row],[KL/ry]]^2)</f>
        <v>49.629366570936938</v>
      </c>
      <c r="S30" s="181">
        <f>IF(Table_03[[#This Row],[Strength (ksi)]]/Table_03[[#This Row],[Fe,y]]&lt;2.25,(0.658^(Table_03[[#This Row],[Strength (ksi)]]/Table_03[[#This Row],[Fe,y]])*Table_03[[#This Row],[Strength (ksi)]]),0.877*Table_03[[#This Row],[Fe,y]])</f>
        <v>32.797323539227783</v>
      </c>
      <c r="T30" s="181">
        <f>Table_03[[#This Row],[Fcr,y]]*Table_03[[#This Row],[Sectional Area (in2)]]</f>
        <v>390.28815011681064</v>
      </c>
      <c r="U30" s="181">
        <f>1.76*Table_03[[#This Row],[ry (in)2]]*SQRT($B$4/Table_03[[#This Row],[Strength (ksi)]])/12</f>
        <v>8.35124687962489</v>
      </c>
      <c r="V30"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27.060302556592603</v>
      </c>
      <c r="W30" s="181">
        <f>Table_03[[#This Row],[Depth h (in)]]-Table_03[[#This Row],[Flange Thickness tf (in)]]</f>
        <v>8.5830000000000002</v>
      </c>
      <c r="X30" s="181">
        <f>(Table_03[[#This Row],[Static Parameters Moment of Inertia Iy (in4)]]*Table_03[[#This Row],[ho]]^2)/4</f>
        <v>1225.1154110422501</v>
      </c>
      <c r="Y30" s="181">
        <f>SQRT((SQRT(Table_03[[#This Row],[Static Parameters Moment of Inertia Iy (in4)]]*Table_03[[#This Row],[Cw*]])/Table_03[[#This Row],[Static Parameters Elastic Section Modulus Sx (in3)2]]))</f>
        <v>2.6324549472622931</v>
      </c>
      <c r="Z30" s="181">
        <f>(2*Table_03[[#This Row],[Width w (in)]]*Table_03[[#This Row],[Flange Thickness tf (in)]]^3/3)+((Table_03[[#This Row],[Depth h (in)]]-Table_03[[#This Row],[Flange Thickness tf (in)]]*2)*Table_03[[#This Row],[Web Thickness tw (in)]]^3)/3</f>
        <v>0.73180994424299994</v>
      </c>
      <c r="AA30" s="181">
        <f>Table_03[[#This Row],[Width w (in)]]*0.5/Table_03[[#This Row],[Flange Thickness tf (in)]]</f>
        <v>10.009533898305085</v>
      </c>
      <c r="AB30" s="181">
        <f>0.38*SQRT($B$4/Table_03[[#This Row],[Strength (ksi)]])</f>
        <v>9.1516118798821449</v>
      </c>
      <c r="AC30" s="181">
        <f>1*SQRT($B$4/Table_03[[#This Row],[Strength (ksi)]])</f>
        <v>24.083189157584592</v>
      </c>
      <c r="AD30" s="181">
        <f>(PI()^2*$B$4/(12*$B$5/Table_03[[#This Row],[rts]])^2)*SQRT(1+0.078*(Table_03[[#This Row],[J*]]/(Table_03[[#This Row],[Static Parameters Elastic Section Modulus Sx (in3)2]]*Table_03[[#This Row],[ho]])*$B$4/(12*$B$5/Table_03[[#This Row],[rts]])^2))</f>
        <v>271.92491015070948</v>
      </c>
      <c r="AE30" s="181">
        <f>0.69*$B$4/Table_03[[#This Row],[b/t]]^2</f>
        <v>199.71899834102794</v>
      </c>
      <c r="AF30" s="183">
        <f>Table_03[[#This Row],[Strength (ksi)]]*Table_03[[#This Row],[Static Parameters Plastic Section Modulus Zx (in3)]]</f>
        <v>2156.5725348874998</v>
      </c>
      <c r="AG30" s="181">
        <f>Table_03[[#This Row],[Mp (k-in)]]-(Table_03[[#This Row],[Mp (k-in)]]-0.7*Table_03[[#This Row],[Strength (ksi)]]*Table_03[[#This Row],[Static Parameters Elastic Section Modulus Sx (in3)2]])*((Table_03[[#This Row],[b/t]]-Table_03[[#This Row],[λpf]])/(Table_03[[#This Row],[λrf]]-Table_03[[#This Row],[λpf]]))</f>
        <v>2115.5056463489536</v>
      </c>
      <c r="AH30" s="184">
        <f>0.9*$B$4*Table_03[[#This Row],[kc]]*Table_03[[#This Row],[Static Parameters Elastic Section Modulus Sx (in3)2]]/Table_03[[#This Row],[b/t]]^2</f>
        <v>7747.9277381737256</v>
      </c>
      <c r="AI30" s="185" t="str">
        <f>IF(Table_03[[#This Row],[b/t]]&lt;Table_03[[#This Row],[λpf]],"Compact",IF(AND(Table_03[[#This Row],[b/t]]&gt;Table_03[[#This Row],[λpf]],Table_03[[#This Row],[λrf]]&gt;Table_03[[#This Row],[b/t]]),"Non-Compact","Slender"))</f>
        <v>Non-Compact</v>
      </c>
      <c r="AJ30" s="186">
        <f>IF(Table_03[[#This Row],[Controlling LBx]]="Compact",Table_03[[#This Row],[Mp (k-in)]],IF(Table_03[[#This Row],[Controlling LBx]]="Non-Compact",Table_03[[#This Row],[Mnlb,Non-Compact (k-in)]],IF(Table_03[[#This Row],[Controlling LBx]]="Slender",Table_03[[#This Row],[Mnlb,slender (k-in)]],"ERROR")))</f>
        <v>2115.5056463489536</v>
      </c>
      <c r="AK30" s="183">
        <f>Table_03[[#This Row],[Mp (k-in)]]-(Table_03[[#This Row],[Mp (k-in)]]-0.7*Table_03[[#This Row],[Strength (ksi)]]*Table_03[[#This Row],[Static Parameters Elastic Section Modulus Sx (in3)2]])*(($B$5-Table_03[[#This Row],[Lp (ft)]])/(Table_03[[#This Row],[Lr]]-Table_03[[#This Row],[Lp (ft)]]))</f>
        <v>2203.4188806517227</v>
      </c>
      <c r="AL30" s="184">
        <f>Table_03[[#This Row],[Fcrx]]*Table_03[[#This Row],[Static Parameters Elastic Section Modulus Sx (in3)2]]</f>
        <v>11201.984962367525</v>
      </c>
      <c r="AM30" s="185" t="str">
        <f>IF($B$5&lt;Table_03[[#This Row],[Lp (ft)]],"Yielding Controls",IF(AND($B$5&gt;Table_03[[#This Row],[Lp (ft)]],Table_03[[#This Row],[Lr]]&gt;$B$5),"Mltb,p Controls","Mltb,r Controls"))</f>
        <v>Yielding Controls</v>
      </c>
      <c r="AN30" s="186">
        <f>IF(Table_03[[#This Row],[Controlling LTB]]="Yielding Controls",Table_03[[#This Row],[Mp (k-in)]],IF(Table_03[[#This Row],[Controlling LTB]]="Mltb,p Controls",Table_03[[#This Row],[Mnltbp (k-in)]],IF(Table_03[[#This Row],[Controlling LTB]]="Mltb,r Controls",Table_03[[#This Row],[Mnltbr (k-in)]],"ERROR")))</f>
        <v>2156.5725348874998</v>
      </c>
      <c r="AO30" s="183">
        <f>MIN(Table_03[[#This Row],[Strength (ksi)]]*Table_03[[#This Row],[Static Parameters Plastic Section Modulus Zy (in3)]],1.6*Table_03[[#This Row],[Strength (ksi)]]*Table_03[[#This Row],[Static Parameters Elastic Section Modulus Sy (in3)3]])</f>
        <v>1062.3697389874999</v>
      </c>
      <c r="AP30" s="181">
        <f>MIN(Table_03[[#This Row],[Mny (k-in)]],Table_03[[#This Row],[Mny (k-in)]]-(Table_03[[#This Row],[Mny (k-in)]]-0.7*Table_03[[#This Row],[Static Parameters Elastic Section Modulus Sy (in3)3]]*Table_03[[#This Row],[Strength (ksi)]])*((Table_03[[#This Row],[b/t]]-Table_03[[#This Row],[λpf]])/(Table_03[[#This Row],[λrf]]-Table_03[[#This Row],[λpf]])))</f>
        <v>1029.6440492100062</v>
      </c>
      <c r="AQ30" s="184">
        <f>MIN(Table_03[[#This Row],[Mny (k-in)]],Table_03[[#This Row],[Fcry]]*Table_03[[#This Row],[Static Parameters Elastic Section Modulus Sy (in3)3]])</f>
        <v>1062.3697389874999</v>
      </c>
      <c r="AR30" s="185" t="str">
        <f>IF(Table_03[[#This Row],[b/t]]&lt;Table_03[[#This Row],[λpf]],"Compact",IF(AND(Table_03[[#This Row],[b/t]]&gt;Table_03[[#This Row],[λpf]],Table_03[[#This Row],[λrf]]&gt;Table_03[[#This Row],[b/t]]),"Non-Compact","Slender"))</f>
        <v>Non-Compact</v>
      </c>
      <c r="AS30" s="186">
        <f>IF(Table_03[[#This Row],[Controlling Lby]]="Compact",Table_03[[#This Row],[Mny (k-in)]],IF(Table_03[[#This Row],[Controlling Lby]]="Non-Compact",Table_03[[#This Row],[Mlby,Non-Compact (k-in)]],IF(Table_03[[#This Row],[Controlling Lby]]="Slender",Table_03[[#This Row],[Mlby,Slender (k-in)]],"ERROR")))</f>
        <v>1029.6440492100062</v>
      </c>
      <c r="AT30" s="183">
        <f>MIN(Table_03[[#This Row],[LBx]],Table_03[[#This Row],[LTB]],Table_03[[#This Row],[Mp (k-in)]])</f>
        <v>2115.5056463489536</v>
      </c>
      <c r="AU30" s="181">
        <f>Table_03[[#This Row],[Mp (k-in)]]</f>
        <v>2156.5725348874998</v>
      </c>
      <c r="AV30" s="181">
        <f>MIN(Table_03[[#This Row],[LBy]],Table_03[[#This Row],[Mny (k-in)]])</f>
        <v>1029.6440492100062</v>
      </c>
      <c r="AW30" s="187">
        <f>Table_03[[#This Row],[Mny (k-in)]]</f>
        <v>1062.3697389874999</v>
      </c>
      <c r="AX30" s="169"/>
      <c r="AY30" s="165">
        <f>IF(4/SQRT((Table_03[[#This Row],[Depth h (in)]]-Table_03[[#This Row],[Flange Thickness tf (in)]]*2)/Table_03[[#This Row],[Web Thickness tw (in)]])&lt;0.35,0.35,IF(4/SQRT(Table_03[[#This Row],[Depth h (in)]]/Table_03[[#This Row],[Web Thickness tw (in)]])&gt;0.76,0.76,4/SQRT(Table_03[[#This Row],[Depth h (in)]]/Table_03[[#This Row],[Web Thickness tw (in)]])))</f>
        <v>0.72198266803513034</v>
      </c>
      <c r="AZ30" s="169"/>
    </row>
    <row r="31" spans="1:52" x14ac:dyDescent="0.3">
      <c r="A31" s="188" t="s">
        <v>129</v>
      </c>
      <c r="B31" s="189">
        <f>B30-$B$1*2</f>
        <v>9.0549999999999997</v>
      </c>
      <c r="C31" s="189">
        <f>C30-$B$1*2</f>
        <v>9.4489999999999998</v>
      </c>
      <c r="D31" s="189">
        <f>D30-$B$1*2</f>
        <v>0.29499999999999998</v>
      </c>
      <c r="E31" s="189">
        <f>E30-$B$1*2</f>
        <v>0.47199999999999998</v>
      </c>
      <c r="F31" s="190">
        <f>2*Table_03[[#This Row],[Width w (in)]]*Table_03[[#This Row],[Flange Thickness tf (in)]]+Table_03[[#This Row],[Web Thickness tw (in)]]*(Table_03[[#This Row],[Depth h (in)]]-2*Table_03[[#This Row],[Flange Thickness tf (in)]])</f>
        <v>11.312600999999999</v>
      </c>
      <c r="G31" s="189"/>
      <c r="H31"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177.56023020351677</v>
      </c>
      <c r="I31" s="190">
        <f>((Table_03[[#This Row],[Depth h (in)]]-2*Table_03[[#This Row],[Flange Thickness tf (in)]])*Table_03[[#This Row],[Web Thickness tw (in)]]^3/12+2*(Table_03[[#This Row],[Flange Thickness tf (in)]]*Table_03[[#This Row],[Width w (in)]]^3/12))</f>
        <v>66.383757726256732</v>
      </c>
      <c r="J31" s="190">
        <f>Table_03[[#This Row],[Width w (in)]]*Table_03[[#This Row],[Flange Thickness tf (in)]]*(Table_03[[#This Row],[Depth h (in)]]-Table_03[[#This Row],[Flange Thickness tf (in)]])+0.25*Table_03[[#This Row],[Web Thickness tw (in)]]*(Table_03[[#This Row],[Depth h (in)]]-2*Table_03[[#This Row],[Flange Thickness tf (in)]])^2</f>
        <v>43.131450697749997</v>
      </c>
      <c r="K31" s="190">
        <f>(Table_03[[#This Row],[Width w (in)]]^2*Table_03[[#This Row],[Flange Thickness tf (in)]])/2+0.25*Table_03[[#This Row],[Web Thickness tw (in)]]^2*(Table_03[[#This Row],[Depth h (in)]]-2*Table_03[[#This Row],[Flange Thickness tf (in)]])</f>
        <v>21.247394779749996</v>
      </c>
      <c r="L31" s="190">
        <f>Table_03[[#This Row],[Static Parameters Moment of Inertia Ix (in4)]]/(Table_03[[#This Row],[Depth h (in)]]/2)</f>
        <v>39.218162386199175</v>
      </c>
      <c r="M31" s="190">
        <f>Table_03[[#This Row],[Static Parameters Moment of Inertia Iy (in4)]]/(Table_03[[#This Row],[Width w (in)]]/2)</f>
        <v>14.050959408669009</v>
      </c>
      <c r="N31" s="191">
        <v>50</v>
      </c>
      <c r="O31" s="169">
        <f>SQRT(Table_03[[#This Row],[Static Parameters Moment of Inertia Ix (in4)]]/Table_03[[#This Row],[Sectional Area (in2)]])</f>
        <v>3.9617914908394414</v>
      </c>
      <c r="P31" s="190">
        <f>SQRT(Table_03[[#This Row],[Static Parameters Moment of Inertia Iy (in4)]]/Table_03[[#This Row],[Sectional Area (in2)]])</f>
        <v>2.4224213272892676</v>
      </c>
      <c r="Q31" s="190">
        <f>($B$6*$B$5*12)/Table_03[[#This Row],[ry (in)2]]</f>
        <v>74.120054169486551</v>
      </c>
      <c r="R31" s="190">
        <f>(PI()^2*$B$4)/(Table_03[[#This Row],[KL/ry]]^2)</f>
        <v>52.09862808983253</v>
      </c>
      <c r="S31" s="190">
        <f>IF(Table_03[[#This Row],[Strength (ksi)]]/Table_03[[#This Row],[Fe,y]]&lt;2.25,(0.658^(Table_03[[#This Row],[Strength (ksi)]]/Table_03[[#This Row],[Fe,y]])*Table_03[[#This Row],[Strength (ksi)]]),0.877*Table_03[[#This Row],[Fe,y]])</f>
        <v>33.459395592143473</v>
      </c>
      <c r="T31" s="190">
        <f>Table_03[[#This Row],[Fcr,y]]*Table_03[[#This Row],[Sectional Area (in2)]]</f>
        <v>378.51279203507784</v>
      </c>
      <c r="U31" s="190">
        <f>1.76*Table_03[[#This Row],[ry (in)2]]*SQRT($B$4/Table_03[[#This Row],[Strength (ksi)]])/12</f>
        <v>8.5564792198562696</v>
      </c>
      <c r="V3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28.089531819069268</v>
      </c>
      <c r="W31" s="190">
        <f>Table_03[[#This Row],[Depth h (in)]]-Table_03[[#This Row],[Flange Thickness tf (in)]]</f>
        <v>8.5830000000000002</v>
      </c>
      <c r="X31" s="190">
        <f>(Table_03[[#This Row],[Static Parameters Moment of Inertia Iy (in4)]]*Table_03[[#This Row],[ho]]^2)/4</f>
        <v>1222.5878238951934</v>
      </c>
      <c r="Y31" s="190">
        <f>SQRT((SQRT(Table_03[[#This Row],[Static Parameters Moment of Inertia Iy (in4)]]*Table_03[[#This Row],[Cw*]])/Table_03[[#This Row],[Static Parameters Elastic Section Modulus Sx (in3)2]]))</f>
        <v>2.6952053153259605</v>
      </c>
      <c r="Z31" s="190">
        <f>(2*Table_03[[#This Row],[Width w (in)]]*Table_03[[#This Row],[Flange Thickness tf (in)]]^3/3)+((Table_03[[#This Row],[Depth h (in)]]-Table_03[[#This Row],[Flange Thickness tf (in)]]*2)*Table_03[[#This Row],[Web Thickness tw (in)]]^3)/3</f>
        <v>0.73180994424299994</v>
      </c>
      <c r="AA31" s="190">
        <f>Table_03[[#This Row],[Width w (in)]]*0.5/Table_03[[#This Row],[Flange Thickness tf (in)]]</f>
        <v>10.009533898305085</v>
      </c>
      <c r="AB31" s="190">
        <f>0.38*SQRT($B$4/Table_03[[#This Row],[Strength (ksi)]])</f>
        <v>9.1516118798821449</v>
      </c>
      <c r="AC31" s="190">
        <f>1*SQRT($B$4/Table_03[[#This Row],[Strength (ksi)]])</f>
        <v>24.083189157584592</v>
      </c>
      <c r="AD31" s="190">
        <f>(PI()^2*$B$4/(12*$B$5/Table_03[[#This Row],[rts]])^2)*SQRT(1+0.078*(Table_03[[#This Row],[J*]]/(Table_03[[#This Row],[Static Parameters Elastic Section Modulus Sx (in3)2]]*Table_03[[#This Row],[ho]])*$B$4/(12*$B$5/Table_03[[#This Row],[rts]])^2))</f>
        <v>285.10692937718767</v>
      </c>
      <c r="AE31" s="190">
        <f>0.69*$B$4/Table_03[[#This Row],[b/t]]^2</f>
        <v>199.71899834102794</v>
      </c>
      <c r="AF31" s="192">
        <f>Table_03[[#This Row],[Strength (ksi)]]*Table_03[[#This Row],[Static Parameters Plastic Section Modulus Zx (in3)]]</f>
        <v>2156.5725348874998</v>
      </c>
      <c r="AG31" s="190">
        <f>Table_03[[#This Row],[Mp (k-in)]]-(Table_03[[#This Row],[Mp (k-in)]]-0.7*Table_03[[#This Row],[Strength (ksi)]]*Table_03[[#This Row],[Static Parameters Elastic Section Modulus Sx (in3)2]])*((Table_03[[#This Row],[b/t]]-Table_03[[#This Row],[λpf]])/(Table_03[[#This Row],[λrf]]-Table_03[[#This Row],[λpf]]))</f>
        <v>2111.5299601256047</v>
      </c>
      <c r="AH31" s="193">
        <f>0.9*$B$4*Table_03[[#This Row],[kc]]*Table_03[[#This Row],[Static Parameters Elastic Section Modulus Sx (in3)2]]/Table_03[[#This Row],[b/t]]^2</f>
        <v>7376.1002449739681</v>
      </c>
      <c r="AI31" s="194" t="str">
        <f>IF(Table_03[[#This Row],[b/t]]&lt;Table_03[[#This Row],[λpf]],"Compact",IF(AND(Table_03[[#This Row],[b/t]]&gt;Table_03[[#This Row],[λpf]],Table_03[[#This Row],[λrf]]&gt;Table_03[[#This Row],[b/t]]),"Non-Compact","Slender"))</f>
        <v>Non-Compact</v>
      </c>
      <c r="AJ31" s="195">
        <f>IF(Table_03[[#This Row],[Controlling LBx]]="Compact",Table_03[[#This Row],[Mp (k-in)]],IF(Table_03[[#This Row],[Controlling LBx]]="Non-Compact",Table_03[[#This Row],[Mnlb,Non-Compact (k-in)]],IF(Table_03[[#This Row],[Controlling LBx]]="Slender",Table_03[[#This Row],[Mnlb,slender (k-in)]],"ERROR")))</f>
        <v>2111.5299601256047</v>
      </c>
      <c r="AK31" s="192">
        <f>Table_03[[#This Row],[Mp (k-in)]]-(Table_03[[#This Row],[Mp (k-in)]]-0.7*Table_03[[#This Row],[Strength (ksi)]]*Table_03[[#This Row],[Static Parameters Elastic Section Modulus Sx (in3)2]])*(($B$5-Table_03[[#This Row],[Lp (ft)]])/(Table_03[[#This Row],[Lr]]-Table_03[[#This Row],[Lp (ft)]]))</f>
        <v>2214.0233253728375</v>
      </c>
      <c r="AL31" s="196">
        <f>Table_03[[#This Row],[Fcrx]]*Table_03[[#This Row],[Static Parameters Elastic Section Modulus Sx (in3)2]]</f>
        <v>11181.369853745166</v>
      </c>
      <c r="AM31" s="197" t="str">
        <f>IF($B$5&lt;Table_03[[#This Row],[Lp (ft)]],"Yielding Controls",IF(AND($B$5&gt;Table_03[[#This Row],[Lp (ft)]],Table_03[[#This Row],[Lr]]&gt;$B$5),"Mltb,p Controls","Mltb,r Controls"))</f>
        <v>Yielding Controls</v>
      </c>
      <c r="AN31" s="198">
        <f>IF(Table_03[[#This Row],[Controlling LTB]]="Yielding Controls",Table_03[[#This Row],[Mp (k-in)]],IF(Table_03[[#This Row],[Controlling LTB]]="Mltb,p Controls",Table_03[[#This Row],[Mnltbp (k-in)]],IF(Table_03[[#This Row],[Controlling LTB]]="Mltb,r Controls",Table_03[[#This Row],[Mnltbr (k-in)]],"ERROR")))</f>
        <v>2156.5725348874998</v>
      </c>
      <c r="AO31" s="199">
        <f>MIN(Table_03[[#This Row],[Strength (ksi)]]*Table_03[[#This Row],[Static Parameters Plastic Section Modulus Zy (in3)]],1.6*Table_03[[#This Row],[Strength (ksi)]]*Table_03[[#This Row],[Static Parameters Elastic Section Modulus Sy (in3)3]])</f>
        <v>1062.3697389874999</v>
      </c>
      <c r="AP31" s="169">
        <f>MIN(Table_03[[#This Row],[Mny (k-in)]],Table_03[[#This Row],[Mny (k-in)]]-(Table_03[[#This Row],[Mny (k-in)]]-0.7*Table_03[[#This Row],[Static Parameters Elastic Section Modulus Sy (in3)3]]*Table_03[[#This Row],[Strength (ksi)]])*((Table_03[[#This Row],[b/t]]-Table_03[[#This Row],[λpf]])/(Table_03[[#This Row],[λrf]]-Table_03[[#This Row],[λpf]])))</f>
        <v>1029.5856318100639</v>
      </c>
      <c r="AQ31" s="196">
        <f>MIN(Table_03[[#This Row],[Mny (k-in)]],Table_03[[#This Row],[Fcry]]*Table_03[[#This Row],[Static Parameters Elastic Section Modulus Sy (in3)3]])</f>
        <v>1062.3697389874999</v>
      </c>
      <c r="AR31" s="197" t="str">
        <f>IF(Table_03[[#This Row],[b/t]]&lt;Table_03[[#This Row],[λpf]],"Compact",IF(AND(Table_03[[#This Row],[b/t]]&gt;Table_03[[#This Row],[λpf]],Table_03[[#This Row],[λrf]]&gt;Table_03[[#This Row],[b/t]]),"Non-Compact","Slender"))</f>
        <v>Non-Compact</v>
      </c>
      <c r="AS31" s="198">
        <f>IF(Table_03[[#This Row],[Controlling Lby]]="Compact",Table_03[[#This Row],[Mny (k-in)]],IF(Table_03[[#This Row],[Controlling Lby]]="Non-Compact",Table_03[[#This Row],[Mlby,Non-Compact (k-in)]],IF(Table_03[[#This Row],[Controlling Lby]]="Slender",Table_03[[#This Row],[Mlby,Slender (k-in)]],"ERROR")))</f>
        <v>1029.5856318100639</v>
      </c>
      <c r="AT31" s="199">
        <f>MIN(Table_03[[#This Row],[LBx]],Table_03[[#This Row],[LTB]],Table_03[[#This Row],[Mp (k-in)]])</f>
        <v>2111.5299601256047</v>
      </c>
      <c r="AU31" s="169">
        <f>Table_03[[#This Row],[Mp (k-in)]]</f>
        <v>2156.5725348874998</v>
      </c>
      <c r="AV31" s="169">
        <f>MIN(Table_03[[#This Row],[LBy]],Table_03[[#This Row],[Mny (k-in)]])</f>
        <v>1029.5856318100639</v>
      </c>
      <c r="AW31" s="200">
        <f>Table_03[[#This Row],[Mny (k-in)]]</f>
        <v>1062.3697389874999</v>
      </c>
      <c r="AX31" s="169"/>
      <c r="AY31" s="165">
        <f>IF(4/SQRT((Table_03[[#This Row],[Depth h (in)]]-Table_03[[#This Row],[Flange Thickness tf (in)]]*2)/Table_03[[#This Row],[Web Thickness tw (in)]])&lt;0.35,0.35,IF(4/SQRT(Table_03[[#This Row],[Depth h (in)]]/Table_03[[#This Row],[Web Thickness tw (in)]])&gt;0.76,0.76,4/SQRT(Table_03[[#This Row],[Depth h (in)]]/Table_03[[#This Row],[Web Thickness tw (in)]])))</f>
        <v>0.72198266803513034</v>
      </c>
      <c r="AZ31" s="169"/>
    </row>
    <row r="32" spans="1:52" ht="14.4" thickBot="1" x14ac:dyDescent="0.35">
      <c r="A32" s="201" t="s">
        <v>130</v>
      </c>
      <c r="B32" s="202">
        <f>B30-$B$3*2</f>
        <v>8.9749999999999996</v>
      </c>
      <c r="C32" s="202">
        <f>C30-$B$3*2</f>
        <v>9.3689999999999998</v>
      </c>
      <c r="D32" s="202">
        <f>D30-$B$3*2</f>
        <v>0.21499999999999997</v>
      </c>
      <c r="E32" s="202">
        <f>E30-$B$3*2</f>
        <v>0.39199999999999996</v>
      </c>
      <c r="F32" s="203">
        <f>2*Table_03[[#This Row],[Width w (in)]]*Table_03[[#This Row],[Flange Thickness tf (in)]]+Table_03[[#This Row],[Web Thickness tw (in)]]*(Table_03[[#This Row],[Depth h (in)]]-2*Table_03[[#This Row],[Flange Thickness tf (in)]])</f>
        <v>9.1063609999999997</v>
      </c>
      <c r="G32" s="204"/>
      <c r="H32"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145.21835656810342</v>
      </c>
      <c r="I32" s="203">
        <f>((Table_03[[#This Row],[Depth h (in)]]-2*Table_03[[#This Row],[Flange Thickness tf (in)]])*Table_03[[#This Row],[Web Thickness tw (in)]]^3/12+2*(Table_03[[#This Row],[Flange Thickness tf (in)]]*Table_03[[#This Row],[Width w (in)]]^3/12))</f>
        <v>53.736498342523404</v>
      </c>
      <c r="J32" s="203">
        <f>Table_03[[#This Row],[Width w (in)]]*Table_03[[#This Row],[Flange Thickness tf (in)]]*(Table_03[[#This Row],[Depth h (in)]]-Table_03[[#This Row],[Flange Thickness tf (in)]])+0.25*Table_03[[#This Row],[Web Thickness tw (in)]]*(Table_03[[#This Row],[Depth h (in)]]-2*Table_03[[#This Row],[Flange Thickness tf (in)]])^2</f>
        <v>35.128558637749997</v>
      </c>
      <c r="K32" s="203">
        <f>(Table_03[[#This Row],[Width w (in)]]^2*Table_03[[#This Row],[Flange Thickness tf (in)]])/2+0.25*Table_03[[#This Row],[Web Thickness tw (in)]]^2*(Table_03[[#This Row],[Depth h (in)]]-2*Table_03[[#This Row],[Flange Thickness tf (in)]])</f>
        <v>17.299176799749997</v>
      </c>
      <c r="L32" s="203">
        <f>Table_03[[#This Row],[Static Parameters Moment of Inertia Ix (in4)]]/(Table_03[[#This Row],[Depth h (in)]]/2)</f>
        <v>32.360636561137255</v>
      </c>
      <c r="M32" s="203">
        <f>Table_03[[#This Row],[Static Parameters Moment of Inertia Iy (in4)]]/(Table_03[[#This Row],[Width w (in)]]/2)</f>
        <v>11.471127834885987</v>
      </c>
      <c r="N32" s="205">
        <v>50</v>
      </c>
      <c r="O32" s="206">
        <f>SQRT(Table_03[[#This Row],[Static Parameters Moment of Inertia Ix (in4)]]/Table_03[[#This Row],[Sectional Area (in2)]])</f>
        <v>3.9933587483643551</v>
      </c>
      <c r="P32" s="203">
        <f>SQRT(Table_03[[#This Row],[Static Parameters Moment of Inertia Iy (in4)]]/Table_03[[#This Row],[Sectional Area (in2)]])</f>
        <v>2.4291942809726388</v>
      </c>
      <c r="Q32" s="203">
        <f>($B$6*$B$5*12)/Table_03[[#This Row],[ry (in)2]]</f>
        <v>73.91339647321621</v>
      </c>
      <c r="R32" s="203">
        <f>(PI()^2*$B$4)/(Table_03[[#This Row],[KL/ry]]^2)</f>
        <v>52.390365023963909</v>
      </c>
      <c r="S32" s="203">
        <f>IF(Table_03[[#This Row],[Strength (ksi)]]/Table_03[[#This Row],[Fe,y]]&lt;2.25,(0.658^(Table_03[[#This Row],[Strength (ksi)]]/Table_03[[#This Row],[Fe,y]])*Table_03[[#This Row],[Strength (ksi)]]),0.877*Table_03[[#This Row],[Fe,y]])</f>
        <v>33.534322069747802</v>
      </c>
      <c r="T32" s="203">
        <f>Table_03[[#This Row],[Fcr,y]]*Table_03[[#This Row],[Sectional Area (in2)]]</f>
        <v>305.37564265739064</v>
      </c>
      <c r="U32" s="203">
        <f>1.76*Table_03[[#This Row],[ry (in)2]]*SQRT($B$4/Table_03[[#This Row],[Strength (ksi)]])/12</f>
        <v>8.5804026541473899</v>
      </c>
      <c r="V3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25.18568327559397</v>
      </c>
      <c r="W32" s="203">
        <f>Table_03[[#This Row],[Depth h (in)]]-Table_03[[#This Row],[Flange Thickness tf (in)]]</f>
        <v>8.5830000000000002</v>
      </c>
      <c r="X32" s="203">
        <f>(Table_03[[#This Row],[Static Parameters Moment of Inertia Iy (in4)]]*Table_03[[#This Row],[ho]]^2)/4</f>
        <v>989.66359878642459</v>
      </c>
      <c r="Y32" s="203">
        <f>SQRT((SQRT(Table_03[[#This Row],[Static Parameters Moment of Inertia Iy (in4)]]*Table_03[[#This Row],[Cw*]])/Table_03[[#This Row],[Static Parameters Elastic Section Modulus Sx (in3)2]]))</f>
        <v>2.6695048356099003</v>
      </c>
      <c r="Z32" s="203">
        <f>(2*Table_03[[#This Row],[Width w (in)]]*Table_03[[#This Row],[Flange Thickness tf (in)]]^3/3)+((Table_03[[#This Row],[Depth h (in)]]-Table_03[[#This Row],[Flange Thickness tf (in)]]*2)*Table_03[[#This Row],[Web Thickness tw (in)]]^3)/3</f>
        <v>0.40337093138966645</v>
      </c>
      <c r="AA32" s="203">
        <f>Table_03[[#This Row],[Width w (in)]]*0.5/Table_03[[#This Row],[Flange Thickness tf (in)]]</f>
        <v>11.950255102040817</v>
      </c>
      <c r="AB32" s="203">
        <f>0.38*SQRT($B$4/Table_03[[#This Row],[Strength (ksi)]])</f>
        <v>9.1516118798821449</v>
      </c>
      <c r="AC32" s="203">
        <f>1*SQRT($B$4/Table_03[[#This Row],[Strength (ksi)]])</f>
        <v>24.083189157584592</v>
      </c>
      <c r="AD32" s="203">
        <f>(PI()^2*$B$4/(12*$B$5/Table_03[[#This Row],[rts]])^2)*SQRT(1+0.078*(Table_03[[#This Row],[J*]]/(Table_03[[#This Row],[Static Parameters Elastic Section Modulus Sx (in3)2]]*Table_03[[#This Row],[ho]])*$B$4/(12*$B$5/Table_03[[#This Row],[rts]])^2))</f>
        <v>279.46100098498681</v>
      </c>
      <c r="AE32" s="203">
        <f>0.69*$B$4/Table_03[[#This Row],[b/t]]^2</f>
        <v>140.11761490423567</v>
      </c>
      <c r="AF32" s="207">
        <f>Table_03[[#This Row],[Strength (ksi)]]*Table_03[[#This Row],[Static Parameters Plastic Section Modulus Zx (in3)]]</f>
        <v>1756.4279318874999</v>
      </c>
      <c r="AG32" s="203">
        <f>Table_03[[#This Row],[Mp (k-in)]]-(Table_03[[#This Row],[Mp (k-in)]]-0.7*Table_03[[#This Row],[Strength (ksi)]]*Table_03[[#This Row],[Static Parameters Elastic Section Modulus Sx (in3)2]])*((Table_03[[#This Row],[b/t]]-Table_03[[#This Row],[λpf]])/(Table_03[[#This Row],[λrf]]-Table_03[[#This Row],[λpf]]))</f>
        <v>1639.5072993154588</v>
      </c>
      <c r="AH32" s="208">
        <f>0.9*$B$4*Table_03[[#This Row],[kc]]*Table_03[[#This Row],[Static Parameters Elastic Section Modulus Sx (in3)2]]/Table_03[[#This Row],[b/t]]^2</f>
        <v>3661.5519766229863</v>
      </c>
      <c r="AI32" s="209" t="str">
        <f>IF(Table_03[[#This Row],[b/t]]&lt;Table_03[[#This Row],[λpf]],"Compact",IF(AND(Table_03[[#This Row],[b/t]]&gt;Table_03[[#This Row],[λpf]],Table_03[[#This Row],[λrf]]&gt;Table_03[[#This Row],[b/t]]),"Non-Compact","Slender"))</f>
        <v>Non-Compact</v>
      </c>
      <c r="AJ32" s="210">
        <f>IF(Table_03[[#This Row],[Controlling LBx]]="Compact",Table_03[[#This Row],[Mp (k-in)]],IF(Table_03[[#This Row],[Controlling LBx]]="Non-Compact",Table_03[[#This Row],[Mnlb,Non-Compact (k-in)]],IF(Table_03[[#This Row],[Controlling LBx]]="Slender",Table_03[[#This Row],[Mnlb,slender (k-in)]],"ERROR")))</f>
        <v>1639.5072993154588</v>
      </c>
      <c r="AK32" s="207">
        <f>Table_03[[#This Row],[Mp (k-in)]]-(Table_03[[#This Row],[Mp (k-in)]]-0.7*Table_03[[#This Row],[Strength (ksi)]]*Table_03[[#This Row],[Static Parameters Elastic Section Modulus Sx (in3)2]])*(($B$5-Table_03[[#This Row],[Lp (ft)]])/(Table_03[[#This Row],[Lr]]-Table_03[[#This Row],[Lp (ft)]]))</f>
        <v>1811.102611746921</v>
      </c>
      <c r="AL32" s="211">
        <f>Table_03[[#This Row],[Fcrx]]*Table_03[[#This Row],[Static Parameters Elastic Section Modulus Sx (in3)2]]</f>
        <v>9043.5358858867785</v>
      </c>
      <c r="AM32" s="212" t="str">
        <f>IF($B$5&lt;Table_03[[#This Row],[Lp (ft)]],"Yielding Controls",IF(AND($B$5&gt;Table_03[[#This Row],[Lp (ft)]],Table_03[[#This Row],[Lr]]&gt;$B$5),"Mltb,p Controls","Mltb,r Controls"))</f>
        <v>Yielding Controls</v>
      </c>
      <c r="AN32" s="213">
        <f>IF(Table_03[[#This Row],[Controlling LTB]]="Yielding Controls",Table_03[[#This Row],[Mp (k-in)]],IF(Table_03[[#This Row],[Controlling LTB]]="Mltb,p Controls",Table_03[[#This Row],[Mnltbp (k-in)]],IF(Table_03[[#This Row],[Controlling LTB]]="Mltb,r Controls",Table_03[[#This Row],[Mnltbr (k-in)]],"ERROR")))</f>
        <v>1756.4279318874999</v>
      </c>
      <c r="AO32" s="214">
        <f>MIN(Table_03[[#This Row],[Strength (ksi)]]*Table_03[[#This Row],[Static Parameters Plastic Section Modulus Zy (in3)]],1.6*Table_03[[#This Row],[Strength (ksi)]]*Table_03[[#This Row],[Static Parameters Elastic Section Modulus Sy (in3)3]])</f>
        <v>864.9588399874998</v>
      </c>
      <c r="AP32" s="206">
        <f>MIN(Table_03[[#This Row],[Mny (k-in)]],Table_03[[#This Row],[Mny (k-in)]]-(Table_03[[#This Row],[Mny (k-in)]]-0.7*Table_03[[#This Row],[Static Parameters Elastic Section Modulus Sy (in3)3]]*Table_03[[#This Row],[Strength (ksi)]])*((Table_03[[#This Row],[b/t]]-Table_03[[#This Row],[λpf]])/(Table_03[[#This Row],[λrf]]-Table_03[[#This Row],[λpf]])))</f>
        <v>778.09022757924981</v>
      </c>
      <c r="AQ32" s="211">
        <f>MIN(Table_03[[#This Row],[Mny (k-in)]],Table_03[[#This Row],[Fcry]]*Table_03[[#This Row],[Static Parameters Elastic Section Modulus Sy (in3)3]])</f>
        <v>864.9588399874998</v>
      </c>
      <c r="AR32" s="212" t="str">
        <f>IF(Table_03[[#This Row],[b/t]]&lt;Table_03[[#This Row],[λpf]],"Compact",IF(AND(Table_03[[#This Row],[b/t]]&gt;Table_03[[#This Row],[λpf]],Table_03[[#This Row],[λrf]]&gt;Table_03[[#This Row],[b/t]]),"Non-Compact","Slender"))</f>
        <v>Non-Compact</v>
      </c>
      <c r="AS32" s="213">
        <f>IF(Table_03[[#This Row],[Controlling Lby]]="Compact",Table_03[[#This Row],[Mny (k-in)]],IF(Table_03[[#This Row],[Controlling Lby]]="Non-Compact",Table_03[[#This Row],[Mlby,Non-Compact (k-in)]],IF(Table_03[[#This Row],[Controlling Lby]]="Slender",Table_03[[#This Row],[Mlby,Slender (k-in)]],"ERROR")))</f>
        <v>778.09022757924981</v>
      </c>
      <c r="AT32" s="214">
        <f>MIN(Table_03[[#This Row],[LBx]],Table_03[[#This Row],[LTB]],Table_03[[#This Row],[Mp (k-in)]])</f>
        <v>1639.5072993154588</v>
      </c>
      <c r="AU32" s="206">
        <f>Table_03[[#This Row],[Mp (k-in)]]</f>
        <v>1756.4279318874999</v>
      </c>
      <c r="AV32" s="206">
        <f>MIN(Table_03[[#This Row],[LBy]],Table_03[[#This Row],[Mny (k-in)]])</f>
        <v>778.09022757924981</v>
      </c>
      <c r="AW32" s="215">
        <f>Table_03[[#This Row],[Mny (k-in)]]</f>
        <v>864.9588399874998</v>
      </c>
      <c r="AX32" s="169"/>
      <c r="AY32" s="165">
        <f>IF(4/SQRT((Table_03[[#This Row],[Depth h (in)]]-Table_03[[#This Row],[Flange Thickness tf (in)]]*2)/Table_03[[#This Row],[Web Thickness tw (in)]])&lt;0.35,0.35,IF(4/SQRT(Table_03[[#This Row],[Depth h (in)]]/Table_03[[#This Row],[Web Thickness tw (in)]])&gt;0.76,0.76,4/SQRT(Table_03[[#This Row],[Depth h (in)]]/Table_03[[#This Row],[Web Thickness tw (in)]])))</f>
        <v>0.61910169445576091</v>
      </c>
      <c r="AZ32" s="169"/>
    </row>
    <row r="33" spans="1:52" x14ac:dyDescent="0.3">
      <c r="A33" s="179" t="s">
        <v>131</v>
      </c>
      <c r="B33" s="180">
        <v>5.4089999999999998</v>
      </c>
      <c r="C33" s="180">
        <v>2.8740000000000001</v>
      </c>
      <c r="D33" s="180">
        <v>0.15</v>
      </c>
      <c r="E33" s="180">
        <v>0.22</v>
      </c>
      <c r="F33" s="181">
        <v>2.0750000000000002</v>
      </c>
      <c r="G33" s="180"/>
      <c r="H33" s="180">
        <v>10.449</v>
      </c>
      <c r="I33" s="180">
        <v>0.875</v>
      </c>
      <c r="J33" s="181">
        <f>Table_03[[#This Row],[Width w (in)]]*Table_03[[#This Row],[Flange Thickness tf (in)]]*(Table_03[[#This Row],[Depth h (in)]]-Table_03[[#This Row],[Flange Thickness tf (in)]])+0.25*Table_03[[#This Row],[Web Thickness tw (in)]]*(Table_03[[#This Row],[Depth h (in)]]-2*Table_03[[#This Row],[Flange Thickness tf (in)]])^2</f>
        <v>4.2068119575000003</v>
      </c>
      <c r="K33" s="181">
        <f>(Table_03[[#This Row],[Width w (in)]]^2*Table_03[[#This Row],[Flange Thickness tf (in)]])/2+0.25*Table_03[[#This Row],[Web Thickness tw (in)]]^2*(Table_03[[#This Row],[Depth h (in)]]-2*Table_03[[#This Row],[Flange Thickness tf (in)]])</f>
        <v>0.93653698500000004</v>
      </c>
      <c r="L33" s="181">
        <v>3.863</v>
      </c>
      <c r="M33" s="181">
        <v>0.60899999999999999</v>
      </c>
      <c r="N33" s="182">
        <v>50</v>
      </c>
      <c r="O33" s="181">
        <f>SQRT(Table_03[[#This Row],[Static Parameters Moment of Inertia Ix (in4)]]/Table_03[[#This Row],[Sectional Area (in2)]])</f>
        <v>2.2440282196537567</v>
      </c>
      <c r="P33" s="181">
        <f>SQRT(Table_03[[#This Row],[Static Parameters Moment of Inertia Iy (in4)]]/Table_03[[#This Row],[Sectional Area (in2)]])</f>
        <v>0.64937411943189716</v>
      </c>
      <c r="Q33" s="181">
        <f>($B$6*$B$5*12)/Table_03[[#This Row],[ry (in)2]]</f>
        <v>276.4970063129075</v>
      </c>
      <c r="R33" s="181">
        <f>(PI()^2*$B$4)/(Table_03[[#This Row],[KL/ry]]^2)</f>
        <v>3.7438365195654737</v>
      </c>
      <c r="S33" s="181">
        <f>IF(Table_03[[#This Row],[Strength (ksi)]]/Table_03[[#This Row],[Fe,y]]&lt;2.25,(0.658^(Table_03[[#This Row],[Strength (ksi)]]/Table_03[[#This Row],[Fe,y]])*Table_03[[#This Row],[Strength (ksi)]]),0.877*Table_03[[#This Row],[Fe,y]])</f>
        <v>3.2833446276589204</v>
      </c>
      <c r="T33" s="181">
        <f>Table_03[[#This Row],[Fcr,y]]*Table_03[[#This Row],[Sectional Area (in2)]]</f>
        <v>6.8129401023922602</v>
      </c>
      <c r="U33" s="181">
        <f>1.76*Table_03[[#This Row],[ry (in)2]]*SQRT($B$4/Table_03[[#This Row],[Strength (ksi)]])/12</f>
        <v>2.2937199636733516</v>
      </c>
      <c r="V33"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7.0701422270057241</v>
      </c>
      <c r="W33" s="181">
        <f>Table_03[[#This Row],[Depth h (in)]]-Table_03[[#This Row],[Flange Thickness tf (in)]]</f>
        <v>5.1890000000000001</v>
      </c>
      <c r="X33" s="181">
        <f>(Table_03[[#This Row],[Static Parameters Moment of Inertia Iy (in4)]]*Table_03[[#This Row],[ho]]^2)/4</f>
        <v>5.8900014687499995</v>
      </c>
      <c r="Y33" s="181">
        <f>SQRT((SQRT(Table_03[[#This Row],[Static Parameters Moment of Inertia Iy (in4)]]*Table_03[[#This Row],[Cw*]])/Table_03[[#This Row],[Static Parameters Elastic Section Modulus Sx (in3)2]]))</f>
        <v>0.76659946168920556</v>
      </c>
      <c r="Z33" s="181">
        <f>(2*Table_03[[#This Row],[Width w (in)]]*Table_03[[#This Row],[Flange Thickness tf (in)]]^3/3)+((Table_03[[#This Row],[Depth h (in)]]-Table_03[[#This Row],[Flange Thickness tf (in)]]*2)*Table_03[[#This Row],[Web Thickness tw (in)]]^3)/3</f>
        <v>2.5991692999999996E-2</v>
      </c>
      <c r="AA33" s="181">
        <f>Table_03[[#This Row],[Width w (in)]]*0.5/Table_03[[#This Row],[Flange Thickness tf (in)]]</f>
        <v>6.5318181818181822</v>
      </c>
      <c r="AB33" s="181">
        <f>0.38*SQRT($B$4/Table_03[[#This Row],[Strength (ksi)]])</f>
        <v>9.1516118798821449</v>
      </c>
      <c r="AC33" s="181">
        <f>1*SQRT($B$4/Table_03[[#This Row],[Strength (ksi)]])</f>
        <v>24.083189157584592</v>
      </c>
      <c r="AD33" s="181">
        <f>(PI()^2*$B$4/(12*$B$5/Table_03[[#This Row],[rts]])^2)*SQRT(1+0.078*(Table_03[[#This Row],[J*]]/(Table_03[[#This Row],[Static Parameters Elastic Section Modulus Sx (in3)2]]*Table_03[[#This Row],[ho]])*$B$4/(12*$B$5/Table_03[[#This Row],[rts]])^2))</f>
        <v>23.0119662624064</v>
      </c>
      <c r="AE33" s="181">
        <f>0.69*$B$4/Table_03[[#This Row],[b/t]]^2</f>
        <v>469.00655651489188</v>
      </c>
      <c r="AF33" s="183">
        <f>Table_03[[#This Row],[Strength (ksi)]]*Table_03[[#This Row],[Static Parameters Plastic Section Modulus Zx (in3)]]</f>
        <v>210.34059787500001</v>
      </c>
      <c r="AG33" s="181">
        <f>Table_03[[#This Row],[Mp (k-in)]]-(Table_03[[#This Row],[Mp (k-in)]]-0.7*Table_03[[#This Row],[Strength (ksi)]]*Table_03[[#This Row],[Static Parameters Elastic Section Modulus Sx (in3)2]])*((Table_03[[#This Row],[b/t]]-Table_03[[#This Row],[λpf]])/(Table_03[[#This Row],[λrf]]-Table_03[[#This Row],[λpf]]))</f>
        <v>223.52338239617293</v>
      </c>
      <c r="AH33" s="184">
        <f>0.9*$B$4*Table_03[[#This Row],[kc]]*Table_03[[#This Row],[Static Parameters Elastic Section Modulus Sx (in3)2]]/Table_03[[#This Row],[b/t]]^2</f>
        <v>1574.1429584254836</v>
      </c>
      <c r="AI33" s="185" t="str">
        <f>IF(Table_03[[#This Row],[b/t]]&lt;Table_03[[#This Row],[λpf]],"Compact",IF(AND(Table_03[[#This Row],[b/t]]&gt;Table_03[[#This Row],[λpf]],Table_03[[#This Row],[λrf]]&gt;Table_03[[#This Row],[b/t]]),"Non-Compact","Slender"))</f>
        <v>Compact</v>
      </c>
      <c r="AJ33" s="186">
        <f>IF(Table_03[[#This Row],[Controlling LBx]]="Compact",Table_03[[#This Row],[Mp (k-in)]],IF(Table_03[[#This Row],[Controlling LBx]]="Non-Compact",Table_03[[#This Row],[Mnlb,Non-Compact (k-in)]],IF(Table_03[[#This Row],[Controlling LBx]]="Slender",Table_03[[#This Row],[Mnlb,slender (k-in)]],"ERROR")))</f>
        <v>210.34059787500001</v>
      </c>
      <c r="AK33" s="183">
        <f>Table_03[[#This Row],[Mp (k-in)]]-(Table_03[[#This Row],[Mp (k-in)]]-0.7*Table_03[[#This Row],[Strength (ksi)]]*Table_03[[#This Row],[Static Parameters Elastic Section Modulus Sx (in3)2]])*(($B$5-Table_03[[#This Row],[Lp (ft)]])/(Table_03[[#This Row],[Lr]]-Table_03[[#This Row],[Lp (ft)]]))</f>
        <v>134.3420587974062</v>
      </c>
      <c r="AL33" s="184">
        <f>Table_03[[#This Row],[Fcrx]]*Table_03[[#This Row],[Static Parameters Elastic Section Modulus Sx (in3)2]]</f>
        <v>88.895225671675917</v>
      </c>
      <c r="AM33" s="185" t="str">
        <f>IF($B$5&lt;Table_03[[#This Row],[Lp (ft)]],"Yielding Controls",IF(AND($B$5&gt;Table_03[[#This Row],[Lp (ft)]],Table_03[[#This Row],[Lr]]&gt;$B$5),"Mltb,p Controls","Mltb,r Controls"))</f>
        <v>Mltb,r Controls</v>
      </c>
      <c r="AN33" s="186">
        <f>IF(Table_03[[#This Row],[Controlling LTB]]="Yielding Controls",Table_03[[#This Row],[Mp (k-in)]],IF(Table_03[[#This Row],[Controlling LTB]]="Mltb,p Controls",Table_03[[#This Row],[Mnltbp (k-in)]],IF(Table_03[[#This Row],[Controlling LTB]]="Mltb,r Controls",Table_03[[#This Row],[Mnltbr (k-in)]],"ERROR")))</f>
        <v>88.895225671675917</v>
      </c>
      <c r="AO33" s="183">
        <f>MIN(Table_03[[#This Row],[Strength (ksi)]]*Table_03[[#This Row],[Static Parameters Plastic Section Modulus Zy (in3)]],1.6*Table_03[[#This Row],[Strength (ksi)]]*Table_03[[#This Row],[Static Parameters Elastic Section Modulus Sy (in3)3]])</f>
        <v>46.826849250000002</v>
      </c>
      <c r="AP33" s="181">
        <f>MIN(Table_03[[#This Row],[Mny (k-in)]],Table_03[[#This Row],[Mny (k-in)]]-(Table_03[[#This Row],[Mny (k-in)]]-0.7*Table_03[[#This Row],[Static Parameters Elastic Section Modulus Sy (in3)3]]*Table_03[[#This Row],[Strength (ksi)]])*((Table_03[[#This Row],[b/t]]-Table_03[[#This Row],[λpf]])/(Table_03[[#This Row],[λrf]]-Table_03[[#This Row],[λpf]])))</f>
        <v>46.826849250000002</v>
      </c>
      <c r="AQ33" s="184">
        <f>MIN(Table_03[[#This Row],[Mny (k-in)]],Table_03[[#This Row],[Fcry]]*Table_03[[#This Row],[Static Parameters Elastic Section Modulus Sy (in3)3]])</f>
        <v>46.826849250000002</v>
      </c>
      <c r="AR33" s="185" t="str">
        <f>IF(Table_03[[#This Row],[b/t]]&lt;Table_03[[#This Row],[λpf]],"Compact",IF(AND(Table_03[[#This Row],[b/t]]&gt;Table_03[[#This Row],[λpf]],Table_03[[#This Row],[λrf]]&gt;Table_03[[#This Row],[b/t]]),"Non-Compact","Slender"))</f>
        <v>Compact</v>
      </c>
      <c r="AS33" s="186">
        <f>IF(Table_03[[#This Row],[Controlling Lby]]="Compact",Table_03[[#This Row],[Mny (k-in)]],IF(Table_03[[#This Row],[Controlling Lby]]="Non-Compact",Table_03[[#This Row],[Mlby,Non-Compact (k-in)]],IF(Table_03[[#This Row],[Controlling Lby]]="Slender",Table_03[[#This Row],[Mlby,Slender (k-in)]],"ERROR")))</f>
        <v>46.826849250000002</v>
      </c>
      <c r="AT33" s="183">
        <f>MIN(Table_03[[#This Row],[LBx]],Table_03[[#This Row],[LTB]],Table_03[[#This Row],[Mp (k-in)]])</f>
        <v>88.895225671675917</v>
      </c>
      <c r="AU33" s="181">
        <f>Table_03[[#This Row],[Mp (k-in)]]</f>
        <v>210.34059787500001</v>
      </c>
      <c r="AV33" s="181">
        <f>MIN(Table_03[[#This Row],[LBy]],Table_03[[#This Row],[Mny (k-in)]])</f>
        <v>46.826849250000002</v>
      </c>
      <c r="AW33" s="187">
        <f>Table_03[[#This Row],[Mny (k-in)]]</f>
        <v>46.826849250000002</v>
      </c>
      <c r="AX33" s="169"/>
      <c r="AY33" s="165">
        <f>IF(4/SQRT((Table_03[[#This Row],[Depth h (in)]]-Table_03[[#This Row],[Flange Thickness tf (in)]]*2)/Table_03[[#This Row],[Web Thickness tw (in)]])&lt;0.35,0.35,IF(4/SQRT(Table_03[[#This Row],[Depth h (in)]]/Table_03[[#This Row],[Web Thickness tw (in)]])&gt;0.76,0.76,4/SQRT(Table_03[[#This Row],[Depth h (in)]]/Table_03[[#This Row],[Web Thickness tw (in)]])))</f>
        <v>0.66611180459245378</v>
      </c>
      <c r="AZ33" s="169"/>
    </row>
    <row r="34" spans="1:52" x14ac:dyDescent="0.3">
      <c r="A34" s="188" t="s">
        <v>132</v>
      </c>
      <c r="B34" s="189">
        <f>B33-$B$1*2</f>
        <v>5.4089999999999998</v>
      </c>
      <c r="C34" s="189">
        <f>C33-$B$1*2</f>
        <v>2.8740000000000001</v>
      </c>
      <c r="D34" s="189">
        <f>D33-$B$1*2</f>
        <v>0.15</v>
      </c>
      <c r="E34" s="189">
        <f>E33-$B$1*2</f>
        <v>0.22</v>
      </c>
      <c r="F34" s="190">
        <f>2*Table_03[[#This Row],[Width w (in)]]*Table_03[[#This Row],[Flange Thickness tf (in)]]+Table_03[[#This Row],[Web Thickness tw (in)]]*(Table_03[[#This Row],[Depth h (in)]]-2*Table_03[[#This Row],[Flange Thickness tf (in)]])</f>
        <v>2.0099100000000001</v>
      </c>
      <c r="G34" s="189"/>
      <c r="H34"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10.051015144052499</v>
      </c>
      <c r="I34" s="190">
        <f>((Table_03[[#This Row],[Depth h (in)]]-2*Table_03[[#This Row],[Flange Thickness tf (in)]])*Table_03[[#This Row],[Web Thickness tw (in)]]^3/12+2*(Table_03[[#This Row],[Flange Thickness tf (in)]]*Table_03[[#This Row],[Width w (in)]]^3/12))</f>
        <v>0.87182326413000011</v>
      </c>
      <c r="J34" s="190">
        <f>Table_03[[#This Row],[Width w (in)]]*Table_03[[#This Row],[Flange Thickness tf (in)]]*(Table_03[[#This Row],[Depth h (in)]]-Table_03[[#This Row],[Flange Thickness tf (in)]])+0.25*Table_03[[#This Row],[Web Thickness tw (in)]]*(Table_03[[#This Row],[Depth h (in)]]-2*Table_03[[#This Row],[Flange Thickness tf (in)]])^2</f>
        <v>4.2068119575000003</v>
      </c>
      <c r="K34" s="190">
        <f>(Table_03[[#This Row],[Width w (in)]]^2*Table_03[[#This Row],[Flange Thickness tf (in)]])/2+0.25*Table_03[[#This Row],[Web Thickness tw (in)]]^2*(Table_03[[#This Row],[Depth h (in)]]-2*Table_03[[#This Row],[Flange Thickness tf (in)]])</f>
        <v>0.93653698500000004</v>
      </c>
      <c r="L34" s="190">
        <f>Table_03[[#This Row],[Static Parameters Moment of Inertia Ix (in4)]]/(Table_03[[#This Row],[Depth h (in)]]/2)</f>
        <v>3.7164041945100759</v>
      </c>
      <c r="M34" s="190">
        <f>Table_03[[#This Row],[Static Parameters Moment of Inertia Iy (in4)]]/(Table_03[[#This Row],[Width w (in)]]/2)</f>
        <v>0.60669677392484345</v>
      </c>
      <c r="N34" s="191">
        <v>50</v>
      </c>
      <c r="O34" s="169">
        <f>SQRT(Table_03[[#This Row],[Static Parameters Moment of Inertia Ix (in4)]]/Table_03[[#This Row],[Sectional Area (in2)]])</f>
        <v>2.2362309719770237</v>
      </c>
      <c r="P34" s="190">
        <f>SQRT(Table_03[[#This Row],[Static Parameters Moment of Inertia Iy (in4)]]/Table_03[[#This Row],[Sectional Area (in2)]])</f>
        <v>0.65860636170016273</v>
      </c>
      <c r="Q34" s="190">
        <f>($B$6*$B$5*12)/Table_03[[#This Row],[ry (in)2]]</f>
        <v>272.62111397846166</v>
      </c>
      <c r="R34" s="190">
        <f>(PI()^2*$B$4)/(Table_03[[#This Row],[KL/ry]]^2)</f>
        <v>3.8510465402943215</v>
      </c>
      <c r="S34" s="190">
        <f>IF(Table_03[[#This Row],[Strength (ksi)]]/Table_03[[#This Row],[Fe,y]]&lt;2.25,(0.658^(Table_03[[#This Row],[Strength (ksi)]]/Table_03[[#This Row],[Fe,y]])*Table_03[[#This Row],[Strength (ksi)]]),0.877*Table_03[[#This Row],[Fe,y]])</f>
        <v>3.3773678158381197</v>
      </c>
      <c r="T34" s="190">
        <f>Table_03[[#This Row],[Fcr,y]]*Table_03[[#This Row],[Sectional Area (in2)]]</f>
        <v>6.7882053467311954</v>
      </c>
      <c r="U34" s="190">
        <f>1.76*Table_03[[#This Row],[ry (in)2]]*SQRT($B$4/Table_03[[#This Row],[Strength (ksi)]])/12</f>
        <v>2.3263300997513272</v>
      </c>
      <c r="V3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7.249381033729609</v>
      </c>
      <c r="W34" s="190">
        <f>Table_03[[#This Row],[Depth h (in)]]-Table_03[[#This Row],[Flange Thickness tf (in)]]</f>
        <v>5.1890000000000001</v>
      </c>
      <c r="X34" s="190">
        <f>(Table_03[[#This Row],[Static Parameters Moment of Inertia Iy (in4)]]*Table_03[[#This Row],[ho]]^2)/4</f>
        <v>5.8686174928184229</v>
      </c>
      <c r="Y34" s="190">
        <f>SQRT((SQRT(Table_03[[#This Row],[Static Parameters Moment of Inertia Iy (in4)]]*Table_03[[#This Row],[Cw*]])/Table_03[[#This Row],[Static Parameters Elastic Section Modulus Sx (in3)2]]))</f>
        <v>0.78015266001067707</v>
      </c>
      <c r="Z34" s="190">
        <f>(2*Table_03[[#This Row],[Width w (in)]]*Table_03[[#This Row],[Flange Thickness tf (in)]]^3/3)+((Table_03[[#This Row],[Depth h (in)]]-Table_03[[#This Row],[Flange Thickness tf (in)]]*2)*Table_03[[#This Row],[Web Thickness tw (in)]]^3)/3</f>
        <v>2.5991692999999996E-2</v>
      </c>
      <c r="AA34" s="190">
        <f>Table_03[[#This Row],[Width w (in)]]*0.5/Table_03[[#This Row],[Flange Thickness tf (in)]]</f>
        <v>6.5318181818181822</v>
      </c>
      <c r="AB34" s="190">
        <f>0.38*SQRT($B$4/Table_03[[#This Row],[Strength (ksi)]])</f>
        <v>9.1516118798821449</v>
      </c>
      <c r="AC34" s="190">
        <f>1*SQRT($B$4/Table_03[[#This Row],[Strength (ksi)]])</f>
        <v>24.083189157584592</v>
      </c>
      <c r="AD34" s="190">
        <f>(PI()^2*$B$4/(12*$B$5/Table_03[[#This Row],[rts]])^2)*SQRT(1+0.078*(Table_03[[#This Row],[J*]]/(Table_03[[#This Row],[Static Parameters Elastic Section Modulus Sx (in3)2]]*Table_03[[#This Row],[ho]])*$B$4/(12*$B$5/Table_03[[#This Row],[rts]])^2))</f>
        <v>23.83306037188337</v>
      </c>
      <c r="AE34" s="190">
        <f>0.69*$B$4/Table_03[[#This Row],[b/t]]^2</f>
        <v>469.00655651489188</v>
      </c>
      <c r="AF34" s="192">
        <f>Table_03[[#This Row],[Strength (ksi)]]*Table_03[[#This Row],[Static Parameters Plastic Section Modulus Zx (in3)]]</f>
        <v>210.34059787500001</v>
      </c>
      <c r="AG34" s="190">
        <f>Table_03[[#This Row],[Mp (k-in)]]-(Table_03[[#This Row],[Mp (k-in)]]-0.7*Table_03[[#This Row],[Strength (ksi)]]*Table_03[[#This Row],[Static Parameters Elastic Section Modulus Sx (in3)2]])*((Table_03[[#This Row],[b/t]]-Table_03[[#This Row],[λpf]])/(Table_03[[#This Row],[λrf]]-Table_03[[#This Row],[λpf]]))</f>
        <v>224.42360724238205</v>
      </c>
      <c r="AH34" s="193">
        <f>0.9*$B$4*Table_03[[#This Row],[kc]]*Table_03[[#This Row],[Static Parameters Elastic Section Modulus Sx (in3)2]]/Table_03[[#This Row],[b/t]]^2</f>
        <v>1514.4062887525156</v>
      </c>
      <c r="AI34" s="194" t="str">
        <f>IF(Table_03[[#This Row],[b/t]]&lt;Table_03[[#This Row],[λpf]],"Compact",IF(AND(Table_03[[#This Row],[b/t]]&gt;Table_03[[#This Row],[λpf]],Table_03[[#This Row],[λrf]]&gt;Table_03[[#This Row],[b/t]]),"Non-Compact","Slender"))</f>
        <v>Compact</v>
      </c>
      <c r="AJ34" s="195">
        <f>IF(Table_03[[#This Row],[Controlling LBx]]="Compact",Table_03[[#This Row],[Mp (k-in)]],IF(Table_03[[#This Row],[Controlling LBx]]="Non-Compact",Table_03[[#This Row],[Mnlb,Non-Compact (k-in)]],IF(Table_03[[#This Row],[Controlling LBx]]="Slender",Table_03[[#This Row],[Mnlb,slender (k-in)]],"ERROR")))</f>
        <v>210.34059787500001</v>
      </c>
      <c r="AK34" s="192">
        <f>Table_03[[#This Row],[Mp (k-in)]]-(Table_03[[#This Row],[Mp (k-in)]]-0.7*Table_03[[#This Row],[Strength (ksi)]]*Table_03[[#This Row],[Static Parameters Elastic Section Modulus Sx (in3)2]])*(($B$5-Table_03[[#This Row],[Lp (ft)]])/(Table_03[[#This Row],[Lr]]-Table_03[[#This Row],[Lp (ft)]]))</f>
        <v>132.10208117039056</v>
      </c>
      <c r="AL34" s="196">
        <f>Table_03[[#This Row],[Fcrx]]*Table_03[[#This Row],[Static Parameters Elastic Section Modulus Sx (in3)2]]</f>
        <v>88.573285534079218</v>
      </c>
      <c r="AM34" s="197" t="str">
        <f>IF($B$5&lt;Table_03[[#This Row],[Lp (ft)]],"Yielding Controls",IF(AND($B$5&gt;Table_03[[#This Row],[Lp (ft)]],Table_03[[#This Row],[Lr]]&gt;$B$5),"Mltb,p Controls","Mltb,r Controls"))</f>
        <v>Mltb,p Controls</v>
      </c>
      <c r="AN34" s="198">
        <f>IF(Table_03[[#This Row],[Controlling LTB]]="Yielding Controls",Table_03[[#This Row],[Mp (k-in)]],IF(Table_03[[#This Row],[Controlling LTB]]="Mltb,p Controls",Table_03[[#This Row],[Mnltbp (k-in)]],IF(Table_03[[#This Row],[Controlling LTB]]="Mltb,r Controls",Table_03[[#This Row],[Mnltbr (k-in)]],"ERROR")))</f>
        <v>132.10208117039056</v>
      </c>
      <c r="AO34" s="199">
        <f>MIN(Table_03[[#This Row],[Strength (ksi)]]*Table_03[[#This Row],[Static Parameters Plastic Section Modulus Zy (in3)]],1.6*Table_03[[#This Row],[Strength (ksi)]]*Table_03[[#This Row],[Static Parameters Elastic Section Modulus Sy (in3)3]])</f>
        <v>46.826849250000002</v>
      </c>
      <c r="AP34" s="169">
        <f>MIN(Table_03[[#This Row],[Mny (k-in)]],Table_03[[#This Row],[Mny (k-in)]]-(Table_03[[#This Row],[Mny (k-in)]]-0.7*Table_03[[#This Row],[Static Parameters Elastic Section Modulus Sy (in3)3]]*Table_03[[#This Row],[Strength (ksi)]])*((Table_03[[#This Row],[b/t]]-Table_03[[#This Row],[λpf]])/(Table_03[[#This Row],[λrf]]-Table_03[[#This Row],[λpf]])))</f>
        <v>46.826849250000002</v>
      </c>
      <c r="AQ34" s="196">
        <f>MIN(Table_03[[#This Row],[Mny (k-in)]],Table_03[[#This Row],[Fcry]]*Table_03[[#This Row],[Static Parameters Elastic Section Modulus Sy (in3)3]])</f>
        <v>46.826849250000002</v>
      </c>
      <c r="AR34" s="197" t="str">
        <f>IF(Table_03[[#This Row],[b/t]]&lt;Table_03[[#This Row],[λpf]],"Compact",IF(AND(Table_03[[#This Row],[b/t]]&gt;Table_03[[#This Row],[λpf]],Table_03[[#This Row],[λrf]]&gt;Table_03[[#This Row],[b/t]]),"Non-Compact","Slender"))</f>
        <v>Compact</v>
      </c>
      <c r="AS34" s="198">
        <f>IF(Table_03[[#This Row],[Controlling Lby]]="Compact",Table_03[[#This Row],[Mny (k-in)]],IF(Table_03[[#This Row],[Controlling Lby]]="Non-Compact",Table_03[[#This Row],[Mlby,Non-Compact (k-in)]],IF(Table_03[[#This Row],[Controlling Lby]]="Slender",Table_03[[#This Row],[Mlby,Slender (k-in)]],"ERROR")))</f>
        <v>46.826849250000002</v>
      </c>
      <c r="AT34" s="199">
        <f>MIN(Table_03[[#This Row],[LBx]],Table_03[[#This Row],[LTB]],Table_03[[#This Row],[Mp (k-in)]])</f>
        <v>132.10208117039056</v>
      </c>
      <c r="AU34" s="169">
        <f>Table_03[[#This Row],[Mp (k-in)]]</f>
        <v>210.34059787500001</v>
      </c>
      <c r="AV34" s="169">
        <f>MIN(Table_03[[#This Row],[LBy]],Table_03[[#This Row],[Mny (k-in)]])</f>
        <v>46.826849250000002</v>
      </c>
      <c r="AW34" s="200">
        <f>Table_03[[#This Row],[Mny (k-in)]]</f>
        <v>46.826849250000002</v>
      </c>
      <c r="AX34" s="169"/>
      <c r="AY34" s="165">
        <f>IF(4/SQRT((Table_03[[#This Row],[Depth h (in)]]-Table_03[[#This Row],[Flange Thickness tf (in)]]*2)/Table_03[[#This Row],[Web Thickness tw (in)]])&lt;0.35,0.35,IF(4/SQRT(Table_03[[#This Row],[Depth h (in)]]/Table_03[[#This Row],[Web Thickness tw (in)]])&gt;0.76,0.76,4/SQRT(Table_03[[#This Row],[Depth h (in)]]/Table_03[[#This Row],[Web Thickness tw (in)]])))</f>
        <v>0.66611180459245378</v>
      </c>
      <c r="AZ34" s="169"/>
    </row>
    <row r="35" spans="1:52" ht="14.4" thickBot="1" x14ac:dyDescent="0.35">
      <c r="A35" s="201" t="s">
        <v>133</v>
      </c>
      <c r="B35" s="202">
        <f>B33-$B$3*2</f>
        <v>5.3289999999999997</v>
      </c>
      <c r="C35" s="202">
        <f>C33-$B$3*2</f>
        <v>2.794</v>
      </c>
      <c r="D35" s="202">
        <f>D33-$B$3*2</f>
        <v>6.9999999999999993E-2</v>
      </c>
      <c r="E35" s="202">
        <f>E33-$B$3*2</f>
        <v>0.14000000000000001</v>
      </c>
      <c r="F35" s="203">
        <f>2*Table_03[[#This Row],[Width w (in)]]*Table_03[[#This Row],[Flange Thickness tf (in)]]+Table_03[[#This Row],[Web Thickness tw (in)]]*(Table_03[[#This Row],[Depth h (in)]]-2*Table_03[[#This Row],[Flange Thickness tf (in)]])</f>
        <v>1.13575</v>
      </c>
      <c r="G35" s="204"/>
      <c r="H35"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6.0182252429658334</v>
      </c>
      <c r="I35" s="203">
        <f>((Table_03[[#This Row],[Depth h (in)]]-2*Table_03[[#This Row],[Flange Thickness tf (in)]])*Table_03[[#This Row],[Web Thickness tw (in)]]^3/12+2*(Table_03[[#This Row],[Flange Thickness tf (in)]]*Table_03[[#This Row],[Width w (in)]]^3/12))</f>
        <v>0.50907190154333348</v>
      </c>
      <c r="J35" s="203">
        <f>Table_03[[#This Row],[Width w (in)]]*Table_03[[#This Row],[Flange Thickness tf (in)]]*(Table_03[[#This Row],[Depth h (in)]]-Table_03[[#This Row],[Flange Thickness tf (in)]])+0.25*Table_03[[#This Row],[Web Thickness tw (in)]]*(Table_03[[#This Row],[Depth h (in)]]-2*Table_03[[#This Row],[Flange Thickness tf (in)]])^2</f>
        <v>2.4758462575000002</v>
      </c>
      <c r="K35" s="203">
        <f>(Table_03[[#This Row],[Width w (in)]]^2*Table_03[[#This Row],[Flange Thickness tf (in)]])/2+0.25*Table_03[[#This Row],[Web Thickness tw (in)]]^2*(Table_03[[#This Row],[Depth h (in)]]-2*Table_03[[#This Row],[Flange Thickness tf (in)]])</f>
        <v>0.55263554500000001</v>
      </c>
      <c r="L35" s="203">
        <f>Table_03[[#This Row],[Static Parameters Moment of Inertia Ix (in4)]]/(Table_03[[#This Row],[Depth h (in)]]/2)</f>
        <v>2.2586696351907802</v>
      </c>
      <c r="M35" s="203">
        <f>Table_03[[#This Row],[Static Parameters Moment of Inertia Iy (in4)]]/(Table_03[[#This Row],[Width w (in)]]/2)</f>
        <v>0.36440365178477702</v>
      </c>
      <c r="N35" s="205">
        <v>50</v>
      </c>
      <c r="O35" s="206">
        <f>SQRT(Table_03[[#This Row],[Static Parameters Moment of Inertia Ix (in4)]]/Table_03[[#This Row],[Sectional Area (in2)]])</f>
        <v>2.3019338868882659</v>
      </c>
      <c r="P35" s="203">
        <f>SQRT(Table_03[[#This Row],[Static Parameters Moment of Inertia Iy (in4)]]/Table_03[[#This Row],[Sectional Area (in2)]])</f>
        <v>0.66949631442469393</v>
      </c>
      <c r="Q35" s="203">
        <f>($B$6*$B$5*12)/Table_03[[#This Row],[ry (in)2]]</f>
        <v>268.18668920424074</v>
      </c>
      <c r="R35" s="203">
        <f>(PI()^2*$B$4)/(Table_03[[#This Row],[KL/ry]]^2)</f>
        <v>3.9794523194831193</v>
      </c>
      <c r="S35" s="203">
        <f>IF(Table_03[[#This Row],[Strength (ksi)]]/Table_03[[#This Row],[Fe,y]]&lt;2.25,(0.658^(Table_03[[#This Row],[Strength (ksi)]]/Table_03[[#This Row],[Fe,y]])*Table_03[[#This Row],[Strength (ksi)]]),0.877*Table_03[[#This Row],[Fe,y]])</f>
        <v>3.4899796841866957</v>
      </c>
      <c r="T35" s="203">
        <f>Table_03[[#This Row],[Fcr,y]]*Table_03[[#This Row],[Sectional Area (in2)]]</f>
        <v>3.9637444263150399</v>
      </c>
      <c r="U35" s="203">
        <f>1.76*Table_03[[#This Row],[ry (in)2]]*SQRT($B$4/Table_03[[#This Row],[Strength (ksi)]])/12</f>
        <v>2.36479560248736</v>
      </c>
      <c r="V3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6.2294429422299151</v>
      </c>
      <c r="W35" s="203">
        <f>Table_03[[#This Row],[Depth h (in)]]-Table_03[[#This Row],[Flange Thickness tf (in)]]</f>
        <v>5.1890000000000001</v>
      </c>
      <c r="X35" s="203">
        <f>(Table_03[[#This Row],[Static Parameters Moment of Inertia Iy (in4)]]*Table_03[[#This Row],[ho]]^2)/4</f>
        <v>3.4267819974738165</v>
      </c>
      <c r="Y35" s="203">
        <f>SQRT((SQRT(Table_03[[#This Row],[Static Parameters Moment of Inertia Iy (in4)]]*Table_03[[#This Row],[Cw*]])/Table_03[[#This Row],[Static Parameters Elastic Section Modulus Sx (in3)2]]))</f>
        <v>0.76469815811471764</v>
      </c>
      <c r="Z35" s="203">
        <f>(2*Table_03[[#This Row],[Width w (in)]]*Table_03[[#This Row],[Flange Thickness tf (in)]]^3/3)+((Table_03[[#This Row],[Depth h (in)]]-Table_03[[#This Row],[Flange Thickness tf (in)]]*2)*Table_03[[#This Row],[Web Thickness tw (in)]]^3)/3</f>
        <v>5.6884263333333348E-3</v>
      </c>
      <c r="AA35" s="203">
        <f>Table_03[[#This Row],[Width w (in)]]*0.5/Table_03[[#This Row],[Flange Thickness tf (in)]]</f>
        <v>9.9785714285714278</v>
      </c>
      <c r="AB35" s="203">
        <f>0.38*SQRT($B$4/Table_03[[#This Row],[Strength (ksi)]])</f>
        <v>9.1516118798821449</v>
      </c>
      <c r="AC35" s="203">
        <f>1*SQRT($B$4/Table_03[[#This Row],[Strength (ksi)]])</f>
        <v>24.083189157584592</v>
      </c>
      <c r="AD35" s="203">
        <f>(PI()^2*$B$4/(12*$B$5/Table_03[[#This Row],[rts]])^2)*SQRT(1+0.078*(Table_03[[#This Row],[J*]]/(Table_03[[#This Row],[Static Parameters Elastic Section Modulus Sx (in3)2]]*Table_03[[#This Row],[ho]])*$B$4/(12*$B$5/Table_03[[#This Row],[rts]])^2))</f>
        <v>22.896266492120869</v>
      </c>
      <c r="AE35" s="203">
        <f>0.69*$B$4/Table_03[[#This Row],[b/t]]^2</f>
        <v>200.96033580496916</v>
      </c>
      <c r="AF35" s="207">
        <f>Table_03[[#This Row],[Strength (ksi)]]*Table_03[[#This Row],[Static Parameters Plastic Section Modulus Zx (in3)]]</f>
        <v>123.79231287500001</v>
      </c>
      <c r="AG35" s="203">
        <f>Table_03[[#This Row],[Mp (k-in)]]-(Table_03[[#This Row],[Mp (k-in)]]-0.7*Table_03[[#This Row],[Strength (ksi)]]*Table_03[[#This Row],[Static Parameters Elastic Section Modulus Sx (in3)2]])*((Table_03[[#This Row],[b/t]]-Table_03[[#This Row],[λpf]])/(Table_03[[#This Row],[λrf]]-Table_03[[#This Row],[λpf]]))</f>
        <v>121.31452772727039</v>
      </c>
      <c r="AH35" s="208">
        <f>0.9*$B$4*Table_03[[#This Row],[kc]]*Table_03[[#This Row],[Static Parameters Elastic Section Modulus Sx (in3)2]]/Table_03[[#This Row],[b/t]]^2</f>
        <v>271.42049054346467</v>
      </c>
      <c r="AI35" s="209" t="str">
        <f>IF(Table_03[[#This Row],[b/t]]&lt;Table_03[[#This Row],[λpf]],"Compact",IF(AND(Table_03[[#This Row],[b/t]]&gt;Table_03[[#This Row],[λpf]],Table_03[[#This Row],[λrf]]&gt;Table_03[[#This Row],[b/t]]),"Non-Compact","Slender"))</f>
        <v>Non-Compact</v>
      </c>
      <c r="AJ35" s="210">
        <f>IF(Table_03[[#This Row],[Controlling LBx]]="Compact",Table_03[[#This Row],[Mp (k-in)]],IF(Table_03[[#This Row],[Controlling LBx]]="Non-Compact",Table_03[[#This Row],[Mnlb,Non-Compact (k-in)]],IF(Table_03[[#This Row],[Controlling LBx]]="Slender",Table_03[[#This Row],[Mnlb,slender (k-in)]],"ERROR")))</f>
        <v>121.31452772727039</v>
      </c>
      <c r="AK35" s="207">
        <f>Table_03[[#This Row],[Mp (k-in)]]-(Table_03[[#This Row],[Mp (k-in)]]-0.7*Table_03[[#This Row],[Strength (ksi)]]*Table_03[[#This Row],[Static Parameters Elastic Section Modulus Sx (in3)2]])*(($B$5-Table_03[[#This Row],[Lp (ft)]])/(Table_03[[#This Row],[Lr]]-Table_03[[#This Row],[Lp (ft)]]))</f>
        <v>68.686070608842115</v>
      </c>
      <c r="AL35" s="211">
        <f>Table_03[[#This Row],[Fcrx]]*Table_03[[#This Row],[Static Parameters Elastic Section Modulus Sx (in3)2]]</f>
        <v>51.715101884989529</v>
      </c>
      <c r="AM35" s="212" t="str">
        <f>IF($B$5&lt;Table_03[[#This Row],[Lp (ft)]],"Yielding Controls",IF(AND($B$5&gt;Table_03[[#This Row],[Lp (ft)]],Table_03[[#This Row],[Lr]]&gt;$B$5),"Mltb,p Controls","Mltb,r Controls"))</f>
        <v>Mltb,r Controls</v>
      </c>
      <c r="AN35" s="213">
        <f>IF(Table_03[[#This Row],[Controlling LTB]]="Yielding Controls",Table_03[[#This Row],[Mp (k-in)]],IF(Table_03[[#This Row],[Controlling LTB]]="Mltb,p Controls",Table_03[[#This Row],[Mnltbp (k-in)]],IF(Table_03[[#This Row],[Controlling LTB]]="Mltb,r Controls",Table_03[[#This Row],[Mnltbr (k-in)]],"ERROR")))</f>
        <v>51.715101884989529</v>
      </c>
      <c r="AO35" s="214">
        <f>MIN(Table_03[[#This Row],[Strength (ksi)]]*Table_03[[#This Row],[Static Parameters Plastic Section Modulus Zy (in3)]],1.6*Table_03[[#This Row],[Strength (ksi)]]*Table_03[[#This Row],[Static Parameters Elastic Section Modulus Sy (in3)3]])</f>
        <v>27.631777249999999</v>
      </c>
      <c r="AP35" s="206">
        <f>MIN(Table_03[[#This Row],[Mny (k-in)]],Table_03[[#This Row],[Mny (k-in)]]-(Table_03[[#This Row],[Mny (k-in)]]-0.7*Table_03[[#This Row],[Static Parameters Elastic Section Modulus Sy (in3)3]]*Table_03[[#This Row],[Strength (ksi)]])*((Table_03[[#This Row],[b/t]]-Table_03[[#This Row],[λpf]])/(Table_03[[#This Row],[λrf]]-Table_03[[#This Row],[λpf]])))</f>
        <v>26.807804401345084</v>
      </c>
      <c r="AQ35" s="211">
        <f>MIN(Table_03[[#This Row],[Mny (k-in)]],Table_03[[#This Row],[Fcry]]*Table_03[[#This Row],[Static Parameters Elastic Section Modulus Sy (in3)3]])</f>
        <v>27.631777249999999</v>
      </c>
      <c r="AR35" s="212" t="str">
        <f>IF(Table_03[[#This Row],[b/t]]&lt;Table_03[[#This Row],[λpf]],"Compact",IF(AND(Table_03[[#This Row],[b/t]]&gt;Table_03[[#This Row],[λpf]],Table_03[[#This Row],[λrf]]&gt;Table_03[[#This Row],[b/t]]),"Non-Compact","Slender"))</f>
        <v>Non-Compact</v>
      </c>
      <c r="AS35" s="213">
        <f>IF(Table_03[[#This Row],[Controlling Lby]]="Compact",Table_03[[#This Row],[Mny (k-in)]],IF(Table_03[[#This Row],[Controlling Lby]]="Non-Compact",Table_03[[#This Row],[Mlby,Non-Compact (k-in)]],IF(Table_03[[#This Row],[Controlling Lby]]="Slender",Table_03[[#This Row],[Mlby,Slender (k-in)]],"ERROR")))</f>
        <v>26.807804401345084</v>
      </c>
      <c r="AT35" s="214">
        <f>MIN(Table_03[[#This Row],[LBx]],Table_03[[#This Row],[LTB]],Table_03[[#This Row],[Mp (k-in)]])</f>
        <v>51.715101884989529</v>
      </c>
      <c r="AU35" s="206">
        <f>Table_03[[#This Row],[Mp (k-in)]]</f>
        <v>123.79231287500001</v>
      </c>
      <c r="AV35" s="206">
        <f>MIN(Table_03[[#This Row],[LBy]],Table_03[[#This Row],[Mny (k-in)]])</f>
        <v>26.807804401345084</v>
      </c>
      <c r="AW35" s="215">
        <f>Table_03[[#This Row],[Mny (k-in)]]</f>
        <v>27.631777249999999</v>
      </c>
      <c r="AX35" s="169"/>
      <c r="AY35" s="165">
        <f>IF(4/SQRT((Table_03[[#This Row],[Depth h (in)]]-Table_03[[#This Row],[Flange Thickness tf (in)]]*2)/Table_03[[#This Row],[Web Thickness tw (in)]])&lt;0.35,0.35,IF(4/SQRT(Table_03[[#This Row],[Depth h (in)]]/Table_03[[#This Row],[Web Thickness tw (in)]])&gt;0.76,0.76,4/SQRT(Table_03[[#This Row],[Depth h (in)]]/Table_03[[#This Row],[Web Thickness tw (in)]])))</f>
        <v>0.45844385015565781</v>
      </c>
      <c r="AZ35" s="169"/>
    </row>
    <row r="36" spans="1:52" x14ac:dyDescent="0.3">
      <c r="A36" s="179" t="s">
        <v>134</v>
      </c>
      <c r="B36" s="180">
        <v>6.181</v>
      </c>
      <c r="C36" s="180">
        <v>3.2280000000000002</v>
      </c>
      <c r="D36" s="180">
        <v>0.157</v>
      </c>
      <c r="E36" s="180">
        <v>0.23200000000000001</v>
      </c>
      <c r="F36" s="181">
        <v>2.508</v>
      </c>
      <c r="G36" s="180"/>
      <c r="H36" s="180">
        <v>16.559999999999999</v>
      </c>
      <c r="I36" s="180">
        <v>1.3080000000000001</v>
      </c>
      <c r="J36" s="181">
        <f>Table_03[[#This Row],[Width w (in)]]*Table_03[[#This Row],[Flange Thickness tf (in)]]*(Table_03[[#This Row],[Depth h (in)]]-Table_03[[#This Row],[Flange Thickness tf (in)]])+0.25*Table_03[[#This Row],[Web Thickness tw (in)]]*(Table_03[[#This Row],[Depth h (in)]]-2*Table_03[[#This Row],[Flange Thickness tf (in)]])^2</f>
        <v>5.7380327972500007</v>
      </c>
      <c r="K36" s="181">
        <f>(Table_03[[#This Row],[Width w (in)]]^2*Table_03[[#This Row],[Flange Thickness tf (in)]])/2+0.25*Table_03[[#This Row],[Web Thickness tw (in)]]^2*(Table_03[[#This Row],[Depth h (in)]]-2*Table_03[[#This Row],[Flange Thickness tf (in)]])</f>
        <v>1.2439477272500001</v>
      </c>
      <c r="L36" s="181">
        <v>5.3579999999999997</v>
      </c>
      <c r="M36" s="181">
        <v>0.81</v>
      </c>
      <c r="N36" s="182">
        <v>50</v>
      </c>
      <c r="O36" s="181">
        <f>SQRT(Table_03[[#This Row],[Static Parameters Moment of Inertia Ix (in4)]]/Table_03[[#This Row],[Sectional Area (in2)]])</f>
        <v>2.5696051862877942</v>
      </c>
      <c r="P36" s="181">
        <f>SQRT(Table_03[[#This Row],[Static Parameters Moment of Inertia Iy (in4)]]/Table_03[[#This Row],[Sectional Area (in2)]])</f>
        <v>0.7221711019408551</v>
      </c>
      <c r="Q36" s="181">
        <f>($B$6*$B$5*12)/Table_03[[#This Row],[ry (in)2]]</f>
        <v>248.62529048511405</v>
      </c>
      <c r="R36" s="181">
        <f>(PI()^2*$B$4)/(Table_03[[#This Row],[KL/ry]]^2)</f>
        <v>4.6302787412862392</v>
      </c>
      <c r="S36" s="181">
        <f>IF(Table_03[[#This Row],[Strength (ksi)]]/Table_03[[#This Row],[Fe,y]]&lt;2.25,(0.658^(Table_03[[#This Row],[Strength (ksi)]]/Table_03[[#This Row],[Fe,y]])*Table_03[[#This Row],[Strength (ksi)]]),0.877*Table_03[[#This Row],[Fe,y]])</f>
        <v>4.0607544561080315</v>
      </c>
      <c r="T36" s="181">
        <f>Table_03[[#This Row],[Fcr,y]]*Table_03[[#This Row],[Sectional Area (in2)]]</f>
        <v>10.184372175918943</v>
      </c>
      <c r="U36" s="181">
        <f>1.76*Table_03[[#This Row],[ry (in)2]]*SQRT($B$4/Table_03[[#This Row],[Strength (ksi)]])/12</f>
        <v>2.5508535436534947</v>
      </c>
      <c r="V36"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7.6029940281701149</v>
      </c>
      <c r="W36" s="181">
        <f>Table_03[[#This Row],[Depth h (in)]]-Table_03[[#This Row],[Flange Thickness tf (in)]]</f>
        <v>5.9489999999999998</v>
      </c>
      <c r="X36" s="181">
        <f>(Table_03[[#This Row],[Static Parameters Moment of Inertia Iy (in4)]]*Table_03[[#This Row],[ho]]^2)/4</f>
        <v>11.572726526999999</v>
      </c>
      <c r="Y36" s="181">
        <f>SQRT((SQRT(Table_03[[#This Row],[Static Parameters Moment of Inertia Iy (in4)]]*Table_03[[#This Row],[Cw*]])/Table_03[[#This Row],[Static Parameters Elastic Section Modulus Sx (in3)2]]))</f>
        <v>0.8521371591251764</v>
      </c>
      <c r="Z36" s="181">
        <f>(2*Table_03[[#This Row],[Width w (in)]]*Table_03[[#This Row],[Flange Thickness tf (in)]]^3/3)+((Table_03[[#This Row],[Depth h (in)]]-Table_03[[#This Row],[Flange Thickness tf (in)]]*2)*Table_03[[#This Row],[Web Thickness tw (in)]]^3)/3</f>
        <v>3.4247111629666677E-2</v>
      </c>
      <c r="AA36" s="181">
        <f>Table_03[[#This Row],[Width w (in)]]*0.5/Table_03[[#This Row],[Flange Thickness tf (in)]]</f>
        <v>6.9568965517241379</v>
      </c>
      <c r="AB36" s="181">
        <f>0.38*SQRT($B$4/Table_03[[#This Row],[Strength (ksi)]])</f>
        <v>9.1516118798821449</v>
      </c>
      <c r="AC36" s="181">
        <f>1*SQRT($B$4/Table_03[[#This Row],[Strength (ksi)]])</f>
        <v>24.083189157584592</v>
      </c>
      <c r="AD36" s="181">
        <f>(PI()^2*$B$4/(12*$B$5/Table_03[[#This Row],[rts]])^2)*SQRT(1+0.078*(Table_03[[#This Row],[J*]]/(Table_03[[#This Row],[Static Parameters Elastic Section Modulus Sx (in3)2]]*Table_03[[#This Row],[ho]])*$B$4/(12*$B$5/Table_03[[#This Row],[rts]])^2))</f>
        <v>28.433933093368267</v>
      </c>
      <c r="AE36" s="181">
        <f>0.69*$B$4/Table_03[[#This Row],[b/t]]^2</f>
        <v>413.44333734101701</v>
      </c>
      <c r="AF36" s="183">
        <f>Table_03[[#This Row],[Strength (ksi)]]*Table_03[[#This Row],[Static Parameters Plastic Section Modulus Zx (in3)]]</f>
        <v>286.90163986250002</v>
      </c>
      <c r="AG36" s="181">
        <f>Table_03[[#This Row],[Mp (k-in)]]-(Table_03[[#This Row],[Mp (k-in)]]-0.7*Table_03[[#This Row],[Strength (ksi)]]*Table_03[[#This Row],[Static Parameters Elastic Section Modulus Sx (in3)2]])*((Table_03[[#This Row],[b/t]]-Table_03[[#This Row],[λpf]])/(Table_03[[#This Row],[λrf]]-Table_03[[#This Row],[λpf]]))</f>
        <v>301.50776332382429</v>
      </c>
      <c r="AH36" s="184">
        <f>0.9*$B$4*Table_03[[#This Row],[kc]]*Table_03[[#This Row],[Static Parameters Elastic Section Modulus Sx (in3)2]]/Table_03[[#This Row],[b/t]]^2</f>
        <v>1842.0124929564236</v>
      </c>
      <c r="AI36" s="185" t="str">
        <f>IF(Table_03[[#This Row],[b/t]]&lt;Table_03[[#This Row],[λpf]],"Compact",IF(AND(Table_03[[#This Row],[b/t]]&gt;Table_03[[#This Row],[λpf]],Table_03[[#This Row],[λrf]]&gt;Table_03[[#This Row],[b/t]]),"Non-Compact","Slender"))</f>
        <v>Compact</v>
      </c>
      <c r="AJ36" s="186">
        <f>IF(Table_03[[#This Row],[Controlling LBx]]="Compact",Table_03[[#This Row],[Mp (k-in)]],IF(Table_03[[#This Row],[Controlling LBx]]="Non-Compact",Table_03[[#This Row],[Mnlb,Non-Compact (k-in)]],IF(Table_03[[#This Row],[Controlling LBx]]="Slender",Table_03[[#This Row],[Mnlb,slender (k-in)]],"ERROR")))</f>
        <v>286.90163986250002</v>
      </c>
      <c r="AK36" s="183">
        <f>Table_03[[#This Row],[Mp (k-in)]]-(Table_03[[#This Row],[Mp (k-in)]]-0.7*Table_03[[#This Row],[Strength (ksi)]]*Table_03[[#This Row],[Static Parameters Elastic Section Modulus Sx (in3)2]])*(($B$5-Table_03[[#This Row],[Lp (ft)]])/(Table_03[[#This Row],[Lr]]-Table_03[[#This Row],[Lp (ft)]]))</f>
        <v>196.93176754176125</v>
      </c>
      <c r="AL36" s="184">
        <f>Table_03[[#This Row],[Fcrx]]*Table_03[[#This Row],[Static Parameters Elastic Section Modulus Sx (in3)2]]</f>
        <v>152.34901351426717</v>
      </c>
      <c r="AM36" s="185" t="str">
        <f>IF($B$5&lt;Table_03[[#This Row],[Lp (ft)]],"Yielding Controls",IF(AND($B$5&gt;Table_03[[#This Row],[Lp (ft)]],Table_03[[#This Row],[Lr]]&gt;$B$5),"Mltb,p Controls","Mltb,r Controls"))</f>
        <v>Mltb,p Controls</v>
      </c>
      <c r="AN36" s="186">
        <f>IF(Table_03[[#This Row],[Controlling LTB]]="Yielding Controls",Table_03[[#This Row],[Mp (k-in)]],IF(Table_03[[#This Row],[Controlling LTB]]="Mltb,p Controls",Table_03[[#This Row],[Mnltbp (k-in)]],IF(Table_03[[#This Row],[Controlling LTB]]="Mltb,r Controls",Table_03[[#This Row],[Mnltbr (k-in)]],"ERROR")))</f>
        <v>196.93176754176125</v>
      </c>
      <c r="AO36" s="183">
        <f>MIN(Table_03[[#This Row],[Strength (ksi)]]*Table_03[[#This Row],[Static Parameters Plastic Section Modulus Zy (in3)]],1.6*Table_03[[#This Row],[Strength (ksi)]]*Table_03[[#This Row],[Static Parameters Elastic Section Modulus Sy (in3)3]])</f>
        <v>62.197386362500005</v>
      </c>
      <c r="AP36" s="181">
        <f>MIN(Table_03[[#This Row],[Mny (k-in)]],Table_03[[#This Row],[Mny (k-in)]]-(Table_03[[#This Row],[Mny (k-in)]]-0.7*Table_03[[#This Row],[Static Parameters Elastic Section Modulus Sy (in3)3]]*Table_03[[#This Row],[Strength (ksi)]])*((Table_03[[#This Row],[b/t]]-Table_03[[#This Row],[λpf]])/(Table_03[[#This Row],[λrf]]-Table_03[[#This Row],[λpf]])))</f>
        <v>62.197386362500005</v>
      </c>
      <c r="AQ36" s="184">
        <f>MIN(Table_03[[#This Row],[Mny (k-in)]],Table_03[[#This Row],[Fcry]]*Table_03[[#This Row],[Static Parameters Elastic Section Modulus Sy (in3)3]])</f>
        <v>62.197386362500005</v>
      </c>
      <c r="AR36" s="185" t="str">
        <f>IF(Table_03[[#This Row],[b/t]]&lt;Table_03[[#This Row],[λpf]],"Compact",IF(AND(Table_03[[#This Row],[b/t]]&gt;Table_03[[#This Row],[λpf]],Table_03[[#This Row],[λrf]]&gt;Table_03[[#This Row],[b/t]]),"Non-Compact","Slender"))</f>
        <v>Compact</v>
      </c>
      <c r="AS36" s="186">
        <f>IF(Table_03[[#This Row],[Controlling Lby]]="Compact",Table_03[[#This Row],[Mny (k-in)]],IF(Table_03[[#This Row],[Controlling Lby]]="Non-Compact",Table_03[[#This Row],[Mlby,Non-Compact (k-in)]],IF(Table_03[[#This Row],[Controlling Lby]]="Slender",Table_03[[#This Row],[Mlby,Slender (k-in)]],"ERROR")))</f>
        <v>62.197386362500005</v>
      </c>
      <c r="AT36" s="183">
        <f>MIN(Table_03[[#This Row],[LBx]],Table_03[[#This Row],[LTB]],Table_03[[#This Row],[Mp (k-in)]])</f>
        <v>196.93176754176125</v>
      </c>
      <c r="AU36" s="181">
        <f>Table_03[[#This Row],[Mp (k-in)]]</f>
        <v>286.90163986250002</v>
      </c>
      <c r="AV36" s="181">
        <f>MIN(Table_03[[#This Row],[LBy]],Table_03[[#This Row],[Mny (k-in)]])</f>
        <v>62.197386362500005</v>
      </c>
      <c r="AW36" s="187">
        <f>Table_03[[#This Row],[Mny (k-in)]]</f>
        <v>62.197386362500005</v>
      </c>
      <c r="AX36" s="169"/>
      <c r="AY36" s="165">
        <f>IF(4/SQRT((Table_03[[#This Row],[Depth h (in)]]-Table_03[[#This Row],[Flange Thickness tf (in)]]*2)/Table_03[[#This Row],[Web Thickness tw (in)]])&lt;0.35,0.35,IF(4/SQRT(Table_03[[#This Row],[Depth h (in)]]/Table_03[[#This Row],[Web Thickness tw (in)]])&gt;0.76,0.76,4/SQRT(Table_03[[#This Row],[Depth h (in)]]/Table_03[[#This Row],[Web Thickness tw (in)]])))</f>
        <v>0.63750037670776327</v>
      </c>
      <c r="AZ36" s="169"/>
    </row>
    <row r="37" spans="1:52" x14ac:dyDescent="0.3">
      <c r="A37" s="188" t="s">
        <v>135</v>
      </c>
      <c r="B37" s="189">
        <f>B36-$B$1*2</f>
        <v>6.181</v>
      </c>
      <c r="C37" s="189">
        <f>C36-$B$1*2</f>
        <v>3.2280000000000002</v>
      </c>
      <c r="D37" s="189">
        <f>D36-$B$1*2</f>
        <v>0.157</v>
      </c>
      <c r="E37" s="189">
        <f>E36-$B$1*2</f>
        <v>0.23200000000000001</v>
      </c>
      <c r="F37" s="190">
        <f>2*Table_03[[#This Row],[Width w (in)]]*Table_03[[#This Row],[Flange Thickness tf (in)]]+Table_03[[#This Row],[Web Thickness tw (in)]]*(Table_03[[#This Row],[Depth h (in)]]-2*Table_03[[#This Row],[Flange Thickness tf (in)]])</f>
        <v>2.3953610000000003</v>
      </c>
      <c r="G37" s="189"/>
      <c r="H37"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15.703343282935416</v>
      </c>
      <c r="I37" s="190">
        <f>((Table_03[[#This Row],[Depth h (in)]]-2*Table_03[[#This Row],[Flange Thickness tf (in)]])*Table_03[[#This Row],[Web Thickness tw (in)]]^3/12+2*(Table_03[[#This Row],[Flange Thickness tf (in)]]*Table_03[[#This Row],[Width w (in)]]^3/12))</f>
        <v>1.3024244044674171</v>
      </c>
      <c r="J37" s="190">
        <f>Table_03[[#This Row],[Width w (in)]]*Table_03[[#This Row],[Flange Thickness tf (in)]]*(Table_03[[#This Row],[Depth h (in)]]-Table_03[[#This Row],[Flange Thickness tf (in)]])+0.25*Table_03[[#This Row],[Web Thickness tw (in)]]*(Table_03[[#This Row],[Depth h (in)]]-2*Table_03[[#This Row],[Flange Thickness tf (in)]])^2</f>
        <v>5.7380327972500007</v>
      </c>
      <c r="K37" s="190">
        <f>(Table_03[[#This Row],[Width w (in)]]^2*Table_03[[#This Row],[Flange Thickness tf (in)]])/2+0.25*Table_03[[#This Row],[Web Thickness tw (in)]]^2*(Table_03[[#This Row],[Depth h (in)]]-2*Table_03[[#This Row],[Flange Thickness tf (in)]])</f>
        <v>1.2439477272500001</v>
      </c>
      <c r="L37" s="190">
        <f>Table_03[[#This Row],[Static Parameters Moment of Inertia Ix (in4)]]/(Table_03[[#This Row],[Depth h (in)]]/2)</f>
        <v>5.0811659223217651</v>
      </c>
      <c r="M37" s="190">
        <f>Table_03[[#This Row],[Static Parameters Moment of Inertia Iy (in4)]]/(Table_03[[#This Row],[Width w (in)]]/2)</f>
        <v>0.8069544017765905</v>
      </c>
      <c r="N37" s="191">
        <v>50</v>
      </c>
      <c r="O37" s="169">
        <f>SQRT(Table_03[[#This Row],[Static Parameters Moment of Inertia Ix (in4)]]/Table_03[[#This Row],[Sectional Area (in2)]])</f>
        <v>2.5604162520334048</v>
      </c>
      <c r="P37" s="190">
        <f>SQRT(Table_03[[#This Row],[Static Parameters Moment of Inertia Iy (in4)]]/Table_03[[#This Row],[Sectional Area (in2)]])</f>
        <v>0.7373790177052465</v>
      </c>
      <c r="Q37" s="190">
        <f>($B$6*$B$5*12)/Table_03[[#This Row],[ry (in)2]]</f>
        <v>243.49757138298688</v>
      </c>
      <c r="R37" s="190">
        <f>(PI()^2*$B$4)/(Table_03[[#This Row],[KL/ry]]^2)</f>
        <v>4.8273465264344537</v>
      </c>
      <c r="S37" s="190">
        <f>IF(Table_03[[#This Row],[Strength (ksi)]]/Table_03[[#This Row],[Fe,y]]&lt;2.25,(0.658^(Table_03[[#This Row],[Strength (ksi)]]/Table_03[[#This Row],[Fe,y]])*Table_03[[#This Row],[Strength (ksi)]]),0.877*Table_03[[#This Row],[Fe,y]])</f>
        <v>4.2335829036830157</v>
      </c>
      <c r="T37" s="190">
        <f>Table_03[[#This Row],[Fcr,y]]*Table_03[[#This Row],[Sectional Area (in2)]]</f>
        <v>10.140959377749054</v>
      </c>
      <c r="U37" s="190">
        <f>1.76*Table_03[[#This Row],[ry (in)2]]*SQRT($B$4/Table_03[[#This Row],[Strength (ksi)]])/12</f>
        <v>2.6045709600869742</v>
      </c>
      <c r="V3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7.8595561908753906</v>
      </c>
      <c r="W37" s="190">
        <f>Table_03[[#This Row],[Depth h (in)]]-Table_03[[#This Row],[Flange Thickness tf (in)]]</f>
        <v>5.9489999999999998</v>
      </c>
      <c r="X37" s="190">
        <f>(Table_03[[#This Row],[Static Parameters Moment of Inertia Iy (in4)]]*Table_03[[#This Row],[ho]]^2)/4</f>
        <v>11.523395607792244</v>
      </c>
      <c r="Y37" s="190">
        <f>SQRT((SQRT(Table_03[[#This Row],[Static Parameters Moment of Inertia Iy (in4)]]*Table_03[[#This Row],[Cw*]])/Table_03[[#This Row],[Static Parameters Elastic Section Modulus Sx (in3)2]]))</f>
        <v>0.87317553891008004</v>
      </c>
      <c r="Z37" s="190">
        <f>(2*Table_03[[#This Row],[Width w (in)]]*Table_03[[#This Row],[Flange Thickness tf (in)]]^3/3)+((Table_03[[#This Row],[Depth h (in)]]-Table_03[[#This Row],[Flange Thickness tf (in)]]*2)*Table_03[[#This Row],[Web Thickness tw (in)]]^3)/3</f>
        <v>3.4247111629666677E-2</v>
      </c>
      <c r="AA37" s="190">
        <f>Table_03[[#This Row],[Width w (in)]]*0.5/Table_03[[#This Row],[Flange Thickness tf (in)]]</f>
        <v>6.9568965517241379</v>
      </c>
      <c r="AB37" s="190">
        <f>0.38*SQRT($B$4/Table_03[[#This Row],[Strength (ksi)]])</f>
        <v>9.1516118798821449</v>
      </c>
      <c r="AC37" s="190">
        <f>1*SQRT($B$4/Table_03[[#This Row],[Strength (ksi)]])</f>
        <v>24.083189157584592</v>
      </c>
      <c r="AD37" s="190">
        <f>(PI()^2*$B$4/(12*$B$5/Table_03[[#This Row],[rts]])^2)*SQRT(1+0.078*(Table_03[[#This Row],[J*]]/(Table_03[[#This Row],[Static Parameters Elastic Section Modulus Sx (in3)2]]*Table_03[[#This Row],[ho]])*$B$4/(12*$B$5/Table_03[[#This Row],[rts]])^2))</f>
        <v>29.855659486519773</v>
      </c>
      <c r="AE37" s="190">
        <f>0.69*$B$4/Table_03[[#This Row],[b/t]]^2</f>
        <v>413.44333734101701</v>
      </c>
      <c r="AF37" s="192">
        <f>Table_03[[#This Row],[Strength (ksi)]]*Table_03[[#This Row],[Static Parameters Plastic Section Modulus Zx (in3)]]</f>
        <v>286.90163986250002</v>
      </c>
      <c r="AG37" s="190">
        <f>Table_03[[#This Row],[Mp (k-in)]]-(Table_03[[#This Row],[Mp (k-in)]]-0.7*Table_03[[#This Row],[Strength (ksi)]]*Table_03[[#This Row],[Static Parameters Elastic Section Modulus Sx (in3)2]])*((Table_03[[#This Row],[b/t]]-Table_03[[#This Row],[λpf]])/(Table_03[[#This Row],[λrf]]-Table_03[[#This Row],[λpf]]))</f>
        <v>302.93192765568273</v>
      </c>
      <c r="AH37" s="193">
        <f>0.9*$B$4*Table_03[[#This Row],[kc]]*Table_03[[#This Row],[Static Parameters Elastic Section Modulus Sx (in3)2]]/Table_03[[#This Row],[b/t]]^2</f>
        <v>1746.8404456329117</v>
      </c>
      <c r="AI37" s="194" t="str">
        <f>IF(Table_03[[#This Row],[b/t]]&lt;Table_03[[#This Row],[λpf]],"Compact",IF(AND(Table_03[[#This Row],[b/t]]&gt;Table_03[[#This Row],[λpf]],Table_03[[#This Row],[λrf]]&gt;Table_03[[#This Row],[b/t]]),"Non-Compact","Slender"))</f>
        <v>Compact</v>
      </c>
      <c r="AJ37" s="195">
        <f>IF(Table_03[[#This Row],[Controlling LBx]]="Compact",Table_03[[#This Row],[Mp (k-in)]],IF(Table_03[[#This Row],[Controlling LBx]]="Non-Compact",Table_03[[#This Row],[Mnlb,Non-Compact (k-in)]],IF(Table_03[[#This Row],[Controlling LBx]]="Slender",Table_03[[#This Row],[Mnlb,slender (k-in)]],"ERROR")))</f>
        <v>286.90163986250002</v>
      </c>
      <c r="AK37" s="192">
        <f>Table_03[[#This Row],[Mp (k-in)]]-(Table_03[[#This Row],[Mp (k-in)]]-0.7*Table_03[[#This Row],[Strength (ksi)]]*Table_03[[#This Row],[Static Parameters Elastic Section Modulus Sx (in3)2]])*(($B$5-Table_03[[#This Row],[Lp (ft)]])/(Table_03[[#This Row],[Lr]]-Table_03[[#This Row],[Lp (ft)]]))</f>
        <v>193.08562838660174</v>
      </c>
      <c r="AL37" s="196">
        <f>Table_03[[#This Row],[Fcrx]]*Table_03[[#This Row],[Static Parameters Elastic Section Modulus Sx (in3)2]]</f>
        <v>151.70155957134679</v>
      </c>
      <c r="AM37" s="197" t="str">
        <f>IF($B$5&lt;Table_03[[#This Row],[Lp (ft)]],"Yielding Controls",IF(AND($B$5&gt;Table_03[[#This Row],[Lp (ft)]],Table_03[[#This Row],[Lr]]&gt;$B$5),"Mltb,p Controls","Mltb,r Controls"))</f>
        <v>Mltb,p Controls</v>
      </c>
      <c r="AN37" s="198">
        <f>IF(Table_03[[#This Row],[Controlling LTB]]="Yielding Controls",Table_03[[#This Row],[Mp (k-in)]],IF(Table_03[[#This Row],[Controlling LTB]]="Mltb,p Controls",Table_03[[#This Row],[Mnltbp (k-in)]],IF(Table_03[[#This Row],[Controlling LTB]]="Mltb,r Controls",Table_03[[#This Row],[Mnltbr (k-in)]],"ERROR")))</f>
        <v>193.08562838660174</v>
      </c>
      <c r="AO37" s="199">
        <f>MIN(Table_03[[#This Row],[Strength (ksi)]]*Table_03[[#This Row],[Static Parameters Plastic Section Modulus Zy (in3)]],1.6*Table_03[[#This Row],[Strength (ksi)]]*Table_03[[#This Row],[Static Parameters Elastic Section Modulus Sy (in3)3]])</f>
        <v>62.197386362500005</v>
      </c>
      <c r="AP37" s="169">
        <f>MIN(Table_03[[#This Row],[Mny (k-in)]],Table_03[[#This Row],[Mny (k-in)]]-(Table_03[[#This Row],[Mny (k-in)]]-0.7*Table_03[[#This Row],[Static Parameters Elastic Section Modulus Sy (in3)3]]*Table_03[[#This Row],[Strength (ksi)]])*((Table_03[[#This Row],[b/t]]-Table_03[[#This Row],[λpf]])/(Table_03[[#This Row],[λrf]]-Table_03[[#This Row],[λpf]])))</f>
        <v>62.197386362500005</v>
      </c>
      <c r="AQ37" s="196">
        <f>MIN(Table_03[[#This Row],[Mny (k-in)]],Table_03[[#This Row],[Fcry]]*Table_03[[#This Row],[Static Parameters Elastic Section Modulus Sy (in3)3]])</f>
        <v>62.197386362500005</v>
      </c>
      <c r="AR37" s="197" t="str">
        <f>IF(Table_03[[#This Row],[b/t]]&lt;Table_03[[#This Row],[λpf]],"Compact",IF(AND(Table_03[[#This Row],[b/t]]&gt;Table_03[[#This Row],[λpf]],Table_03[[#This Row],[λrf]]&gt;Table_03[[#This Row],[b/t]]),"Non-Compact","Slender"))</f>
        <v>Compact</v>
      </c>
      <c r="AS37" s="198">
        <f>IF(Table_03[[#This Row],[Controlling Lby]]="Compact",Table_03[[#This Row],[Mny (k-in)]],IF(Table_03[[#This Row],[Controlling Lby]]="Non-Compact",Table_03[[#This Row],[Mlby,Non-Compact (k-in)]],IF(Table_03[[#This Row],[Controlling Lby]]="Slender",Table_03[[#This Row],[Mlby,Slender (k-in)]],"ERROR")))</f>
        <v>62.197386362500005</v>
      </c>
      <c r="AT37" s="199">
        <f>MIN(Table_03[[#This Row],[LBx]],Table_03[[#This Row],[LTB]],Table_03[[#This Row],[Mp (k-in)]])</f>
        <v>193.08562838660174</v>
      </c>
      <c r="AU37" s="169">
        <f>Table_03[[#This Row],[Mp (k-in)]]</f>
        <v>286.90163986250002</v>
      </c>
      <c r="AV37" s="169">
        <f>MIN(Table_03[[#This Row],[LBy]],Table_03[[#This Row],[Mny (k-in)]])</f>
        <v>62.197386362500005</v>
      </c>
      <c r="AW37" s="200">
        <f>Table_03[[#This Row],[Mny (k-in)]]</f>
        <v>62.197386362500005</v>
      </c>
      <c r="AX37" s="169"/>
      <c r="AY37" s="165">
        <f>IF(4/SQRT((Table_03[[#This Row],[Depth h (in)]]-Table_03[[#This Row],[Flange Thickness tf (in)]]*2)/Table_03[[#This Row],[Web Thickness tw (in)]])&lt;0.35,0.35,IF(4/SQRT(Table_03[[#This Row],[Depth h (in)]]/Table_03[[#This Row],[Web Thickness tw (in)]])&gt;0.76,0.76,4/SQRT(Table_03[[#This Row],[Depth h (in)]]/Table_03[[#This Row],[Web Thickness tw (in)]])))</f>
        <v>0.63750037670776327</v>
      </c>
      <c r="AZ37" s="169"/>
    </row>
    <row r="38" spans="1:52" ht="14.4" thickBot="1" x14ac:dyDescent="0.35">
      <c r="A38" s="201" t="s">
        <v>136</v>
      </c>
      <c r="B38" s="202">
        <f>B36-$B$3*2</f>
        <v>6.101</v>
      </c>
      <c r="C38" s="202">
        <f>C36-$B$3*2</f>
        <v>3.1480000000000001</v>
      </c>
      <c r="D38" s="202">
        <f>D36-$B$3*2</f>
        <v>7.6999999999999999E-2</v>
      </c>
      <c r="E38" s="202">
        <f>E36-$B$3*2</f>
        <v>0.15200000000000002</v>
      </c>
      <c r="F38" s="203">
        <f>2*Table_03[[#This Row],[Width w (in)]]*Table_03[[#This Row],[Flange Thickness tf (in)]]+Table_03[[#This Row],[Web Thickness tw (in)]]*(Table_03[[#This Row],[Depth h (in)]]-2*Table_03[[#This Row],[Flange Thickness tf (in)]])</f>
        <v>1.4033610000000001</v>
      </c>
      <c r="G38" s="204"/>
      <c r="H38"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9.7189999979887496</v>
      </c>
      <c r="I38" s="203">
        <f>((Table_03[[#This Row],[Depth h (in)]]-2*Table_03[[#This Row],[Flange Thickness tf (in)]])*Table_03[[#This Row],[Web Thickness tw (in)]]^3/12+2*(Table_03[[#This Row],[Flange Thickness tf (in)]]*Table_03[[#This Row],[Width w (in)]]^3/12))</f>
        <v>0.79052878088075018</v>
      </c>
      <c r="J38" s="203">
        <f>Table_03[[#This Row],[Width w (in)]]*Table_03[[#This Row],[Flange Thickness tf (in)]]*(Table_03[[#This Row],[Depth h (in)]]-Table_03[[#This Row],[Flange Thickness tf (in)]])+0.25*Table_03[[#This Row],[Web Thickness tw (in)]]*(Table_03[[#This Row],[Depth h (in)]]-2*Table_03[[#This Row],[Flange Thickness tf (in)]])^2</f>
        <v>3.4934729772500006</v>
      </c>
      <c r="K38" s="203">
        <f>(Table_03[[#This Row],[Width w (in)]]^2*Table_03[[#This Row],[Flange Thickness tf (in)]])/2+0.25*Table_03[[#This Row],[Web Thickness tw (in)]]^2*(Table_03[[#This Row],[Depth h (in)]]-2*Table_03[[#This Row],[Flange Thickness tf (in)]])</f>
        <v>0.76174530725000023</v>
      </c>
      <c r="L38" s="203">
        <f>Table_03[[#This Row],[Static Parameters Moment of Inertia Ix (in4)]]/(Table_03[[#This Row],[Depth h (in)]]/2)</f>
        <v>3.1860350755576952</v>
      </c>
      <c r="M38" s="203">
        <f>Table_03[[#This Row],[Static Parameters Moment of Inertia Iy (in4)]]/(Table_03[[#This Row],[Width w (in)]]/2)</f>
        <v>0.50224191923808781</v>
      </c>
      <c r="N38" s="205">
        <v>50</v>
      </c>
      <c r="O38" s="206">
        <f>SQRT(Table_03[[#This Row],[Static Parameters Moment of Inertia Ix (in4)]]/Table_03[[#This Row],[Sectional Area (in2)]])</f>
        <v>2.6316376401213106</v>
      </c>
      <c r="P38" s="203">
        <f>SQRT(Table_03[[#This Row],[Static Parameters Moment of Inertia Iy (in4)]]/Table_03[[#This Row],[Sectional Area (in2)]])</f>
        <v>0.75054051588931225</v>
      </c>
      <c r="Q38" s="203">
        <f>($B$6*$B$5*12)/Table_03[[#This Row],[ry (in)2]]</f>
        <v>239.22759158078492</v>
      </c>
      <c r="R38" s="203">
        <f>(PI()^2*$B$4)/(Table_03[[#This Row],[KL/ry]]^2)</f>
        <v>5.001211339454775</v>
      </c>
      <c r="S38" s="203">
        <f>IF(Table_03[[#This Row],[Strength (ksi)]]/Table_03[[#This Row],[Fe,y]]&lt;2.25,(0.658^(Table_03[[#This Row],[Strength (ksi)]]/Table_03[[#This Row],[Fe,y]])*Table_03[[#This Row],[Strength (ksi)]]),0.877*Table_03[[#This Row],[Fe,y]])</f>
        <v>4.3860623447018376</v>
      </c>
      <c r="T38" s="203">
        <f>Table_03[[#This Row],[Fcr,y]]*Table_03[[#This Row],[Sectional Area (in2)]]</f>
        <v>6.1552288381231159</v>
      </c>
      <c r="U38" s="203">
        <f>1.76*Table_03[[#This Row],[ry (in)2]]*SQRT($B$4/Table_03[[#This Row],[Strength (ksi)]])/12</f>
        <v>2.6510600181403698</v>
      </c>
      <c r="V3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6.9435112620026631</v>
      </c>
      <c r="W38" s="203">
        <f>Table_03[[#This Row],[Depth h (in)]]-Table_03[[#This Row],[Flange Thickness tf (in)]]</f>
        <v>5.9489999999999998</v>
      </c>
      <c r="X38" s="203">
        <f>(Table_03[[#This Row],[Static Parameters Moment of Inertia Iy (in4)]]*Table_03[[#This Row],[ho]]^2)/4</f>
        <v>6.9943221657917638</v>
      </c>
      <c r="Y38" s="203">
        <f>SQRT((SQRT(Table_03[[#This Row],[Static Parameters Moment of Inertia Iy (in4)]]*Table_03[[#This Row],[Cw*]])/Table_03[[#This Row],[Static Parameters Elastic Section Modulus Sx (in3)2]]))</f>
        <v>0.85909373764488961</v>
      </c>
      <c r="Z38" s="203">
        <f>(2*Table_03[[#This Row],[Width w (in)]]*Table_03[[#This Row],[Flange Thickness tf (in)]]^3/3)+((Table_03[[#This Row],[Depth h (in)]]-Table_03[[#This Row],[Flange Thickness tf (in)]]*2)*Table_03[[#This Row],[Web Thickness tw (in)]]^3)/3</f>
        <v>8.2522883230000035E-3</v>
      </c>
      <c r="AA38" s="203">
        <f>Table_03[[#This Row],[Width w (in)]]*0.5/Table_03[[#This Row],[Flange Thickness tf (in)]]</f>
        <v>10.355263157894736</v>
      </c>
      <c r="AB38" s="203">
        <f>0.38*SQRT($B$4/Table_03[[#This Row],[Strength (ksi)]])</f>
        <v>9.1516118798821449</v>
      </c>
      <c r="AC38" s="203">
        <f>1*SQRT($B$4/Table_03[[#This Row],[Strength (ksi)]])</f>
        <v>24.083189157584592</v>
      </c>
      <c r="AD38" s="203">
        <f>(PI()^2*$B$4/(12*$B$5/Table_03[[#This Row],[rts]])^2)*SQRT(1+0.078*(Table_03[[#This Row],[J*]]/(Table_03[[#This Row],[Static Parameters Elastic Section Modulus Sx (in3)2]]*Table_03[[#This Row],[ho]])*$B$4/(12*$B$5/Table_03[[#This Row],[rts]])^2))</f>
        <v>28.898028192433944</v>
      </c>
      <c r="AE38" s="203">
        <f>0.69*$B$4/Table_03[[#This Row],[b/t]]^2</f>
        <v>186.60565833937443</v>
      </c>
      <c r="AF38" s="207">
        <f>Table_03[[#This Row],[Strength (ksi)]]*Table_03[[#This Row],[Static Parameters Plastic Section Modulus Zx (in3)]]</f>
        <v>174.67364886250004</v>
      </c>
      <c r="AG38" s="203">
        <f>Table_03[[#This Row],[Mp (k-in)]]-(Table_03[[#This Row],[Mp (k-in)]]-0.7*Table_03[[#This Row],[Strength (ksi)]]*Table_03[[#This Row],[Static Parameters Elastic Section Modulus Sx (in3)2]])*((Table_03[[#This Row],[b/t]]-Table_03[[#This Row],[λpf]])/(Table_03[[#This Row],[λrf]]-Table_03[[#This Row],[λpf]]))</f>
        <v>169.58205487966461</v>
      </c>
      <c r="AH38" s="208">
        <f>0.9*$B$4*Table_03[[#This Row],[kc]]*Table_03[[#This Row],[Static Parameters Elastic Section Modulus Sx (in3)2]]/Table_03[[#This Row],[b/t]]^2</f>
        <v>348.47660041278976</v>
      </c>
      <c r="AI38" s="209" t="str">
        <f>IF(Table_03[[#This Row],[b/t]]&lt;Table_03[[#This Row],[λpf]],"Compact",IF(AND(Table_03[[#This Row],[b/t]]&gt;Table_03[[#This Row],[λpf]],Table_03[[#This Row],[λrf]]&gt;Table_03[[#This Row],[b/t]]),"Non-Compact","Slender"))</f>
        <v>Non-Compact</v>
      </c>
      <c r="AJ38" s="210">
        <f>IF(Table_03[[#This Row],[Controlling LBx]]="Compact",Table_03[[#This Row],[Mp (k-in)]],IF(Table_03[[#This Row],[Controlling LBx]]="Non-Compact",Table_03[[#This Row],[Mnlb,Non-Compact (k-in)]],IF(Table_03[[#This Row],[Controlling LBx]]="Slender",Table_03[[#This Row],[Mnlb,slender (k-in)]],"ERROR")))</f>
        <v>169.58205487966461</v>
      </c>
      <c r="AK38" s="207">
        <f>Table_03[[#This Row],[Mp (k-in)]]-(Table_03[[#This Row],[Mp (k-in)]]-0.7*Table_03[[#This Row],[Strength (ksi)]]*Table_03[[#This Row],[Static Parameters Elastic Section Modulus Sx (in3)2]])*(($B$5-Table_03[[#This Row],[Lp (ft)]])/(Table_03[[#This Row],[Lr]]-Table_03[[#This Row],[Lp (ft)]]))</f>
        <v>108.84066309655887</v>
      </c>
      <c r="AL38" s="211">
        <f>Table_03[[#This Row],[Fcrx]]*Table_03[[#This Row],[Static Parameters Elastic Section Modulus Sx (in3)2]]</f>
        <v>92.070131435549683</v>
      </c>
      <c r="AM38" s="212" t="str">
        <f>IF($B$5&lt;Table_03[[#This Row],[Lp (ft)]],"Yielding Controls",IF(AND($B$5&gt;Table_03[[#This Row],[Lp (ft)]],Table_03[[#This Row],[Lr]]&gt;$B$5),"Mltb,p Controls","Mltb,r Controls"))</f>
        <v>Mltb,r Controls</v>
      </c>
      <c r="AN38" s="213">
        <f>IF(Table_03[[#This Row],[Controlling LTB]]="Yielding Controls",Table_03[[#This Row],[Mp (k-in)]],IF(Table_03[[#This Row],[Controlling LTB]]="Mltb,p Controls",Table_03[[#This Row],[Mnltbp (k-in)]],IF(Table_03[[#This Row],[Controlling LTB]]="Mltb,r Controls",Table_03[[#This Row],[Mnltbr (k-in)]],"ERROR")))</f>
        <v>92.070131435549683</v>
      </c>
      <c r="AO38" s="214">
        <f>MIN(Table_03[[#This Row],[Strength (ksi)]]*Table_03[[#This Row],[Static Parameters Plastic Section Modulus Zy (in3)]],1.6*Table_03[[#This Row],[Strength (ksi)]]*Table_03[[#This Row],[Static Parameters Elastic Section Modulus Sy (in3)3]])</f>
        <v>38.087265362500013</v>
      </c>
      <c r="AP38" s="206">
        <f>MIN(Table_03[[#This Row],[Mny (k-in)]],Table_03[[#This Row],[Mny (k-in)]]-(Table_03[[#This Row],[Mny (k-in)]]-0.7*Table_03[[#This Row],[Static Parameters Elastic Section Modulus Sy (in3)3]]*Table_03[[#This Row],[Strength (ksi)]])*((Table_03[[#This Row],[b/t]]-Table_03[[#This Row],[λpf]])/(Table_03[[#This Row],[λrf]]-Table_03[[#This Row],[λpf]])))</f>
        <v>36.434028019131318</v>
      </c>
      <c r="AQ38" s="211">
        <f>MIN(Table_03[[#This Row],[Mny (k-in)]],Table_03[[#This Row],[Fcry]]*Table_03[[#This Row],[Static Parameters Elastic Section Modulus Sy (in3)3]])</f>
        <v>38.087265362500013</v>
      </c>
      <c r="AR38" s="212" t="str">
        <f>IF(Table_03[[#This Row],[b/t]]&lt;Table_03[[#This Row],[λpf]],"Compact",IF(AND(Table_03[[#This Row],[b/t]]&gt;Table_03[[#This Row],[λpf]],Table_03[[#This Row],[λrf]]&gt;Table_03[[#This Row],[b/t]]),"Non-Compact","Slender"))</f>
        <v>Non-Compact</v>
      </c>
      <c r="AS38" s="213">
        <f>IF(Table_03[[#This Row],[Controlling Lby]]="Compact",Table_03[[#This Row],[Mny (k-in)]],IF(Table_03[[#This Row],[Controlling Lby]]="Non-Compact",Table_03[[#This Row],[Mlby,Non-Compact (k-in)]],IF(Table_03[[#This Row],[Controlling Lby]]="Slender",Table_03[[#This Row],[Mlby,Slender (k-in)]],"ERROR")))</f>
        <v>36.434028019131318</v>
      </c>
      <c r="AT38" s="214">
        <f>MIN(Table_03[[#This Row],[LBx]],Table_03[[#This Row],[LTB]],Table_03[[#This Row],[Mp (k-in)]])</f>
        <v>92.070131435549683</v>
      </c>
      <c r="AU38" s="206">
        <f>Table_03[[#This Row],[Mp (k-in)]]</f>
        <v>174.67364886250004</v>
      </c>
      <c r="AV38" s="206">
        <f>MIN(Table_03[[#This Row],[LBy]],Table_03[[#This Row],[Mny (k-in)]])</f>
        <v>36.434028019131318</v>
      </c>
      <c r="AW38" s="215">
        <f>Table_03[[#This Row],[Mny (k-in)]]</f>
        <v>38.087265362500013</v>
      </c>
      <c r="AX38" s="169"/>
      <c r="AY38" s="165">
        <f>IF(4/SQRT((Table_03[[#This Row],[Depth h (in)]]-Table_03[[#This Row],[Flange Thickness tf (in)]]*2)/Table_03[[#This Row],[Web Thickness tw (in)]])&lt;0.35,0.35,IF(4/SQRT(Table_03[[#This Row],[Depth h (in)]]/Table_03[[#This Row],[Web Thickness tw (in)]])&gt;0.76,0.76,4/SQRT(Table_03[[#This Row],[Depth h (in)]]/Table_03[[#This Row],[Web Thickness tw (in)]])))</f>
        <v>0.44937079251152096</v>
      </c>
      <c r="AZ38" s="169"/>
    </row>
    <row r="39" spans="1:52" x14ac:dyDescent="0.3">
      <c r="A39" s="179" t="s">
        <v>137</v>
      </c>
      <c r="B39" s="180">
        <v>6.9690000000000003</v>
      </c>
      <c r="C39" s="180">
        <v>3.5830000000000002</v>
      </c>
      <c r="D39" s="180">
        <v>0.16900000000000001</v>
      </c>
      <c r="E39" s="180">
        <v>0.25600000000000001</v>
      </c>
      <c r="F39" s="181">
        <v>3.0350000000000001</v>
      </c>
      <c r="G39" s="180"/>
      <c r="H39" s="180">
        <v>25.539000000000001</v>
      </c>
      <c r="I39" s="180">
        <v>1.9670000000000001</v>
      </c>
      <c r="J39" s="181">
        <f>Table_03[[#This Row],[Width w (in)]]*Table_03[[#This Row],[Flange Thickness tf (in)]]*(Table_03[[#This Row],[Depth h (in)]]-Table_03[[#This Row],[Flange Thickness tf (in)]])+0.25*Table_03[[#This Row],[Web Thickness tw (in)]]*(Table_03[[#This Row],[Depth h (in)]]-2*Table_03[[#This Row],[Flange Thickness tf (in)]])^2</f>
        <v>7.9190086942500004</v>
      </c>
      <c r="K39" s="181">
        <f>(Table_03[[#This Row],[Width w (in)]]^2*Table_03[[#This Row],[Flange Thickness tf (in)]])/2+0.25*Table_03[[#This Row],[Web Thickness tw (in)]]^2*(Table_03[[#This Row],[Depth h (in)]]-2*Table_03[[#This Row],[Flange Thickness tf (in)]])</f>
        <v>1.6893543862500002</v>
      </c>
      <c r="L39" s="181">
        <v>7.3289999999999997</v>
      </c>
      <c r="M39" s="181">
        <v>1.0980000000000001</v>
      </c>
      <c r="N39" s="182">
        <v>50</v>
      </c>
      <c r="O39" s="181">
        <f>SQRT(Table_03[[#This Row],[Static Parameters Moment of Inertia Ix (in4)]]/Table_03[[#This Row],[Sectional Area (in2)]])</f>
        <v>2.9008321251189133</v>
      </c>
      <c r="P39" s="181">
        <f>SQRT(Table_03[[#This Row],[Static Parameters Moment of Inertia Iy (in4)]]/Table_03[[#This Row],[Sectional Area (in2)]])</f>
        <v>0.80504995905428833</v>
      </c>
      <c r="Q39" s="181">
        <f>($B$6*$B$5*12)/Table_03[[#This Row],[ry (in)2]]</f>
        <v>223.02963683262806</v>
      </c>
      <c r="R39" s="181">
        <f>(PI()^2*$B$4)/(Table_03[[#This Row],[KL/ry]]^2)</f>
        <v>5.7540361875338073</v>
      </c>
      <c r="S39" s="181">
        <f>IF(Table_03[[#This Row],[Strength (ksi)]]/Table_03[[#This Row],[Fe,y]]&lt;2.25,(0.658^(Table_03[[#This Row],[Strength (ksi)]]/Table_03[[#This Row],[Fe,y]])*Table_03[[#This Row],[Strength (ksi)]]),0.877*Table_03[[#This Row],[Fe,y]])</f>
        <v>5.0462897364671493</v>
      </c>
      <c r="T39" s="181">
        <f>Table_03[[#This Row],[Fcr,y]]*Table_03[[#This Row],[Sectional Area (in2)]]</f>
        <v>15.315489350177799</v>
      </c>
      <c r="U39" s="181">
        <f>1.76*Table_03[[#This Row],[ry (in)2]]*SQRT($B$4/Table_03[[#This Row],[Strength (ksi)]])/12</f>
        <v>2.8435983319641562</v>
      </c>
      <c r="V3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8.4062188430075526</v>
      </c>
      <c r="W39" s="181">
        <f>Table_03[[#This Row],[Depth h (in)]]-Table_03[[#This Row],[Flange Thickness tf (in)]]</f>
        <v>6.7130000000000001</v>
      </c>
      <c r="X39" s="181">
        <f>(Table_03[[#This Row],[Static Parameters Moment of Inertia Iy (in4)]]*Table_03[[#This Row],[ho]]^2)/4</f>
        <v>22.16040345575</v>
      </c>
      <c r="Y39" s="181">
        <f>SQRT((SQRT(Table_03[[#This Row],[Static Parameters Moment of Inertia Iy (in4)]]*Table_03[[#This Row],[Cw*]])/Table_03[[#This Row],[Static Parameters Elastic Section Modulus Sx (in3)2]]))</f>
        <v>0.94912441427490624</v>
      </c>
      <c r="Z39" s="181">
        <f>(2*Table_03[[#This Row],[Width w (in)]]*Table_03[[#This Row],[Flange Thickness tf (in)]]^3/3)+((Table_03[[#This Row],[Depth h (in)]]-Table_03[[#This Row],[Flange Thickness tf (in)]]*2)*Table_03[[#This Row],[Web Thickness tw (in)]]^3)/3</f>
        <v>5.0464078523000007E-2</v>
      </c>
      <c r="AA39" s="181">
        <f>Table_03[[#This Row],[Width w (in)]]*0.5/Table_03[[#This Row],[Flange Thickness tf (in)]]</f>
        <v>6.998046875</v>
      </c>
      <c r="AB39" s="181">
        <f>0.38*SQRT($B$4/Table_03[[#This Row],[Strength (ksi)]])</f>
        <v>9.1516118798821449</v>
      </c>
      <c r="AC39" s="181">
        <f>1*SQRT($B$4/Table_03[[#This Row],[Strength (ksi)]])</f>
        <v>24.083189157584592</v>
      </c>
      <c r="AD39" s="181">
        <f>(PI()^2*$B$4/(12*$B$5/Table_03[[#This Row],[rts]])^2)*SQRT(1+0.078*(Table_03[[#This Row],[J*]]/(Table_03[[#This Row],[Static Parameters Elastic Section Modulus Sx (in3)2]]*Table_03[[#This Row],[ho]])*$B$4/(12*$B$5/Table_03[[#This Row],[rts]])^2))</f>
        <v>35.275556922897401</v>
      </c>
      <c r="AE39" s="181">
        <f>0.69*$B$4/Table_03[[#This Row],[b/t]]^2</f>
        <v>408.59532591378536</v>
      </c>
      <c r="AF39" s="183">
        <f>Table_03[[#This Row],[Strength (ksi)]]*Table_03[[#This Row],[Static Parameters Plastic Section Modulus Zx (in3)]]</f>
        <v>395.9504347125</v>
      </c>
      <c r="AG39" s="181">
        <f>Table_03[[#This Row],[Mp (k-in)]]-(Table_03[[#This Row],[Mp (k-in)]]-0.7*Table_03[[#This Row],[Strength (ksi)]]*Table_03[[#This Row],[Static Parameters Elastic Section Modulus Sx (in3)2]])*((Table_03[[#This Row],[b/t]]-Table_03[[#This Row],[λpf]])/(Table_03[[#This Row],[λrf]]-Table_03[[#This Row],[λpf]]))</f>
        <v>416.06105444493687</v>
      </c>
      <c r="AH39" s="184">
        <f>0.9*$B$4*Table_03[[#This Row],[kc]]*Table_03[[#This Row],[Static Parameters Elastic Section Modulus Sx (in3)2]]/Table_03[[#This Row],[b/t]]^2</f>
        <v>2433.0422246002754</v>
      </c>
      <c r="AI39" s="185" t="str">
        <f>IF(Table_03[[#This Row],[b/t]]&lt;Table_03[[#This Row],[λpf]],"Compact",IF(AND(Table_03[[#This Row],[b/t]]&gt;Table_03[[#This Row],[λpf]],Table_03[[#This Row],[λrf]]&gt;Table_03[[#This Row],[b/t]]),"Non-Compact","Slender"))</f>
        <v>Compact</v>
      </c>
      <c r="AJ39" s="186">
        <f>IF(Table_03[[#This Row],[Controlling LBx]]="Compact",Table_03[[#This Row],[Mp (k-in)]],IF(Table_03[[#This Row],[Controlling LBx]]="Non-Compact",Table_03[[#This Row],[Mnlb,Non-Compact (k-in)]],IF(Table_03[[#This Row],[Controlling LBx]]="Slender",Table_03[[#This Row],[Mnlb,slender (k-in)]],"ERROR")))</f>
        <v>395.9504347125</v>
      </c>
      <c r="AK39" s="183">
        <f>Table_03[[#This Row],[Mp (k-in)]]-(Table_03[[#This Row],[Mp (k-in)]]-0.7*Table_03[[#This Row],[Strength (ksi)]]*Table_03[[#This Row],[Static Parameters Elastic Section Modulus Sx (in3)2]])*(($B$5-Table_03[[#This Row],[Lp (ft)]])/(Table_03[[#This Row],[Lr]]-Table_03[[#This Row],[Lp (ft)]]))</f>
        <v>288.63067389541283</v>
      </c>
      <c r="AL39" s="184">
        <f>Table_03[[#This Row],[Fcrx]]*Table_03[[#This Row],[Static Parameters Elastic Section Modulus Sx (in3)2]]</f>
        <v>258.53455668791503</v>
      </c>
      <c r="AM39" s="185" t="str">
        <f>IF($B$5&lt;Table_03[[#This Row],[Lp (ft)]],"Yielding Controls",IF(AND($B$5&gt;Table_03[[#This Row],[Lp (ft)]],Table_03[[#This Row],[Lr]]&gt;$B$5),"Mltb,p Controls","Mltb,r Controls"))</f>
        <v>Mltb,p Controls</v>
      </c>
      <c r="AN39" s="186">
        <f>IF(Table_03[[#This Row],[Controlling LTB]]="Yielding Controls",Table_03[[#This Row],[Mp (k-in)]],IF(Table_03[[#This Row],[Controlling LTB]]="Mltb,p Controls",Table_03[[#This Row],[Mnltbp (k-in)]],IF(Table_03[[#This Row],[Controlling LTB]]="Mltb,r Controls",Table_03[[#This Row],[Mnltbr (k-in)]],"ERROR")))</f>
        <v>288.63067389541283</v>
      </c>
      <c r="AO39" s="183">
        <f>MIN(Table_03[[#This Row],[Strength (ksi)]]*Table_03[[#This Row],[Static Parameters Plastic Section Modulus Zy (in3)]],1.6*Table_03[[#This Row],[Strength (ksi)]]*Table_03[[#This Row],[Static Parameters Elastic Section Modulus Sy (in3)3]])</f>
        <v>84.467719312500009</v>
      </c>
      <c r="AP39" s="181">
        <f>MIN(Table_03[[#This Row],[Mny (k-in)]],Table_03[[#This Row],[Mny (k-in)]]-(Table_03[[#This Row],[Mny (k-in)]]-0.7*Table_03[[#This Row],[Static Parameters Elastic Section Modulus Sy (in3)3]]*Table_03[[#This Row],[Strength (ksi)]])*((Table_03[[#This Row],[b/t]]-Table_03[[#This Row],[λpf]])/(Table_03[[#This Row],[λrf]]-Table_03[[#This Row],[λpf]])))</f>
        <v>84.467719312500009</v>
      </c>
      <c r="AQ39" s="184">
        <f>MIN(Table_03[[#This Row],[Mny (k-in)]],Table_03[[#This Row],[Fcry]]*Table_03[[#This Row],[Static Parameters Elastic Section Modulus Sy (in3)3]])</f>
        <v>84.467719312500009</v>
      </c>
      <c r="AR39" s="185" t="str">
        <f>IF(Table_03[[#This Row],[b/t]]&lt;Table_03[[#This Row],[λpf]],"Compact",IF(AND(Table_03[[#This Row],[b/t]]&gt;Table_03[[#This Row],[λpf]],Table_03[[#This Row],[λrf]]&gt;Table_03[[#This Row],[b/t]]),"Non-Compact","Slender"))</f>
        <v>Compact</v>
      </c>
      <c r="AS39" s="186">
        <f>IF(Table_03[[#This Row],[Controlling Lby]]="Compact",Table_03[[#This Row],[Mny (k-in)]],IF(Table_03[[#This Row],[Controlling Lby]]="Non-Compact",Table_03[[#This Row],[Mlby,Non-Compact (k-in)]],IF(Table_03[[#This Row],[Controlling Lby]]="Slender",Table_03[[#This Row],[Mlby,Slender (k-in)]],"ERROR")))</f>
        <v>84.467719312500009</v>
      </c>
      <c r="AT39" s="183">
        <f>MIN(Table_03[[#This Row],[LBx]],Table_03[[#This Row],[LTB]],Table_03[[#This Row],[Mp (k-in)]])</f>
        <v>288.63067389541283</v>
      </c>
      <c r="AU39" s="181">
        <f>Table_03[[#This Row],[Mp (k-in)]]</f>
        <v>395.9504347125</v>
      </c>
      <c r="AV39" s="181">
        <f>MIN(Table_03[[#This Row],[LBy]],Table_03[[#This Row],[Mny (k-in)]])</f>
        <v>84.467719312500009</v>
      </c>
      <c r="AW39" s="187">
        <f>Table_03[[#This Row],[Mny (k-in)]]</f>
        <v>84.467719312500009</v>
      </c>
      <c r="AX39" s="169"/>
      <c r="AY39" s="165">
        <f>IF(4/SQRT((Table_03[[#This Row],[Depth h (in)]]-Table_03[[#This Row],[Flange Thickness tf (in)]]*2)/Table_03[[#This Row],[Web Thickness tw (in)]])&lt;0.35,0.35,IF(4/SQRT(Table_03[[#This Row],[Depth h (in)]]/Table_03[[#This Row],[Web Thickness tw (in)]])&gt;0.76,0.76,4/SQRT(Table_03[[#This Row],[Depth h (in)]]/Table_03[[#This Row],[Web Thickness tw (in)]])))</f>
        <v>0.6228996851765809</v>
      </c>
      <c r="AZ39" s="169"/>
    </row>
    <row r="40" spans="1:52" x14ac:dyDescent="0.3">
      <c r="A40" s="188" t="s">
        <v>138</v>
      </c>
      <c r="B40" s="189">
        <f>B39-$B$1*2</f>
        <v>6.9690000000000003</v>
      </c>
      <c r="C40" s="189">
        <f>C39-$B$1*2</f>
        <v>3.5830000000000002</v>
      </c>
      <c r="D40" s="189">
        <f>D39-$B$1*2</f>
        <v>0.16900000000000001</v>
      </c>
      <c r="E40" s="189">
        <f>E39-$B$1*2</f>
        <v>0.25600000000000001</v>
      </c>
      <c r="F40" s="190">
        <f>2*Table_03[[#This Row],[Width w (in)]]*Table_03[[#This Row],[Flange Thickness tf (in)]]+Table_03[[#This Row],[Web Thickness tw (in)]]*(Table_03[[#This Row],[Depth h (in)]]-2*Table_03[[#This Row],[Flange Thickness tf (in)]])</f>
        <v>2.9257290000000005</v>
      </c>
      <c r="G40" s="189"/>
      <c r="H40"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24.469004353478756</v>
      </c>
      <c r="I40" s="190">
        <f>((Table_03[[#This Row],[Depth h (in)]]-2*Table_03[[#This Row],[Flange Thickness tf (in)]])*Table_03[[#This Row],[Web Thickness tw (in)]]^3/12+2*(Table_03[[#This Row],[Flange Thickness tf (in)]]*Table_03[[#This Row],[Width w (in)]]^3/12))</f>
        <v>1.9651852270547503</v>
      </c>
      <c r="J40" s="190">
        <f>Table_03[[#This Row],[Width w (in)]]*Table_03[[#This Row],[Flange Thickness tf (in)]]*(Table_03[[#This Row],[Depth h (in)]]-Table_03[[#This Row],[Flange Thickness tf (in)]])+0.25*Table_03[[#This Row],[Web Thickness tw (in)]]*(Table_03[[#This Row],[Depth h (in)]]-2*Table_03[[#This Row],[Flange Thickness tf (in)]])^2</f>
        <v>7.9190086942500004</v>
      </c>
      <c r="K40" s="190">
        <f>(Table_03[[#This Row],[Width w (in)]]^2*Table_03[[#This Row],[Flange Thickness tf (in)]])/2+0.25*Table_03[[#This Row],[Web Thickness tw (in)]]^2*(Table_03[[#This Row],[Depth h (in)]]-2*Table_03[[#This Row],[Flange Thickness tf (in)]])</f>
        <v>1.6893543862500002</v>
      </c>
      <c r="L40" s="190">
        <f>Table_03[[#This Row],[Static Parameters Moment of Inertia Ix (in4)]]/(Table_03[[#This Row],[Depth h (in)]]/2)</f>
        <v>7.0222426039542993</v>
      </c>
      <c r="M40" s="190">
        <f>Table_03[[#This Row],[Static Parameters Moment of Inertia Iy (in4)]]/(Table_03[[#This Row],[Width w (in)]]/2)</f>
        <v>1.0969496104129222</v>
      </c>
      <c r="N40" s="191">
        <v>50</v>
      </c>
      <c r="O40" s="169">
        <f>SQRT(Table_03[[#This Row],[Static Parameters Moment of Inertia Ix (in4)]]/Table_03[[#This Row],[Sectional Area (in2)]])</f>
        <v>2.8919521366066077</v>
      </c>
      <c r="P40" s="190">
        <f>SQRT(Table_03[[#This Row],[Static Parameters Moment of Inertia Iy (in4)]]/Table_03[[#This Row],[Sectional Area (in2)]])</f>
        <v>0.81956744156358574</v>
      </c>
      <c r="Q40" s="190">
        <f>($B$6*$B$5*12)/Table_03[[#This Row],[ry (in)2]]</f>
        <v>219.07898105060303</v>
      </c>
      <c r="R40" s="190">
        <f>(PI()^2*$B$4)/(Table_03[[#This Row],[KL/ry]]^2)</f>
        <v>5.9634326479991397</v>
      </c>
      <c r="S40" s="190">
        <f>IF(Table_03[[#This Row],[Strength (ksi)]]/Table_03[[#This Row],[Fe,y]]&lt;2.25,(0.658^(Table_03[[#This Row],[Strength (ksi)]]/Table_03[[#This Row],[Fe,y]])*Table_03[[#This Row],[Strength (ksi)]]),0.877*Table_03[[#This Row],[Fe,y]])</f>
        <v>5.2299304322952453</v>
      </c>
      <c r="T40" s="190">
        <f>Table_03[[#This Row],[Fcr,y]]*Table_03[[#This Row],[Sectional Area (in2)]]</f>
        <v>15.301359133748738</v>
      </c>
      <c r="U40" s="190">
        <f>1.76*Table_03[[#This Row],[ry (in)2]]*SQRT($B$4/Table_03[[#This Row],[Strength (ksi)]])/12</f>
        <v>2.8948769993107786</v>
      </c>
      <c r="V4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8.6422258744462859</v>
      </c>
      <c r="W40" s="190">
        <f>Table_03[[#This Row],[Depth h (in)]]-Table_03[[#This Row],[Flange Thickness tf (in)]]</f>
        <v>6.7130000000000001</v>
      </c>
      <c r="X40" s="190">
        <f>(Table_03[[#This Row],[Static Parameters Moment of Inertia Iy (in4)]]*Table_03[[#This Row],[ho]]^2)/4</f>
        <v>22.139958056336013</v>
      </c>
      <c r="Y40" s="190">
        <f>SQRT((SQRT(Table_03[[#This Row],[Static Parameters Moment of Inertia Iy (in4)]]*Table_03[[#This Row],[Cw*]])/Table_03[[#This Row],[Static Parameters Elastic Section Modulus Sx (in3)2]]))</f>
        <v>0.96918605438470184</v>
      </c>
      <c r="Z40" s="190">
        <f>(2*Table_03[[#This Row],[Width w (in)]]*Table_03[[#This Row],[Flange Thickness tf (in)]]^3/3)+((Table_03[[#This Row],[Depth h (in)]]-Table_03[[#This Row],[Flange Thickness tf (in)]]*2)*Table_03[[#This Row],[Web Thickness tw (in)]]^3)/3</f>
        <v>5.0464078523000007E-2</v>
      </c>
      <c r="AA40" s="190">
        <f>Table_03[[#This Row],[Width w (in)]]*0.5/Table_03[[#This Row],[Flange Thickness tf (in)]]</f>
        <v>6.998046875</v>
      </c>
      <c r="AB40" s="190">
        <f>0.38*SQRT($B$4/Table_03[[#This Row],[Strength (ksi)]])</f>
        <v>9.1516118798821449</v>
      </c>
      <c r="AC40" s="190">
        <f>1*SQRT($B$4/Table_03[[#This Row],[Strength (ksi)]])</f>
        <v>24.083189157584592</v>
      </c>
      <c r="AD40" s="190">
        <f>(PI()^2*$B$4/(12*$B$5/Table_03[[#This Row],[rts]])^2)*SQRT(1+0.078*(Table_03[[#This Row],[J*]]/(Table_03[[#This Row],[Static Parameters Elastic Section Modulus Sx (in3)2]]*Table_03[[#This Row],[ho]])*$B$4/(12*$B$5/Table_03[[#This Row],[rts]])^2))</f>
        <v>36.783019786250229</v>
      </c>
      <c r="AE40" s="190">
        <f>0.69*$B$4/Table_03[[#This Row],[b/t]]^2</f>
        <v>408.59532591378536</v>
      </c>
      <c r="AF40" s="192">
        <f>Table_03[[#This Row],[Strength (ksi)]]*Table_03[[#This Row],[Static Parameters Plastic Section Modulus Zx (in3)]]</f>
        <v>395.9504347125</v>
      </c>
      <c r="AG40" s="190">
        <f>Table_03[[#This Row],[Mp (k-in)]]-(Table_03[[#This Row],[Mp (k-in)]]-0.7*Table_03[[#This Row],[Strength (ksi)]]*Table_03[[#This Row],[Static Parameters Elastic Section Modulus Sx (in3)2]])*((Table_03[[#This Row],[b/t]]-Table_03[[#This Row],[λpf]])/(Table_03[[#This Row],[λrf]]-Table_03[[#This Row],[λpf]]))</f>
        <v>417.60956933582361</v>
      </c>
      <c r="AH40" s="193">
        <f>0.9*$B$4*Table_03[[#This Row],[kc]]*Table_03[[#This Row],[Static Parameters Elastic Section Modulus Sx (in3)2]]/Table_03[[#This Row],[b/t]]^2</f>
        <v>2331.2065447957157</v>
      </c>
      <c r="AI40" s="194" t="str">
        <f>IF(Table_03[[#This Row],[b/t]]&lt;Table_03[[#This Row],[λpf]],"Compact",IF(AND(Table_03[[#This Row],[b/t]]&gt;Table_03[[#This Row],[λpf]],Table_03[[#This Row],[λrf]]&gt;Table_03[[#This Row],[b/t]]),"Non-Compact","Slender"))</f>
        <v>Compact</v>
      </c>
      <c r="AJ40" s="195">
        <f>IF(Table_03[[#This Row],[Controlling LBx]]="Compact",Table_03[[#This Row],[Mp (k-in)]],IF(Table_03[[#This Row],[Controlling LBx]]="Non-Compact",Table_03[[#This Row],[Mnlb,Non-Compact (k-in)]],IF(Table_03[[#This Row],[Controlling LBx]]="Slender",Table_03[[#This Row],[Mnlb,slender (k-in)]],"ERROR")))</f>
        <v>395.9504347125</v>
      </c>
      <c r="AK40" s="192">
        <f>Table_03[[#This Row],[Mp (k-in)]]-(Table_03[[#This Row],[Mp (k-in)]]-0.7*Table_03[[#This Row],[Strength (ksi)]]*Table_03[[#This Row],[Static Parameters Elastic Section Modulus Sx (in3)2]])*(($B$5-Table_03[[#This Row],[Lp (ft)]])/(Table_03[[#This Row],[Lr]]-Table_03[[#This Row],[Lp (ft)]]))</f>
        <v>285.42194473006009</v>
      </c>
      <c r="AL40" s="196">
        <f>Table_03[[#This Row],[Fcrx]]*Table_03[[#This Row],[Static Parameters Elastic Section Modulus Sx (in3)2]]</f>
        <v>258.29928864510032</v>
      </c>
      <c r="AM40" s="197" t="str">
        <f>IF($B$5&lt;Table_03[[#This Row],[Lp (ft)]],"Yielding Controls",IF(AND($B$5&gt;Table_03[[#This Row],[Lp (ft)]],Table_03[[#This Row],[Lr]]&gt;$B$5),"Mltb,p Controls","Mltb,r Controls"))</f>
        <v>Mltb,p Controls</v>
      </c>
      <c r="AN40" s="198">
        <f>IF(Table_03[[#This Row],[Controlling LTB]]="Yielding Controls",Table_03[[#This Row],[Mp (k-in)]],IF(Table_03[[#This Row],[Controlling LTB]]="Mltb,p Controls",Table_03[[#This Row],[Mnltbp (k-in)]],IF(Table_03[[#This Row],[Controlling LTB]]="Mltb,r Controls",Table_03[[#This Row],[Mnltbr (k-in)]],"ERROR")))</f>
        <v>285.42194473006009</v>
      </c>
      <c r="AO40" s="199">
        <f>MIN(Table_03[[#This Row],[Strength (ksi)]]*Table_03[[#This Row],[Static Parameters Plastic Section Modulus Zy (in3)]],1.6*Table_03[[#This Row],[Strength (ksi)]]*Table_03[[#This Row],[Static Parameters Elastic Section Modulus Sy (in3)3]])</f>
        <v>84.467719312500009</v>
      </c>
      <c r="AP40" s="169">
        <f>MIN(Table_03[[#This Row],[Mny (k-in)]],Table_03[[#This Row],[Mny (k-in)]]-(Table_03[[#This Row],[Mny (k-in)]]-0.7*Table_03[[#This Row],[Static Parameters Elastic Section Modulus Sy (in3)3]]*Table_03[[#This Row],[Strength (ksi)]])*((Table_03[[#This Row],[b/t]]-Table_03[[#This Row],[λpf]])/(Table_03[[#This Row],[λrf]]-Table_03[[#This Row],[λpf]])))</f>
        <v>84.467719312500009</v>
      </c>
      <c r="AQ40" s="196">
        <f>MIN(Table_03[[#This Row],[Mny (k-in)]],Table_03[[#This Row],[Fcry]]*Table_03[[#This Row],[Static Parameters Elastic Section Modulus Sy (in3)3]])</f>
        <v>84.467719312500009</v>
      </c>
      <c r="AR40" s="197" t="str">
        <f>IF(Table_03[[#This Row],[b/t]]&lt;Table_03[[#This Row],[λpf]],"Compact",IF(AND(Table_03[[#This Row],[b/t]]&gt;Table_03[[#This Row],[λpf]],Table_03[[#This Row],[λrf]]&gt;Table_03[[#This Row],[b/t]]),"Non-Compact","Slender"))</f>
        <v>Compact</v>
      </c>
      <c r="AS40" s="198">
        <f>IF(Table_03[[#This Row],[Controlling Lby]]="Compact",Table_03[[#This Row],[Mny (k-in)]],IF(Table_03[[#This Row],[Controlling Lby]]="Non-Compact",Table_03[[#This Row],[Mlby,Non-Compact (k-in)]],IF(Table_03[[#This Row],[Controlling Lby]]="Slender",Table_03[[#This Row],[Mlby,Slender (k-in)]],"ERROR")))</f>
        <v>84.467719312500009</v>
      </c>
      <c r="AT40" s="199">
        <f>MIN(Table_03[[#This Row],[LBx]],Table_03[[#This Row],[LTB]],Table_03[[#This Row],[Mp (k-in)]])</f>
        <v>285.42194473006009</v>
      </c>
      <c r="AU40" s="169">
        <f>Table_03[[#This Row],[Mp (k-in)]]</f>
        <v>395.9504347125</v>
      </c>
      <c r="AV40" s="169">
        <f>MIN(Table_03[[#This Row],[LBy]],Table_03[[#This Row],[Mny (k-in)]])</f>
        <v>84.467719312500009</v>
      </c>
      <c r="AW40" s="200">
        <f>Table_03[[#This Row],[Mny (k-in)]]</f>
        <v>84.467719312500009</v>
      </c>
      <c r="AX40" s="169"/>
      <c r="AY40" s="165">
        <f>IF(4/SQRT((Table_03[[#This Row],[Depth h (in)]]-Table_03[[#This Row],[Flange Thickness tf (in)]]*2)/Table_03[[#This Row],[Web Thickness tw (in)]])&lt;0.35,0.35,IF(4/SQRT(Table_03[[#This Row],[Depth h (in)]]/Table_03[[#This Row],[Web Thickness tw (in)]])&gt;0.76,0.76,4/SQRT(Table_03[[#This Row],[Depth h (in)]]/Table_03[[#This Row],[Web Thickness tw (in)]])))</f>
        <v>0.6228996851765809</v>
      </c>
      <c r="AZ40" s="169"/>
    </row>
    <row r="41" spans="1:52" ht="14.4" thickBot="1" x14ac:dyDescent="0.35">
      <c r="A41" s="201" t="s">
        <v>139</v>
      </c>
      <c r="B41" s="202">
        <f>B39-$B$3*2</f>
        <v>6.8890000000000002</v>
      </c>
      <c r="C41" s="202">
        <f>C39-$B$3*2</f>
        <v>3.5030000000000001</v>
      </c>
      <c r="D41" s="202">
        <f>D39-$B$3*2</f>
        <v>8.900000000000001E-2</v>
      </c>
      <c r="E41" s="202">
        <f>E39-$B$3*2</f>
        <v>0.17599999999999999</v>
      </c>
      <c r="F41" s="203">
        <f>2*Table_03[[#This Row],[Width w (in)]]*Table_03[[#This Row],[Flange Thickness tf (in)]]+Table_03[[#This Row],[Web Thickness tw (in)]]*(Table_03[[#This Row],[Depth h (in)]]-2*Table_03[[#This Row],[Flange Thickness tf (in)]])</f>
        <v>1.8148489999999999</v>
      </c>
      <c r="G41" s="204"/>
      <c r="H41"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15.966688337105417</v>
      </c>
      <c r="I41" s="203">
        <f>((Table_03[[#This Row],[Depth h (in)]]-2*Table_03[[#This Row],[Flange Thickness tf (in)]])*Table_03[[#This Row],[Web Thickness tw (in)]]^3/12+2*(Table_03[[#This Row],[Flange Thickness tf (in)]]*Table_03[[#This Row],[Width w (in)]]^3/12))</f>
        <v>1.2612874713214166</v>
      </c>
      <c r="J41" s="203">
        <f>Table_03[[#This Row],[Width w (in)]]*Table_03[[#This Row],[Flange Thickness tf (in)]]*(Table_03[[#This Row],[Depth h (in)]]-Table_03[[#This Row],[Flange Thickness tf (in)]])+0.25*Table_03[[#This Row],[Web Thickness tw (in)]]*(Table_03[[#This Row],[Depth h (in)]]-2*Table_03[[#This Row],[Flange Thickness tf (in)]])^2</f>
        <v>5.0895476742499994</v>
      </c>
      <c r="K41" s="203">
        <f>(Table_03[[#This Row],[Width w (in)]]^2*Table_03[[#This Row],[Flange Thickness tf (in)]])/2+0.25*Table_03[[#This Row],[Web Thickness tw (in)]]^2*(Table_03[[#This Row],[Depth h (in)]]-2*Table_03[[#This Row],[Flange Thickness tf (in)]])</f>
        <v>1.0927936862499998</v>
      </c>
      <c r="L41" s="203">
        <f>Table_03[[#This Row],[Static Parameters Moment of Inertia Ix (in4)]]/(Table_03[[#This Row],[Depth h (in)]]/2)</f>
        <v>4.6354153976209655</v>
      </c>
      <c r="M41" s="203">
        <f>Table_03[[#This Row],[Static Parameters Moment of Inertia Iy (in4)]]/(Table_03[[#This Row],[Width w (in)]]/2)</f>
        <v>0.72011845350923009</v>
      </c>
      <c r="N41" s="205">
        <v>50</v>
      </c>
      <c r="O41" s="206">
        <f>SQRT(Table_03[[#This Row],[Static Parameters Moment of Inertia Ix (in4)]]/Table_03[[#This Row],[Sectional Area (in2)]])</f>
        <v>2.96610947245735</v>
      </c>
      <c r="P41" s="203">
        <f>SQRT(Table_03[[#This Row],[Static Parameters Moment of Inertia Iy (in4)]]/Table_03[[#This Row],[Sectional Area (in2)]])</f>
        <v>0.83365583190326276</v>
      </c>
      <c r="Q41" s="203">
        <f>($B$6*$B$5*12)/Table_03[[#This Row],[ry (in)2]]</f>
        <v>215.376649606207</v>
      </c>
      <c r="R41" s="203">
        <f>(PI()^2*$B$4)/(Table_03[[#This Row],[KL/ry]]^2)</f>
        <v>6.1702180186842979</v>
      </c>
      <c r="S41" s="203">
        <f>IF(Table_03[[#This Row],[Strength (ksi)]]/Table_03[[#This Row],[Fe,y]]&lt;2.25,(0.658^(Table_03[[#This Row],[Strength (ksi)]]/Table_03[[#This Row],[Fe,y]])*Table_03[[#This Row],[Strength (ksi)]]),0.877*Table_03[[#This Row],[Fe,y]])</f>
        <v>5.411281202386129</v>
      </c>
      <c r="T41" s="203">
        <f>Table_03[[#This Row],[Fcr,y]]*Table_03[[#This Row],[Sectional Area (in2)]]</f>
        <v>9.8206582788692636</v>
      </c>
      <c r="U41" s="203">
        <f>1.76*Table_03[[#This Row],[ry (in)2]]*SQRT($B$4/Table_03[[#This Row],[Strength (ksi)]])/12</f>
        <v>2.9446400268339734</v>
      </c>
      <c r="V4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7.7522677378709623</v>
      </c>
      <c r="W41" s="203">
        <f>Table_03[[#This Row],[Depth h (in)]]-Table_03[[#This Row],[Flange Thickness tf (in)]]</f>
        <v>6.7130000000000001</v>
      </c>
      <c r="X41" s="203">
        <f>(Table_03[[#This Row],[Static Parameters Moment of Inertia Iy (in4)]]*Table_03[[#This Row],[ho]]^2)/4</f>
        <v>14.209781005676309</v>
      </c>
      <c r="Y41" s="203">
        <f>SQRT((SQRT(Table_03[[#This Row],[Static Parameters Moment of Inertia Iy (in4)]]*Table_03[[#This Row],[Cw*]])/Table_03[[#This Row],[Static Parameters Elastic Section Modulus Sx (in3)2]]))</f>
        <v>0.95566578406980829</v>
      </c>
      <c r="Z41" s="203">
        <f>(2*Table_03[[#This Row],[Width w (in)]]*Table_03[[#This Row],[Flange Thickness tf (in)]]^3/3)+((Table_03[[#This Row],[Depth h (in)]]-Table_03[[#This Row],[Flange Thickness tf (in)]]*2)*Table_03[[#This Row],[Web Thickness tw (in)]]^3)/3</f>
        <v>1.4267841669666666E-2</v>
      </c>
      <c r="AA41" s="203">
        <f>Table_03[[#This Row],[Width w (in)]]*0.5/Table_03[[#This Row],[Flange Thickness tf (in)]]</f>
        <v>9.9517045454545467</v>
      </c>
      <c r="AB41" s="203">
        <f>0.38*SQRT($B$4/Table_03[[#This Row],[Strength (ksi)]])</f>
        <v>9.1516118798821449</v>
      </c>
      <c r="AC41" s="203">
        <f>1*SQRT($B$4/Table_03[[#This Row],[Strength (ksi)]])</f>
        <v>24.083189157584592</v>
      </c>
      <c r="AD41" s="203">
        <f>(PI()^2*$B$4/(12*$B$5/Table_03[[#This Row],[rts]])^2)*SQRT(1+0.078*(Table_03[[#This Row],[J*]]/(Table_03[[#This Row],[Static Parameters Elastic Section Modulus Sx (in3)2]]*Table_03[[#This Row],[ho]])*$B$4/(12*$B$5/Table_03[[#This Row],[rts]])^2))</f>
        <v>35.760676292039314</v>
      </c>
      <c r="AE41" s="203">
        <f>0.69*$B$4/Table_03[[#This Row],[b/t]]^2</f>
        <v>202.04687650379844</v>
      </c>
      <c r="AF41" s="207">
        <f>Table_03[[#This Row],[Strength (ksi)]]*Table_03[[#This Row],[Static Parameters Plastic Section Modulus Zx (in3)]]</f>
        <v>254.47738371249997</v>
      </c>
      <c r="AG41" s="203">
        <f>Table_03[[#This Row],[Mp (k-in)]]-(Table_03[[#This Row],[Mp (k-in)]]-0.7*Table_03[[#This Row],[Strength (ksi)]]*Table_03[[#This Row],[Static Parameters Elastic Section Modulus Sx (in3)2]])*((Table_03[[#This Row],[b/t]]-Table_03[[#This Row],[λpf]])/(Table_03[[#This Row],[λrf]]-Table_03[[#This Row],[λpf]]))</f>
        <v>249.53491703689278</v>
      </c>
      <c r="AH41" s="208">
        <f>0.9*$B$4*Table_03[[#This Row],[kc]]*Table_03[[#This Row],[Static Parameters Elastic Section Modulus Sx (in3)2]]/Table_03[[#This Row],[b/t]]^2</f>
        <v>555.40670835908998</v>
      </c>
      <c r="AI41" s="209" t="str">
        <f>IF(Table_03[[#This Row],[b/t]]&lt;Table_03[[#This Row],[λpf]],"Compact",IF(AND(Table_03[[#This Row],[b/t]]&gt;Table_03[[#This Row],[λpf]],Table_03[[#This Row],[λrf]]&gt;Table_03[[#This Row],[b/t]]),"Non-Compact","Slender"))</f>
        <v>Non-Compact</v>
      </c>
      <c r="AJ41" s="210">
        <f>IF(Table_03[[#This Row],[Controlling LBx]]="Compact",Table_03[[#This Row],[Mp (k-in)]],IF(Table_03[[#This Row],[Controlling LBx]]="Non-Compact",Table_03[[#This Row],[Mnlb,Non-Compact (k-in)]],IF(Table_03[[#This Row],[Controlling LBx]]="Slender",Table_03[[#This Row],[Mnlb,slender (k-in)]],"ERROR")))</f>
        <v>249.53491703689278</v>
      </c>
      <c r="AK41" s="207">
        <f>Table_03[[#This Row],[Mp (k-in)]]-(Table_03[[#This Row],[Mp (k-in)]]-0.7*Table_03[[#This Row],[Strength (ksi)]]*Table_03[[#This Row],[Static Parameters Elastic Section Modulus Sx (in3)2]])*(($B$5-Table_03[[#This Row],[Lp (ft)]])/(Table_03[[#This Row],[Lr]]-Table_03[[#This Row],[Lp (ft)]]))</f>
        <v>174.27412805896449</v>
      </c>
      <c r="AL41" s="211">
        <f>Table_03[[#This Row],[Fcrx]]*Table_03[[#This Row],[Static Parameters Elastic Section Modulus Sx (in3)2]]</f>
        <v>165.76558951345805</v>
      </c>
      <c r="AM41" s="212" t="str">
        <f>IF($B$5&lt;Table_03[[#This Row],[Lp (ft)]],"Yielding Controls",IF(AND($B$5&gt;Table_03[[#This Row],[Lp (ft)]],Table_03[[#This Row],[Lr]]&gt;$B$5),"Mltb,p Controls","Mltb,r Controls"))</f>
        <v>Mltb,p Controls</v>
      </c>
      <c r="AN41" s="213">
        <f>IF(Table_03[[#This Row],[Controlling LTB]]="Yielding Controls",Table_03[[#This Row],[Mp (k-in)]],IF(Table_03[[#This Row],[Controlling LTB]]="Mltb,p Controls",Table_03[[#This Row],[Mnltbp (k-in)]],IF(Table_03[[#This Row],[Controlling LTB]]="Mltb,r Controls",Table_03[[#This Row],[Mnltbr (k-in)]],"ERROR")))</f>
        <v>174.27412805896449</v>
      </c>
      <c r="AO41" s="214">
        <f>MIN(Table_03[[#This Row],[Strength (ksi)]]*Table_03[[#This Row],[Static Parameters Plastic Section Modulus Zy (in3)]],1.6*Table_03[[#This Row],[Strength (ksi)]]*Table_03[[#This Row],[Static Parameters Elastic Section Modulus Sy (in3)3]])</f>
        <v>54.639684312499995</v>
      </c>
      <c r="AP41" s="206">
        <f>MIN(Table_03[[#This Row],[Mny (k-in)]],Table_03[[#This Row],[Mny (k-in)]]-(Table_03[[#This Row],[Mny (k-in)]]-0.7*Table_03[[#This Row],[Static Parameters Elastic Section Modulus Sy (in3)3]]*Table_03[[#This Row],[Strength (ksi)]])*((Table_03[[#This Row],[b/t]]-Table_03[[#This Row],[λpf]])/(Table_03[[#This Row],[λrf]]-Table_03[[#This Row],[λpf]])))</f>
        <v>53.062412335484588</v>
      </c>
      <c r="AQ41" s="211">
        <f>MIN(Table_03[[#This Row],[Mny (k-in)]],Table_03[[#This Row],[Fcry]]*Table_03[[#This Row],[Static Parameters Elastic Section Modulus Sy (in3)3]])</f>
        <v>54.639684312499995</v>
      </c>
      <c r="AR41" s="212" t="str">
        <f>IF(Table_03[[#This Row],[b/t]]&lt;Table_03[[#This Row],[λpf]],"Compact",IF(AND(Table_03[[#This Row],[b/t]]&gt;Table_03[[#This Row],[λpf]],Table_03[[#This Row],[λrf]]&gt;Table_03[[#This Row],[b/t]]),"Non-Compact","Slender"))</f>
        <v>Non-Compact</v>
      </c>
      <c r="AS41" s="213">
        <f>IF(Table_03[[#This Row],[Controlling Lby]]="Compact",Table_03[[#This Row],[Mny (k-in)]],IF(Table_03[[#This Row],[Controlling Lby]]="Non-Compact",Table_03[[#This Row],[Mlby,Non-Compact (k-in)]],IF(Table_03[[#This Row],[Controlling Lby]]="Slender",Table_03[[#This Row],[Mlby,Slender (k-in)]],"ERROR")))</f>
        <v>53.062412335484588</v>
      </c>
      <c r="AT41" s="214">
        <f>MIN(Table_03[[#This Row],[LBx]],Table_03[[#This Row],[LTB]],Table_03[[#This Row],[Mp (k-in)]])</f>
        <v>174.27412805896449</v>
      </c>
      <c r="AU41" s="206">
        <f>Table_03[[#This Row],[Mp (k-in)]]</f>
        <v>254.47738371249997</v>
      </c>
      <c r="AV41" s="206">
        <f>MIN(Table_03[[#This Row],[LBy]],Table_03[[#This Row],[Mny (k-in)]])</f>
        <v>53.062412335484588</v>
      </c>
      <c r="AW41" s="215">
        <f>Table_03[[#This Row],[Mny (k-in)]]</f>
        <v>54.639684312499995</v>
      </c>
      <c r="AX41" s="169"/>
      <c r="AY41" s="165">
        <f>IF(4/SQRT((Table_03[[#This Row],[Depth h (in)]]-Table_03[[#This Row],[Flange Thickness tf (in)]]*2)/Table_03[[#This Row],[Web Thickness tw (in)]])&lt;0.35,0.35,IF(4/SQRT(Table_03[[#This Row],[Depth h (in)]]/Table_03[[#This Row],[Web Thickness tw (in)]])&gt;0.76,0.76,4/SQRT(Table_03[[#This Row],[Depth h (in)]]/Table_03[[#This Row],[Web Thickness tw (in)]])))</f>
        <v>0.45464969311116166</v>
      </c>
      <c r="AZ41" s="169"/>
    </row>
    <row r="42" spans="1:52" x14ac:dyDescent="0.3">
      <c r="A42" s="179" t="s">
        <v>140</v>
      </c>
      <c r="B42" s="180">
        <v>7.0860000000000003</v>
      </c>
      <c r="C42" s="180">
        <v>3.5830000000000002</v>
      </c>
      <c r="D42" s="180">
        <v>0.20899999999999999</v>
      </c>
      <c r="E42" s="180">
        <v>0.315</v>
      </c>
      <c r="F42" s="181">
        <v>3.7050000000000001</v>
      </c>
      <c r="G42" s="180"/>
      <c r="H42" s="180">
        <v>31.640999999999998</v>
      </c>
      <c r="I42" s="180">
        <v>2.403</v>
      </c>
      <c r="J42" s="181">
        <f>Table_03[[#This Row],[Width w (in)]]*Table_03[[#This Row],[Flange Thickness tf (in)]]*(Table_03[[#This Row],[Depth h (in)]]-Table_03[[#This Row],[Flange Thickness tf (in)]])+0.25*Table_03[[#This Row],[Web Thickness tw (in)]]*(Table_03[[#This Row],[Depth h (in)]]-2*Table_03[[#This Row],[Flange Thickness tf (in)]])^2</f>
        <v>9.8198319510000012</v>
      </c>
      <c r="K42" s="181">
        <f>(Table_03[[#This Row],[Width w (in)]]^2*Table_03[[#This Row],[Flange Thickness tf (in)]])/2+0.25*Table_03[[#This Row],[Web Thickness tw (in)]]^2*(Table_03[[#This Row],[Depth h (in)]]-2*Table_03[[#This Row],[Flange Thickness tf (in)]])</f>
        <v>2.0924686515000004</v>
      </c>
      <c r="L42" s="181">
        <v>8.9280000000000008</v>
      </c>
      <c r="M42" s="181">
        <v>1.3520000000000001</v>
      </c>
      <c r="N42" s="182">
        <v>50</v>
      </c>
      <c r="O42" s="181">
        <f>SQRT(Table_03[[#This Row],[Static Parameters Moment of Inertia Ix (in4)]]/Table_03[[#This Row],[Sectional Area (in2)]])</f>
        <v>2.9223416931734589</v>
      </c>
      <c r="P42" s="181">
        <f>SQRT(Table_03[[#This Row],[Static Parameters Moment of Inertia Iy (in4)]]/Table_03[[#This Row],[Sectional Area (in2)]])</f>
        <v>0.80534650676054775</v>
      </c>
      <c r="Q42" s="181">
        <f>($B$6*$B$5*12)/Table_03[[#This Row],[ry (in)2]]</f>
        <v>222.94751202464121</v>
      </c>
      <c r="R42" s="181">
        <f>(PI()^2*$B$4)/(Table_03[[#This Row],[KL/ry]]^2)</f>
        <v>5.7582760747315529</v>
      </c>
      <c r="S42" s="181">
        <f>IF(Table_03[[#This Row],[Strength (ksi)]]/Table_03[[#This Row],[Fe,y]]&lt;2.25,(0.658^(Table_03[[#This Row],[Strength (ksi)]]/Table_03[[#This Row],[Fe,y]])*Table_03[[#This Row],[Strength (ksi)]]),0.877*Table_03[[#This Row],[Fe,y]])</f>
        <v>5.0500081175395719</v>
      </c>
      <c r="T42" s="181">
        <f>Table_03[[#This Row],[Fcr,y]]*Table_03[[#This Row],[Sectional Area (in2)]]</f>
        <v>18.710280075484114</v>
      </c>
      <c r="U42" s="181">
        <f>1.76*Table_03[[#This Row],[ry (in)2]]*SQRT($B$4/Table_03[[#This Row],[Strength (ksi)]])/12</f>
        <v>2.8446457980914235</v>
      </c>
      <c r="V4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9.1465373040856388</v>
      </c>
      <c r="W42" s="181">
        <f>Table_03[[#This Row],[Depth h (in)]]-Table_03[[#This Row],[Flange Thickness tf (in)]]</f>
        <v>6.7709999999999999</v>
      </c>
      <c r="X42" s="181">
        <f>(Table_03[[#This Row],[Static Parameters Moment of Inertia Iy (in4)]]*Table_03[[#This Row],[ho]]^2)/4</f>
        <v>27.542249430750001</v>
      </c>
      <c r="Y42" s="181">
        <f>SQRT((SQRT(Table_03[[#This Row],[Static Parameters Moment of Inertia Iy (in4)]]*Table_03[[#This Row],[Cw*]])/Table_03[[#This Row],[Static Parameters Elastic Section Modulus Sx (in3)2]]))</f>
        <v>0.95457752224098691</v>
      </c>
      <c r="Z42" s="181">
        <f>(2*Table_03[[#This Row],[Width w (in)]]*Table_03[[#This Row],[Flange Thickness tf (in)]]^3/3)+((Table_03[[#This Row],[Depth h (in)]]-Table_03[[#This Row],[Flange Thickness tf (in)]]*2)*Table_03[[#This Row],[Web Thickness tw (in)]]^3)/3</f>
        <v>9.4306182758000012E-2</v>
      </c>
      <c r="AA42" s="181">
        <f>Table_03[[#This Row],[Width w (in)]]*0.5/Table_03[[#This Row],[Flange Thickness tf (in)]]</f>
        <v>5.6873015873015875</v>
      </c>
      <c r="AB42" s="181">
        <f>0.38*SQRT($B$4/Table_03[[#This Row],[Strength (ksi)]])</f>
        <v>9.1516118798821449</v>
      </c>
      <c r="AC42" s="181">
        <f>1*SQRT($B$4/Table_03[[#This Row],[Strength (ksi)]])</f>
        <v>24.083189157584592</v>
      </c>
      <c r="AD42" s="181">
        <f>(PI()^2*$B$4/(12*$B$5/Table_03[[#This Row],[rts]])^2)*SQRT(1+0.078*(Table_03[[#This Row],[J*]]/(Table_03[[#This Row],[Static Parameters Elastic Section Modulus Sx (in3)2]]*Table_03[[#This Row],[ho]])*$B$4/(12*$B$5/Table_03[[#This Row],[rts]])^2))</f>
        <v>35.684812147935894</v>
      </c>
      <c r="AE42" s="181">
        <f>0.69*$B$4/Table_03[[#This Row],[b/t]]^2</f>
        <v>618.63511983940657</v>
      </c>
      <c r="AF42" s="183">
        <f>Table_03[[#This Row],[Strength (ksi)]]*Table_03[[#This Row],[Static Parameters Plastic Section Modulus Zx (in3)]]</f>
        <v>490.99159755000005</v>
      </c>
      <c r="AG42" s="181">
        <f>Table_03[[#This Row],[Mp (k-in)]]-(Table_03[[#This Row],[Mp (k-in)]]-0.7*Table_03[[#This Row],[Strength (ksi)]]*Table_03[[#This Row],[Static Parameters Elastic Section Modulus Sx (in3)2]])*((Table_03[[#This Row],[b/t]]-Table_03[[#This Row],[λpf]])/(Table_03[[#This Row],[λrf]]-Table_03[[#This Row],[λpf]]))</f>
        <v>532.40849231174491</v>
      </c>
      <c r="AH42" s="184">
        <f>0.9*$B$4*Table_03[[#This Row],[kc]]*Table_03[[#This Row],[Static Parameters Elastic Section Modulus Sx (in3)2]]/Table_03[[#This Row],[b/t]]^2</f>
        <v>4948.9689824806701</v>
      </c>
      <c r="AI42" s="185" t="str">
        <f>IF(Table_03[[#This Row],[b/t]]&lt;Table_03[[#This Row],[λpf]],"Compact",IF(AND(Table_03[[#This Row],[b/t]]&gt;Table_03[[#This Row],[λpf]],Table_03[[#This Row],[λrf]]&gt;Table_03[[#This Row],[b/t]]),"Non-Compact","Slender"))</f>
        <v>Compact</v>
      </c>
      <c r="AJ42" s="186">
        <f>IF(Table_03[[#This Row],[Controlling LBx]]="Compact",Table_03[[#This Row],[Mp (k-in)]],IF(Table_03[[#This Row],[Controlling LBx]]="Non-Compact",Table_03[[#This Row],[Mnlb,Non-Compact (k-in)]],IF(Table_03[[#This Row],[Controlling LBx]]="Slender",Table_03[[#This Row],[Mnlb,slender (k-in)]],"ERROR")))</f>
        <v>490.99159755000005</v>
      </c>
      <c r="AK42" s="183">
        <f>Table_03[[#This Row],[Mp (k-in)]]-(Table_03[[#This Row],[Mp (k-in)]]-0.7*Table_03[[#This Row],[Strength (ksi)]]*Table_03[[#This Row],[Static Parameters Elastic Section Modulus Sx (in3)2]])*(($B$5-Table_03[[#This Row],[Lp (ft)]])/(Table_03[[#This Row],[Lr]]-Table_03[[#This Row],[Lp (ft)]]))</f>
        <v>369.7434189776194</v>
      </c>
      <c r="AL42" s="184">
        <f>Table_03[[#This Row],[Fcrx]]*Table_03[[#This Row],[Static Parameters Elastic Section Modulus Sx (in3)2]]</f>
        <v>318.59400285677168</v>
      </c>
      <c r="AM42" s="185" t="str">
        <f>IF($B$5&lt;Table_03[[#This Row],[Lp (ft)]],"Yielding Controls",IF(AND($B$5&gt;Table_03[[#This Row],[Lp (ft)]],Table_03[[#This Row],[Lr]]&gt;$B$5),"Mltb,p Controls","Mltb,r Controls"))</f>
        <v>Mltb,p Controls</v>
      </c>
      <c r="AN42" s="186">
        <f>IF(Table_03[[#This Row],[Controlling LTB]]="Yielding Controls",Table_03[[#This Row],[Mp (k-in)]],IF(Table_03[[#This Row],[Controlling LTB]]="Mltb,p Controls",Table_03[[#This Row],[Mnltbp (k-in)]],IF(Table_03[[#This Row],[Controlling LTB]]="Mltb,r Controls",Table_03[[#This Row],[Mnltbr (k-in)]],"ERROR")))</f>
        <v>369.7434189776194</v>
      </c>
      <c r="AO42" s="183">
        <f>MIN(Table_03[[#This Row],[Strength (ksi)]]*Table_03[[#This Row],[Static Parameters Plastic Section Modulus Zy (in3)]],1.6*Table_03[[#This Row],[Strength (ksi)]]*Table_03[[#This Row],[Static Parameters Elastic Section Modulus Sy (in3)3]])</f>
        <v>104.62343257500002</v>
      </c>
      <c r="AP42" s="181">
        <f>MIN(Table_03[[#This Row],[Mny (k-in)]],Table_03[[#This Row],[Mny (k-in)]]-(Table_03[[#This Row],[Mny (k-in)]]-0.7*Table_03[[#This Row],[Static Parameters Elastic Section Modulus Sy (in3)3]]*Table_03[[#This Row],[Strength (ksi)]])*((Table_03[[#This Row],[b/t]]-Table_03[[#This Row],[λpf]])/(Table_03[[#This Row],[λrf]]-Table_03[[#This Row],[λpf]])))</f>
        <v>104.62343257500002</v>
      </c>
      <c r="AQ42" s="184">
        <f>MIN(Table_03[[#This Row],[Mny (k-in)]],Table_03[[#This Row],[Fcry]]*Table_03[[#This Row],[Static Parameters Elastic Section Modulus Sy (in3)3]])</f>
        <v>104.62343257500002</v>
      </c>
      <c r="AR42" s="185" t="str">
        <f>IF(Table_03[[#This Row],[b/t]]&lt;Table_03[[#This Row],[λpf]],"Compact",IF(AND(Table_03[[#This Row],[b/t]]&gt;Table_03[[#This Row],[λpf]],Table_03[[#This Row],[λrf]]&gt;Table_03[[#This Row],[b/t]]),"Non-Compact","Slender"))</f>
        <v>Compact</v>
      </c>
      <c r="AS42" s="186">
        <f>IF(Table_03[[#This Row],[Controlling Lby]]="Compact",Table_03[[#This Row],[Mny (k-in)]],IF(Table_03[[#This Row],[Controlling Lby]]="Non-Compact",Table_03[[#This Row],[Mlby,Non-Compact (k-in)]],IF(Table_03[[#This Row],[Controlling Lby]]="Slender",Table_03[[#This Row],[Mlby,Slender (k-in)]],"ERROR")))</f>
        <v>104.62343257500002</v>
      </c>
      <c r="AT42" s="183">
        <f>MIN(Table_03[[#This Row],[LBx]],Table_03[[#This Row],[LTB]],Table_03[[#This Row],[Mp (k-in)]])</f>
        <v>369.7434189776194</v>
      </c>
      <c r="AU42" s="181">
        <f>Table_03[[#This Row],[Mp (k-in)]]</f>
        <v>490.99159755000005</v>
      </c>
      <c r="AV42" s="181">
        <f>MIN(Table_03[[#This Row],[LBy]],Table_03[[#This Row],[Mny (k-in)]])</f>
        <v>104.62343257500002</v>
      </c>
      <c r="AW42" s="187">
        <f>Table_03[[#This Row],[Mny (k-in)]]</f>
        <v>104.62343257500002</v>
      </c>
      <c r="AX42" s="169"/>
      <c r="AY42" s="165">
        <f>IF(4/SQRT((Table_03[[#This Row],[Depth h (in)]]-Table_03[[#This Row],[Flange Thickness tf (in)]]*2)/Table_03[[#This Row],[Web Thickness tw (in)]])&lt;0.35,0.35,IF(4/SQRT(Table_03[[#This Row],[Depth h (in)]]/Table_03[[#This Row],[Web Thickness tw (in)]])&gt;0.76,0.76,4/SQRT(Table_03[[#This Row],[Depth h (in)]]/Table_03[[#This Row],[Web Thickness tw (in)]])))</f>
        <v>0.68696175656411473</v>
      </c>
      <c r="AZ42" s="169"/>
    </row>
    <row r="43" spans="1:52" x14ac:dyDescent="0.3">
      <c r="A43" s="188" t="s">
        <v>141</v>
      </c>
      <c r="B43" s="189">
        <f>B42-$B$1*2</f>
        <v>7.0860000000000003</v>
      </c>
      <c r="C43" s="189">
        <f>C42-$B$1*2</f>
        <v>3.5830000000000002</v>
      </c>
      <c r="D43" s="189">
        <f>D42-$B$1*2</f>
        <v>0.20899999999999999</v>
      </c>
      <c r="E43" s="189">
        <f>E42-$B$1*2</f>
        <v>0.315</v>
      </c>
      <c r="F43" s="190">
        <f>2*Table_03[[#This Row],[Width w (in)]]*Table_03[[#This Row],[Flange Thickness tf (in)]]+Table_03[[#This Row],[Web Thickness tw (in)]]*(Table_03[[#This Row],[Depth h (in)]]-2*Table_03[[#This Row],[Flange Thickness tf (in)]])</f>
        <v>3.6065940000000003</v>
      </c>
      <c r="G43" s="189"/>
      <c r="H43"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30.577418531622005</v>
      </c>
      <c r="I43" s="190">
        <f>((Table_03[[#This Row],[Depth h (in)]]-2*Table_03[[#This Row],[Flange Thickness tf (in)]])*Table_03[[#This Row],[Web Thickness tw (in)]]^3/12+2*(Table_03[[#This Row],[Flange Thickness tf (in)]]*Table_03[[#This Row],[Width w (in)]]^3/12))</f>
        <v>2.4198147840695006</v>
      </c>
      <c r="J43" s="190">
        <f>Table_03[[#This Row],[Width w (in)]]*Table_03[[#This Row],[Flange Thickness tf (in)]]*(Table_03[[#This Row],[Depth h (in)]]-Table_03[[#This Row],[Flange Thickness tf (in)]])+0.25*Table_03[[#This Row],[Web Thickness tw (in)]]*(Table_03[[#This Row],[Depth h (in)]]-2*Table_03[[#This Row],[Flange Thickness tf (in)]])^2</f>
        <v>9.8198319510000012</v>
      </c>
      <c r="K43" s="190">
        <f>(Table_03[[#This Row],[Width w (in)]]^2*Table_03[[#This Row],[Flange Thickness tf (in)]])/2+0.25*Table_03[[#This Row],[Web Thickness tw (in)]]^2*(Table_03[[#This Row],[Depth h (in)]]-2*Table_03[[#This Row],[Flange Thickness tf (in)]])</f>
        <v>2.0924686515000004</v>
      </c>
      <c r="L43" s="190">
        <f>Table_03[[#This Row],[Static Parameters Moment of Inertia Ix (in4)]]/(Table_03[[#This Row],[Depth h (in)]]/2)</f>
        <v>8.6303749736443702</v>
      </c>
      <c r="M43" s="190">
        <f>Table_03[[#This Row],[Static Parameters Moment of Inertia Iy (in4)]]/(Table_03[[#This Row],[Width w (in)]]/2)</f>
        <v>1.3507199464524144</v>
      </c>
      <c r="N43" s="191">
        <v>50</v>
      </c>
      <c r="O43" s="169">
        <f>SQRT(Table_03[[#This Row],[Static Parameters Moment of Inertia Ix (in4)]]/Table_03[[#This Row],[Sectional Area (in2)]])</f>
        <v>2.9117345581240932</v>
      </c>
      <c r="P43" s="190">
        <f>SQRT(Table_03[[#This Row],[Static Parameters Moment of Inertia Iy (in4)]]/Table_03[[#This Row],[Sectional Area (in2)]])</f>
        <v>0.8191103903409418</v>
      </c>
      <c r="Q43" s="190">
        <f>($B$6*$B$5*12)/Table_03[[#This Row],[ry (in)2]]</f>
        <v>219.20122381217158</v>
      </c>
      <c r="R43" s="190">
        <f>(PI()^2*$B$4)/(Table_03[[#This Row],[KL/ry]]^2)</f>
        <v>5.9567832033076753</v>
      </c>
      <c r="S43" s="190">
        <f>IF(Table_03[[#This Row],[Strength (ksi)]]/Table_03[[#This Row],[Fe,y]]&lt;2.25,(0.658^(Table_03[[#This Row],[Strength (ksi)]]/Table_03[[#This Row],[Fe,y]])*Table_03[[#This Row],[Strength (ksi)]]),0.877*Table_03[[#This Row],[Fe,y]])</f>
        <v>5.224098869300831</v>
      </c>
      <c r="T43" s="190">
        <f>Table_03[[#This Row],[Fcr,y]]*Table_03[[#This Row],[Sectional Area (in2)]]</f>
        <v>18.841203637427164</v>
      </c>
      <c r="U43" s="190">
        <f>1.76*Table_03[[#This Row],[ry (in)2]]*SQRT($B$4/Table_03[[#This Row],[Strength (ksi)]])/12</f>
        <v>2.8932626024901649</v>
      </c>
      <c r="V4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9.4070915891767282</v>
      </c>
      <c r="W43" s="190">
        <f>Table_03[[#This Row],[Depth h (in)]]-Table_03[[#This Row],[Flange Thickness tf (in)]]</f>
        <v>6.7709999999999999</v>
      </c>
      <c r="X43" s="190">
        <f>(Table_03[[#This Row],[Static Parameters Moment of Inertia Iy (in4)]]*Table_03[[#This Row],[ho]]^2)/4</f>
        <v>27.734973932192524</v>
      </c>
      <c r="Y43" s="190">
        <f>SQRT((SQRT(Table_03[[#This Row],[Static Parameters Moment of Inertia Iy (in4)]]*Table_03[[#This Row],[Cw*]])/Table_03[[#This Row],[Static Parameters Elastic Section Modulus Sx (in3)2]]))</f>
        <v>0.97428864099881884</v>
      </c>
      <c r="Z43" s="190">
        <f>(2*Table_03[[#This Row],[Width w (in)]]*Table_03[[#This Row],[Flange Thickness tf (in)]]^3/3)+((Table_03[[#This Row],[Depth h (in)]]-Table_03[[#This Row],[Flange Thickness tf (in)]]*2)*Table_03[[#This Row],[Web Thickness tw (in)]]^3)/3</f>
        <v>9.4306182758000012E-2</v>
      </c>
      <c r="AA43" s="190">
        <f>Table_03[[#This Row],[Width w (in)]]*0.5/Table_03[[#This Row],[Flange Thickness tf (in)]]</f>
        <v>5.6873015873015875</v>
      </c>
      <c r="AB43" s="190">
        <f>0.38*SQRT($B$4/Table_03[[#This Row],[Strength (ksi)]])</f>
        <v>9.1516118798821449</v>
      </c>
      <c r="AC43" s="190">
        <f>1*SQRT($B$4/Table_03[[#This Row],[Strength (ksi)]])</f>
        <v>24.083189157584592</v>
      </c>
      <c r="AD43" s="190">
        <f>(PI()^2*$B$4/(12*$B$5/Table_03[[#This Row],[rts]])^2)*SQRT(1+0.078*(Table_03[[#This Row],[J*]]/(Table_03[[#This Row],[Static Parameters Elastic Section Modulus Sx (in3)2]]*Table_03[[#This Row],[ho]])*$B$4/(12*$B$5/Table_03[[#This Row],[rts]])^2))</f>
        <v>37.174377025464572</v>
      </c>
      <c r="AE43" s="190">
        <f>0.69*$B$4/Table_03[[#This Row],[b/t]]^2</f>
        <v>618.63511983940657</v>
      </c>
      <c r="AF43" s="192">
        <f>Table_03[[#This Row],[Strength (ksi)]]*Table_03[[#This Row],[Static Parameters Plastic Section Modulus Zx (in3)]]</f>
        <v>490.99159755000005</v>
      </c>
      <c r="AG43" s="190">
        <f>Table_03[[#This Row],[Mp (k-in)]]-(Table_03[[#This Row],[Mp (k-in)]]-0.7*Table_03[[#This Row],[Strength (ksi)]]*Table_03[[#This Row],[Static Parameters Elastic Section Modulus Sx (in3)2]])*((Table_03[[#This Row],[b/t]]-Table_03[[#This Row],[λpf]])/(Table_03[[#This Row],[λrf]]-Table_03[[#This Row],[λpf]]))</f>
        <v>534.82533614568854</v>
      </c>
      <c r="AH43" s="193">
        <f>0.9*$B$4*Table_03[[#This Row],[kc]]*Table_03[[#This Row],[Static Parameters Elastic Section Modulus Sx (in3)2]]/Table_03[[#This Row],[b/t]]^2</f>
        <v>4783.9894771217978</v>
      </c>
      <c r="AI43" s="194" t="str">
        <f>IF(Table_03[[#This Row],[b/t]]&lt;Table_03[[#This Row],[λpf]],"Compact",IF(AND(Table_03[[#This Row],[b/t]]&gt;Table_03[[#This Row],[λpf]],Table_03[[#This Row],[λrf]]&gt;Table_03[[#This Row],[b/t]]),"Non-Compact","Slender"))</f>
        <v>Compact</v>
      </c>
      <c r="AJ43" s="195">
        <f>IF(Table_03[[#This Row],[Controlling LBx]]="Compact",Table_03[[#This Row],[Mp (k-in)]],IF(Table_03[[#This Row],[Controlling LBx]]="Non-Compact",Table_03[[#This Row],[Mnlb,Non-Compact (k-in)]],IF(Table_03[[#This Row],[Controlling LBx]]="Slender",Table_03[[#This Row],[Mnlb,slender (k-in)]],"ERROR")))</f>
        <v>490.99159755000005</v>
      </c>
      <c r="AK43" s="192">
        <f>Table_03[[#This Row],[Mp (k-in)]]-(Table_03[[#This Row],[Mp (k-in)]]-0.7*Table_03[[#This Row],[Strength (ksi)]]*Table_03[[#This Row],[Static Parameters Elastic Section Modulus Sx (in3)2]])*(($B$5-Table_03[[#This Row],[Lp (ft)]])/(Table_03[[#This Row],[Lr]]-Table_03[[#This Row],[Lp (ft)]]))</f>
        <v>368.25339114607596</v>
      </c>
      <c r="AL43" s="196">
        <f>Table_03[[#This Row],[Fcrx]]*Table_03[[#This Row],[Static Parameters Elastic Section Modulus Sx (in3)2]]</f>
        <v>320.82881314138967</v>
      </c>
      <c r="AM43" s="197" t="str">
        <f>IF($B$5&lt;Table_03[[#This Row],[Lp (ft)]],"Yielding Controls",IF(AND($B$5&gt;Table_03[[#This Row],[Lp (ft)]],Table_03[[#This Row],[Lr]]&gt;$B$5),"Mltb,p Controls","Mltb,r Controls"))</f>
        <v>Mltb,p Controls</v>
      </c>
      <c r="AN43" s="198">
        <f>IF(Table_03[[#This Row],[Controlling LTB]]="Yielding Controls",Table_03[[#This Row],[Mp (k-in)]],IF(Table_03[[#This Row],[Controlling LTB]]="Mltb,p Controls",Table_03[[#This Row],[Mnltbp (k-in)]],IF(Table_03[[#This Row],[Controlling LTB]]="Mltb,r Controls",Table_03[[#This Row],[Mnltbr (k-in)]],"ERROR")))</f>
        <v>368.25339114607596</v>
      </c>
      <c r="AO43" s="199">
        <f>MIN(Table_03[[#This Row],[Strength (ksi)]]*Table_03[[#This Row],[Static Parameters Plastic Section Modulus Zy (in3)]],1.6*Table_03[[#This Row],[Strength (ksi)]]*Table_03[[#This Row],[Static Parameters Elastic Section Modulus Sy (in3)3]])</f>
        <v>104.62343257500002</v>
      </c>
      <c r="AP43" s="169">
        <f>MIN(Table_03[[#This Row],[Mny (k-in)]],Table_03[[#This Row],[Mny (k-in)]]-(Table_03[[#This Row],[Mny (k-in)]]-0.7*Table_03[[#This Row],[Static Parameters Elastic Section Modulus Sy (in3)3]]*Table_03[[#This Row],[Strength (ksi)]])*((Table_03[[#This Row],[b/t]]-Table_03[[#This Row],[λpf]])/(Table_03[[#This Row],[λrf]]-Table_03[[#This Row],[λpf]])))</f>
        <v>104.62343257500002</v>
      </c>
      <c r="AQ43" s="196">
        <f>MIN(Table_03[[#This Row],[Mny (k-in)]],Table_03[[#This Row],[Fcry]]*Table_03[[#This Row],[Static Parameters Elastic Section Modulus Sy (in3)3]])</f>
        <v>104.62343257500002</v>
      </c>
      <c r="AR43" s="197" t="str">
        <f>IF(Table_03[[#This Row],[b/t]]&lt;Table_03[[#This Row],[λpf]],"Compact",IF(AND(Table_03[[#This Row],[b/t]]&gt;Table_03[[#This Row],[λpf]],Table_03[[#This Row],[λrf]]&gt;Table_03[[#This Row],[b/t]]),"Non-Compact","Slender"))</f>
        <v>Compact</v>
      </c>
      <c r="AS43" s="198">
        <f>IF(Table_03[[#This Row],[Controlling Lby]]="Compact",Table_03[[#This Row],[Mny (k-in)]],IF(Table_03[[#This Row],[Controlling Lby]]="Non-Compact",Table_03[[#This Row],[Mlby,Non-Compact (k-in)]],IF(Table_03[[#This Row],[Controlling Lby]]="Slender",Table_03[[#This Row],[Mlby,Slender (k-in)]],"ERROR")))</f>
        <v>104.62343257500002</v>
      </c>
      <c r="AT43" s="199">
        <f>MIN(Table_03[[#This Row],[LBx]],Table_03[[#This Row],[LTB]],Table_03[[#This Row],[Mp (k-in)]])</f>
        <v>368.25339114607596</v>
      </c>
      <c r="AU43" s="169">
        <f>Table_03[[#This Row],[Mp (k-in)]]</f>
        <v>490.99159755000005</v>
      </c>
      <c r="AV43" s="169">
        <f>MIN(Table_03[[#This Row],[LBy]],Table_03[[#This Row],[Mny (k-in)]])</f>
        <v>104.62343257500002</v>
      </c>
      <c r="AW43" s="200">
        <f>Table_03[[#This Row],[Mny (k-in)]]</f>
        <v>104.62343257500002</v>
      </c>
      <c r="AX43" s="169"/>
      <c r="AY43" s="165">
        <f>IF(4/SQRT((Table_03[[#This Row],[Depth h (in)]]-Table_03[[#This Row],[Flange Thickness tf (in)]]*2)/Table_03[[#This Row],[Web Thickness tw (in)]])&lt;0.35,0.35,IF(4/SQRT(Table_03[[#This Row],[Depth h (in)]]/Table_03[[#This Row],[Web Thickness tw (in)]])&gt;0.76,0.76,4/SQRT(Table_03[[#This Row],[Depth h (in)]]/Table_03[[#This Row],[Web Thickness tw (in)]])))</f>
        <v>0.68696175656411473</v>
      </c>
      <c r="AZ43" s="169"/>
    </row>
    <row r="44" spans="1:52" ht="14.4" thickBot="1" x14ac:dyDescent="0.35">
      <c r="A44" s="201" t="s">
        <v>142</v>
      </c>
      <c r="B44" s="202">
        <v>7.7560000000000002</v>
      </c>
      <c r="C44" s="202">
        <v>3.9369999999999998</v>
      </c>
      <c r="D44" s="202">
        <v>0.17699999999999999</v>
      </c>
      <c r="E44" s="202">
        <v>0.27600000000000002</v>
      </c>
      <c r="F44" s="203">
        <v>3.6379999999999999</v>
      </c>
      <c r="G44" s="204"/>
      <c r="H44" s="203">
        <v>38.223999999999997</v>
      </c>
      <c r="I44" s="203">
        <v>2.8159999999999998</v>
      </c>
      <c r="J44" s="203">
        <f>Table_03[[#This Row],[Width w (in)]]*Table_03[[#This Row],[Flange Thickness tf (in)]]*(Table_03[[#This Row],[Depth h (in)]]-Table_03[[#This Row],[Flange Thickness tf (in)]])+0.25*Table_03[[#This Row],[Web Thickness tw (in)]]*(Table_03[[#This Row],[Depth h (in)]]-2*Table_03[[#This Row],[Flange Thickness tf (in)]])^2</f>
        <v>10.424327268000003</v>
      </c>
      <c r="K44" s="203">
        <f>(Table_03[[#This Row],[Width w (in)]]^2*Table_03[[#This Row],[Flange Thickness tf (in)]])/2+0.25*Table_03[[#This Row],[Web Thickness tw (in)]]^2*(Table_03[[#This Row],[Depth h (in)]]-2*Table_03[[#This Row],[Flange Thickness tf (in)]])</f>
        <v>2.1954192509999997</v>
      </c>
      <c r="L44" s="203">
        <v>9.8610000000000007</v>
      </c>
      <c r="M44" s="203">
        <v>1.43</v>
      </c>
      <c r="N44" s="205">
        <v>50</v>
      </c>
      <c r="O44" s="206">
        <f>SQRT(Table_03[[#This Row],[Static Parameters Moment of Inertia Ix (in4)]]/Table_03[[#This Row],[Sectional Area (in2)]])</f>
        <v>3.2414305341379075</v>
      </c>
      <c r="P44" s="203">
        <f>SQRT(Table_03[[#This Row],[Static Parameters Moment of Inertia Iy (in4)]]/Table_03[[#This Row],[Sectional Area (in2)]])</f>
        <v>0.87980206679995043</v>
      </c>
      <c r="Q44" s="203">
        <f>($B$6*$B$5*12)/Table_03[[#This Row],[ry (in)2]]</f>
        <v>204.07999341609425</v>
      </c>
      <c r="R44" s="203">
        <f>(PI()^2*$B$4)/(Table_03[[#This Row],[KL/ry]]^2)</f>
        <v>6.8722172468781819</v>
      </c>
      <c r="S44" s="203">
        <f>IF(Table_03[[#This Row],[Strength (ksi)]]/Table_03[[#This Row],[Fe,y]]&lt;2.25,(0.658^(Table_03[[#This Row],[Strength (ksi)]]/Table_03[[#This Row],[Fe,y]])*Table_03[[#This Row],[Strength (ksi)]]),0.877*Table_03[[#This Row],[Fe,y]])</f>
        <v>6.0269345255121651</v>
      </c>
      <c r="T44" s="203">
        <f>Table_03[[#This Row],[Fcr,y]]*Table_03[[#This Row],[Sectional Area (in2)]]</f>
        <v>21.925987803813257</v>
      </c>
      <c r="U44" s="203">
        <f>1.76*Table_03[[#This Row],[ry (in)2]]*SQRT($B$4/Table_03[[#This Row],[Strength (ksi)]])/12</f>
        <v>3.1076378074099718</v>
      </c>
      <c r="V4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9.0189904473108253</v>
      </c>
      <c r="W44" s="203">
        <f>Table_03[[#This Row],[Depth h (in)]]-Table_03[[#This Row],[Flange Thickness tf (in)]]</f>
        <v>7.48</v>
      </c>
      <c r="X44" s="203">
        <f>(Table_03[[#This Row],[Static Parameters Moment of Inertia Iy (in4)]]*Table_03[[#This Row],[ho]]^2)/4</f>
        <v>39.389081600000004</v>
      </c>
      <c r="Y44" s="203">
        <f>SQRT((SQRT(Table_03[[#This Row],[Static Parameters Moment of Inertia Iy (in4)]]*Table_03[[#This Row],[Cw*]])/Table_03[[#This Row],[Static Parameters Elastic Section Modulus Sx (in3)2]]))</f>
        <v>1.0334551812252226</v>
      </c>
      <c r="Z44" s="203">
        <f>(2*Table_03[[#This Row],[Width w (in)]]*Table_03[[#This Row],[Flange Thickness tf (in)]]^3/3)+((Table_03[[#This Row],[Depth h (in)]]-Table_03[[#This Row],[Flange Thickness tf (in)]]*2)*Table_03[[#This Row],[Web Thickness tw (in)]]^3)/3</f>
        <v>6.8498456651999995E-2</v>
      </c>
      <c r="AA44" s="203">
        <f>Table_03[[#This Row],[Width w (in)]]*0.5/Table_03[[#This Row],[Flange Thickness tf (in)]]</f>
        <v>7.1322463768115929</v>
      </c>
      <c r="AB44" s="203">
        <f>0.38*SQRT($B$4/Table_03[[#This Row],[Strength (ksi)]])</f>
        <v>9.1516118798821449</v>
      </c>
      <c r="AC44" s="203">
        <f>1*SQRT($B$4/Table_03[[#This Row],[Strength (ksi)]])</f>
        <v>24.083189157584592</v>
      </c>
      <c r="AD44" s="203">
        <f>(PI()^2*$B$4/(12*$B$5/Table_03[[#This Row],[rts]])^2)*SQRT(1+0.078*(Table_03[[#This Row],[J*]]/(Table_03[[#This Row],[Static Parameters Elastic Section Modulus Sx (in3)2]]*Table_03[[#This Row],[ho]])*$B$4/(12*$B$5/Table_03[[#This Row],[rts]])^2))</f>
        <v>41.823024924058466</v>
      </c>
      <c r="AE44" s="203">
        <f>0.69*$B$4/Table_03[[#This Row],[b/t]]^2</f>
        <v>393.36382156635295</v>
      </c>
      <c r="AF44" s="207">
        <f>Table_03[[#This Row],[Strength (ksi)]]*Table_03[[#This Row],[Static Parameters Plastic Section Modulus Zx (in3)]]</f>
        <v>521.21636340000009</v>
      </c>
      <c r="AG44" s="203">
        <f>Table_03[[#This Row],[Mp (k-in)]]-(Table_03[[#This Row],[Mp (k-in)]]-0.7*Table_03[[#This Row],[Strength (ksi)]]*Table_03[[#This Row],[Static Parameters Elastic Section Modulus Sx (in3)2]])*((Table_03[[#This Row],[b/t]]-Table_03[[#This Row],[λpf]])/(Table_03[[#This Row],[λrf]]-Table_03[[#This Row],[λpf]]))</f>
        <v>545.02983095071704</v>
      </c>
      <c r="AH44" s="208">
        <f>0.9*$B$4*Table_03[[#This Row],[kc]]*Table_03[[#This Row],[Static Parameters Elastic Section Modulus Sx (in3)2]]/Table_03[[#This Row],[b/t]]^2</f>
        <v>3057.2891589877204</v>
      </c>
      <c r="AI44" s="209" t="str">
        <f>IF(Table_03[[#This Row],[b/t]]&lt;Table_03[[#This Row],[λpf]],"Compact",IF(AND(Table_03[[#This Row],[b/t]]&gt;Table_03[[#This Row],[λpf]],Table_03[[#This Row],[λrf]]&gt;Table_03[[#This Row],[b/t]]),"Non-Compact","Slender"))</f>
        <v>Compact</v>
      </c>
      <c r="AJ44" s="210">
        <f>IF(Table_03[[#This Row],[Controlling LBx]]="Compact",Table_03[[#This Row],[Mp (k-in)]],IF(Table_03[[#This Row],[Controlling LBx]]="Non-Compact",Table_03[[#This Row],[Mnlb,Non-Compact (k-in)]],IF(Table_03[[#This Row],[Controlling LBx]]="Slender",Table_03[[#This Row],[Mnlb,slender (k-in)]],"ERROR")))</f>
        <v>521.21636340000009</v>
      </c>
      <c r="AK44" s="207">
        <f>Table_03[[#This Row],[Mp (k-in)]]-(Table_03[[#This Row],[Mp (k-in)]]-0.7*Table_03[[#This Row],[Strength (ksi)]]*Table_03[[#This Row],[Static Parameters Elastic Section Modulus Sx (in3)2]])*(($B$5-Table_03[[#This Row],[Lp (ft)]])/(Table_03[[#This Row],[Lr]]-Table_03[[#This Row],[Lp (ft)]]))</f>
        <v>401.55126215597579</v>
      </c>
      <c r="AL44" s="211">
        <f>Table_03[[#This Row],[Fcrx]]*Table_03[[#This Row],[Static Parameters Elastic Section Modulus Sx (in3)2]]</f>
        <v>412.41684877614057</v>
      </c>
      <c r="AM44" s="212" t="str">
        <f>IF($B$5&lt;Table_03[[#This Row],[Lp (ft)]],"Yielding Controls",IF(AND($B$5&gt;Table_03[[#This Row],[Lp (ft)]],Table_03[[#This Row],[Lr]]&gt;$B$5),"Mltb,p Controls","Mltb,r Controls"))</f>
        <v>Mltb,p Controls</v>
      </c>
      <c r="AN44" s="213">
        <f>IF(Table_03[[#This Row],[Controlling LTB]]="Yielding Controls",Table_03[[#This Row],[Mp (k-in)]],IF(Table_03[[#This Row],[Controlling LTB]]="Mltb,p Controls",Table_03[[#This Row],[Mnltbp (k-in)]],IF(Table_03[[#This Row],[Controlling LTB]]="Mltb,r Controls",Table_03[[#This Row],[Mnltbr (k-in)]],"ERROR")))</f>
        <v>401.55126215597579</v>
      </c>
      <c r="AO44" s="214">
        <f>MIN(Table_03[[#This Row],[Strength (ksi)]]*Table_03[[#This Row],[Static Parameters Plastic Section Modulus Zy (in3)]],1.6*Table_03[[#This Row],[Strength (ksi)]]*Table_03[[#This Row],[Static Parameters Elastic Section Modulus Sy (in3)3]])</f>
        <v>109.77096254999998</v>
      </c>
      <c r="AP44" s="206">
        <f>MIN(Table_03[[#This Row],[Mny (k-in)]],Table_03[[#This Row],[Mny (k-in)]]-(Table_03[[#This Row],[Mny (k-in)]]-0.7*Table_03[[#This Row],[Static Parameters Elastic Section Modulus Sy (in3)3]]*Table_03[[#This Row],[Strength (ksi)]])*((Table_03[[#This Row],[b/t]]-Table_03[[#This Row],[λpf]])/(Table_03[[#This Row],[λrf]]-Table_03[[#This Row],[λpf]])))</f>
        <v>109.77096254999998</v>
      </c>
      <c r="AQ44" s="211">
        <f>MIN(Table_03[[#This Row],[Mny (k-in)]],Table_03[[#This Row],[Fcry]]*Table_03[[#This Row],[Static Parameters Elastic Section Modulus Sy (in3)3]])</f>
        <v>109.77096254999998</v>
      </c>
      <c r="AR44" s="212" t="str">
        <f>IF(Table_03[[#This Row],[b/t]]&lt;Table_03[[#This Row],[λpf]],"Compact",IF(AND(Table_03[[#This Row],[b/t]]&gt;Table_03[[#This Row],[λpf]],Table_03[[#This Row],[λrf]]&gt;Table_03[[#This Row],[b/t]]),"Non-Compact","Slender"))</f>
        <v>Compact</v>
      </c>
      <c r="AS44" s="213">
        <f>IF(Table_03[[#This Row],[Controlling Lby]]="Compact",Table_03[[#This Row],[Mny (k-in)]],IF(Table_03[[#This Row],[Controlling Lby]]="Non-Compact",Table_03[[#This Row],[Mlby,Non-Compact (k-in)]],IF(Table_03[[#This Row],[Controlling Lby]]="Slender",Table_03[[#This Row],[Mlby,Slender (k-in)]],"ERROR")))</f>
        <v>109.77096254999998</v>
      </c>
      <c r="AT44" s="214">
        <f>MIN(Table_03[[#This Row],[LBx]],Table_03[[#This Row],[LTB]],Table_03[[#This Row],[Mp (k-in)]])</f>
        <v>401.55126215597579</v>
      </c>
      <c r="AU44" s="206">
        <f>Table_03[[#This Row],[Mp (k-in)]]</f>
        <v>521.21636340000009</v>
      </c>
      <c r="AV44" s="206">
        <f>MIN(Table_03[[#This Row],[LBy]],Table_03[[#This Row],[Mny (k-in)]])</f>
        <v>109.77096254999998</v>
      </c>
      <c r="AW44" s="215">
        <f>Table_03[[#This Row],[Mny (k-in)]]</f>
        <v>109.77096254999998</v>
      </c>
      <c r="AX44" s="169"/>
      <c r="AY44" s="165">
        <f>IF(4/SQRT((Table_03[[#This Row],[Depth h (in)]]-Table_03[[#This Row],[Flange Thickness tf (in)]]*2)/Table_03[[#This Row],[Web Thickness tw (in)]])&lt;0.35,0.35,IF(4/SQRT(Table_03[[#This Row],[Depth h (in)]]/Table_03[[#This Row],[Web Thickness tw (in)]])&gt;0.76,0.76,4/SQRT(Table_03[[#This Row],[Depth h (in)]]/Table_03[[#This Row],[Web Thickness tw (in)]])))</f>
        <v>0.6042653956547287</v>
      </c>
      <c r="AZ44" s="169"/>
    </row>
    <row r="45" spans="1:52" x14ac:dyDescent="0.3">
      <c r="A45" s="179" t="s">
        <v>143</v>
      </c>
      <c r="B45" s="180">
        <f>B44-$B$1*2</f>
        <v>7.7560000000000002</v>
      </c>
      <c r="C45" s="180">
        <f>C44-$B$1*2</f>
        <v>3.9369999999999998</v>
      </c>
      <c r="D45" s="180">
        <f>D44-$B$1*2</f>
        <v>0.17699999999999999</v>
      </c>
      <c r="E45" s="180">
        <f>E44-$B$1*2</f>
        <v>0.27600000000000002</v>
      </c>
      <c r="F45" s="181">
        <f>2*Table_03[[#This Row],[Width w (in)]]*Table_03[[#This Row],[Flange Thickness tf (in)]]+Table_03[[#This Row],[Web Thickness tw (in)]]*(Table_03[[#This Row],[Depth h (in)]]-2*Table_03[[#This Row],[Flange Thickness tf (in)]])</f>
        <v>3.4483320000000006</v>
      </c>
      <c r="G45" s="180"/>
      <c r="H45" s="18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35.926572426896008</v>
      </c>
      <c r="I45" s="180">
        <f>((Table_03[[#This Row],[Depth h (in)]]-2*Table_03[[#This Row],[Flange Thickness tf (in)]])*Table_03[[#This Row],[Web Thickness tw (in)]]^3/12+2*(Table_03[[#This Row],[Flange Thickness tf (in)]]*Table_03[[#This Row],[Width w (in)]]^3/12))</f>
        <v>2.8104043740489995</v>
      </c>
      <c r="J45" s="181">
        <f>Table_03[[#This Row],[Width w (in)]]*Table_03[[#This Row],[Flange Thickness tf (in)]]*(Table_03[[#This Row],[Depth h (in)]]-Table_03[[#This Row],[Flange Thickness tf (in)]])+0.25*Table_03[[#This Row],[Web Thickness tw (in)]]*(Table_03[[#This Row],[Depth h (in)]]-2*Table_03[[#This Row],[Flange Thickness tf (in)]])^2</f>
        <v>10.424327268000003</v>
      </c>
      <c r="K45" s="181">
        <f>(Table_03[[#This Row],[Width w (in)]]^2*Table_03[[#This Row],[Flange Thickness tf (in)]])/2+0.25*Table_03[[#This Row],[Web Thickness tw (in)]]^2*(Table_03[[#This Row],[Depth h (in)]]-2*Table_03[[#This Row],[Flange Thickness tf (in)]])</f>
        <v>2.1954192509999997</v>
      </c>
      <c r="L45" s="181">
        <f>Table_03[[#This Row],[Static Parameters Moment of Inertia Ix (in4)]]/(Table_03[[#This Row],[Depth h (in)]]/2)</f>
        <v>9.2642012446869533</v>
      </c>
      <c r="M45" s="181">
        <f>Table_03[[#This Row],[Static Parameters Moment of Inertia Iy (in4)]]/(Table_03[[#This Row],[Width w (in)]]/2)</f>
        <v>1.4276882773934465</v>
      </c>
      <c r="N45" s="182">
        <v>50</v>
      </c>
      <c r="O45" s="181">
        <f>SQRT(Table_03[[#This Row],[Static Parameters Moment of Inertia Ix (in4)]]/Table_03[[#This Row],[Sectional Area (in2)]])</f>
        <v>3.2277757651403562</v>
      </c>
      <c r="P45" s="181">
        <f>SQRT(Table_03[[#This Row],[Static Parameters Moment of Inertia Iy (in4)]]/Table_03[[#This Row],[Sectional Area (in2)]])</f>
        <v>0.90277571977157556</v>
      </c>
      <c r="Q45" s="181">
        <f>($B$6*$B$5*12)/Table_03[[#This Row],[ry (in)2]]</f>
        <v>198.88660723554969</v>
      </c>
      <c r="R45" s="181">
        <f>(PI()^2*$B$4)/(Table_03[[#This Row],[KL/ry]]^2)</f>
        <v>7.2358018395629164</v>
      </c>
      <c r="S45" s="181">
        <f>IF(Table_03[[#This Row],[Strength (ksi)]]/Table_03[[#This Row],[Fe,y]]&lt;2.25,(0.658^(Table_03[[#This Row],[Strength (ksi)]]/Table_03[[#This Row],[Fe,y]])*Table_03[[#This Row],[Strength (ksi)]]),0.877*Table_03[[#This Row],[Fe,y]])</f>
        <v>6.3457982132966775</v>
      </c>
      <c r="T45" s="181">
        <f>Table_03[[#This Row],[Fcr,y]]*Table_03[[#This Row],[Sectional Area (in2)]]</f>
        <v>21.882419044453762</v>
      </c>
      <c r="U45" s="181">
        <f>1.76*Table_03[[#This Row],[ry (in)2]]*SQRT($B$4/Table_03[[#This Row],[Strength (ksi)]])/12</f>
        <v>3.1887853691662369</v>
      </c>
      <c r="V4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9.3808400870545636</v>
      </c>
      <c r="W45" s="181">
        <f>Table_03[[#This Row],[Depth h (in)]]-Table_03[[#This Row],[Flange Thickness tf (in)]]</f>
        <v>7.48</v>
      </c>
      <c r="X45" s="181">
        <f>(Table_03[[#This Row],[Static Parameters Moment of Inertia Iy (in4)]]*Table_03[[#This Row],[ho]]^2)/4</f>
        <v>39.310812222447794</v>
      </c>
      <c r="Y45" s="181">
        <f>SQRT((SQRT(Table_03[[#This Row],[Static Parameters Moment of Inertia Iy (in4)]]*Table_03[[#This Row],[Cw*]])/Table_03[[#This Row],[Static Parameters Elastic Section Modulus Sx (in3)2]]))</f>
        <v>1.0651633555988318</v>
      </c>
      <c r="Z45" s="181">
        <f>(2*Table_03[[#This Row],[Width w (in)]]*Table_03[[#This Row],[Flange Thickness tf (in)]]^3/3)+((Table_03[[#This Row],[Depth h (in)]]-Table_03[[#This Row],[Flange Thickness tf (in)]]*2)*Table_03[[#This Row],[Web Thickness tw (in)]]^3)/3</f>
        <v>6.8498456651999995E-2</v>
      </c>
      <c r="AA45" s="181">
        <f>Table_03[[#This Row],[Width w (in)]]*0.5/Table_03[[#This Row],[Flange Thickness tf (in)]]</f>
        <v>7.1322463768115929</v>
      </c>
      <c r="AB45" s="181">
        <f>0.38*SQRT($B$4/Table_03[[#This Row],[Strength (ksi)]])</f>
        <v>9.1516118798821449</v>
      </c>
      <c r="AC45" s="181">
        <f>1*SQRT($B$4/Table_03[[#This Row],[Strength (ksi)]])</f>
        <v>24.083189157584592</v>
      </c>
      <c r="AD45" s="181">
        <f>(PI()^2*$B$4/(12*$B$5/Table_03[[#This Row],[rts]])^2)*SQRT(1+0.078*(Table_03[[#This Row],[J*]]/(Table_03[[#This Row],[Static Parameters Elastic Section Modulus Sx (in3)2]]*Table_03[[#This Row],[ho]])*$B$4/(12*$B$5/Table_03[[#This Row],[rts]])^2))</f>
        <v>44.429690830853552</v>
      </c>
      <c r="AE45" s="181">
        <f>0.69*$B$4/Table_03[[#This Row],[b/t]]^2</f>
        <v>393.36382156635295</v>
      </c>
      <c r="AF45" s="183">
        <f>Table_03[[#This Row],[Strength (ksi)]]*Table_03[[#This Row],[Static Parameters Plastic Section Modulus Zx (in3)]]</f>
        <v>521.21636340000009</v>
      </c>
      <c r="AG45" s="181">
        <f>Table_03[[#This Row],[Mp (k-in)]]-(Table_03[[#This Row],[Mp (k-in)]]-0.7*Table_03[[#This Row],[Strength (ksi)]]*Table_03[[#This Row],[Static Parameters Elastic Section Modulus Sx (in3)2]])*((Table_03[[#This Row],[b/t]]-Table_03[[#This Row],[λpf]])/(Table_03[[#This Row],[λrf]]-Table_03[[#This Row],[λpf]]))</f>
        <v>547.85474474729233</v>
      </c>
      <c r="AH45" s="184">
        <f>0.9*$B$4*Table_03[[#This Row],[kc]]*Table_03[[#This Row],[Static Parameters Elastic Section Modulus Sx (in3)2]]/Table_03[[#This Row],[b/t]]^2</f>
        <v>2872.2585977144272</v>
      </c>
      <c r="AI45" s="185" t="str">
        <f>IF(Table_03[[#This Row],[b/t]]&lt;Table_03[[#This Row],[λpf]],"Compact",IF(AND(Table_03[[#This Row],[b/t]]&gt;Table_03[[#This Row],[λpf]],Table_03[[#This Row],[λrf]]&gt;Table_03[[#This Row],[b/t]]),"Non-Compact","Slender"))</f>
        <v>Compact</v>
      </c>
      <c r="AJ45" s="186">
        <f>IF(Table_03[[#This Row],[Controlling LBx]]="Compact",Table_03[[#This Row],[Mp (k-in)]],IF(Table_03[[#This Row],[Controlling LBx]]="Non-Compact",Table_03[[#This Row],[Mnlb,Non-Compact (k-in)]],IF(Table_03[[#This Row],[Controlling LBx]]="Slender",Table_03[[#This Row],[Mnlb,slender (k-in)]],"ERROR")))</f>
        <v>521.21636340000009</v>
      </c>
      <c r="AK45" s="183">
        <f>Table_03[[#This Row],[Mp (k-in)]]-(Table_03[[#This Row],[Mp (k-in)]]-0.7*Table_03[[#This Row],[Strength (ksi)]]*Table_03[[#This Row],[Static Parameters Elastic Section Modulus Sx (in3)2]])*(($B$5-Table_03[[#This Row],[Lp (ft)]])/(Table_03[[#This Row],[Lr]]-Table_03[[#This Row],[Lp (ft)]]))</f>
        <v>396.00533832235465</v>
      </c>
      <c r="AL45" s="184">
        <f>Table_03[[#This Row],[Fcrx]]*Table_03[[#This Row],[Static Parameters Elastic Section Modulus Sx (in3)2]]</f>
        <v>411.60559709624999</v>
      </c>
      <c r="AM45" s="185" t="str">
        <f>IF($B$5&lt;Table_03[[#This Row],[Lp (ft)]],"Yielding Controls",IF(AND($B$5&gt;Table_03[[#This Row],[Lp (ft)]],Table_03[[#This Row],[Lr]]&gt;$B$5),"Mltb,p Controls","Mltb,r Controls"))</f>
        <v>Mltb,p Controls</v>
      </c>
      <c r="AN45" s="186">
        <f>IF(Table_03[[#This Row],[Controlling LTB]]="Yielding Controls",Table_03[[#This Row],[Mp (k-in)]],IF(Table_03[[#This Row],[Controlling LTB]]="Mltb,p Controls",Table_03[[#This Row],[Mnltbp (k-in)]],IF(Table_03[[#This Row],[Controlling LTB]]="Mltb,r Controls",Table_03[[#This Row],[Mnltbr (k-in)]],"ERROR")))</f>
        <v>396.00533832235465</v>
      </c>
      <c r="AO45" s="183">
        <f>MIN(Table_03[[#This Row],[Strength (ksi)]]*Table_03[[#This Row],[Static Parameters Plastic Section Modulus Zy (in3)]],1.6*Table_03[[#This Row],[Strength (ksi)]]*Table_03[[#This Row],[Static Parameters Elastic Section Modulus Sy (in3)3]])</f>
        <v>109.77096254999998</v>
      </c>
      <c r="AP45" s="181">
        <f>MIN(Table_03[[#This Row],[Mny (k-in)]],Table_03[[#This Row],[Mny (k-in)]]-(Table_03[[#This Row],[Mny (k-in)]]-0.7*Table_03[[#This Row],[Static Parameters Elastic Section Modulus Sy (in3)3]]*Table_03[[#This Row],[Strength (ksi)]])*((Table_03[[#This Row],[b/t]]-Table_03[[#This Row],[λpf]])/(Table_03[[#This Row],[λrf]]-Table_03[[#This Row],[λpf]])))</f>
        <v>109.77096254999998</v>
      </c>
      <c r="AQ45" s="184">
        <f>MIN(Table_03[[#This Row],[Mny (k-in)]],Table_03[[#This Row],[Fcry]]*Table_03[[#This Row],[Static Parameters Elastic Section Modulus Sy (in3)3]])</f>
        <v>109.77096254999998</v>
      </c>
      <c r="AR45" s="185" t="str">
        <f>IF(Table_03[[#This Row],[b/t]]&lt;Table_03[[#This Row],[λpf]],"Compact",IF(AND(Table_03[[#This Row],[b/t]]&gt;Table_03[[#This Row],[λpf]],Table_03[[#This Row],[λrf]]&gt;Table_03[[#This Row],[b/t]]),"Non-Compact","Slender"))</f>
        <v>Compact</v>
      </c>
      <c r="AS45" s="186">
        <f>IF(Table_03[[#This Row],[Controlling Lby]]="Compact",Table_03[[#This Row],[Mny (k-in)]],IF(Table_03[[#This Row],[Controlling Lby]]="Non-Compact",Table_03[[#This Row],[Mlby,Non-Compact (k-in)]],IF(Table_03[[#This Row],[Controlling Lby]]="Slender",Table_03[[#This Row],[Mlby,Slender (k-in)]],"ERROR")))</f>
        <v>109.77096254999998</v>
      </c>
      <c r="AT45" s="183">
        <f>MIN(Table_03[[#This Row],[LBx]],Table_03[[#This Row],[LTB]],Table_03[[#This Row],[Mp (k-in)]])</f>
        <v>396.00533832235465</v>
      </c>
      <c r="AU45" s="181">
        <f>Table_03[[#This Row],[Mp (k-in)]]</f>
        <v>521.21636340000009</v>
      </c>
      <c r="AV45" s="181">
        <f>MIN(Table_03[[#This Row],[LBy]],Table_03[[#This Row],[Mny (k-in)]])</f>
        <v>109.77096254999998</v>
      </c>
      <c r="AW45" s="187">
        <f>Table_03[[#This Row],[Mny (k-in)]]</f>
        <v>109.77096254999998</v>
      </c>
      <c r="AX45" s="169"/>
      <c r="AY45" s="165">
        <f>IF(4/SQRT((Table_03[[#This Row],[Depth h (in)]]-Table_03[[#This Row],[Flange Thickness tf (in)]]*2)/Table_03[[#This Row],[Web Thickness tw (in)]])&lt;0.35,0.35,IF(4/SQRT(Table_03[[#This Row],[Depth h (in)]]/Table_03[[#This Row],[Web Thickness tw (in)]])&gt;0.76,0.76,4/SQRT(Table_03[[#This Row],[Depth h (in)]]/Table_03[[#This Row],[Web Thickness tw (in)]])))</f>
        <v>0.6042653956547287</v>
      </c>
      <c r="AZ45" s="169"/>
    </row>
    <row r="46" spans="1:52" x14ac:dyDescent="0.3">
      <c r="A46" s="188" t="s">
        <v>144</v>
      </c>
      <c r="B46" s="189">
        <f>B44-$B$3*2</f>
        <v>7.6760000000000002</v>
      </c>
      <c r="C46" s="189">
        <f>C44-$B$3*2</f>
        <v>3.8569999999999998</v>
      </c>
      <c r="D46" s="189">
        <f>D44-$B$3*2</f>
        <v>9.6999999999999989E-2</v>
      </c>
      <c r="E46" s="189">
        <f>E44-$B$3*2</f>
        <v>0.19600000000000001</v>
      </c>
      <c r="F46" s="190">
        <f>2*Table_03[[#This Row],[Width w (in)]]*Table_03[[#This Row],[Flange Thickness tf (in)]]+Table_03[[#This Row],[Web Thickness tw (in)]]*(Table_03[[#This Row],[Depth h (in)]]-2*Table_03[[#This Row],[Flange Thickness tf (in)]])</f>
        <v>2.2184919999999999</v>
      </c>
      <c r="G46" s="189"/>
      <c r="H46"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24.277230979749334</v>
      </c>
      <c r="I46" s="190">
        <f>((Table_03[[#This Row],[Depth h (in)]]-2*Table_03[[#This Row],[Flange Thickness tf (in)]])*Table_03[[#This Row],[Web Thickness tw (in)]]^3/12+2*(Table_03[[#This Row],[Flange Thickness tf (in)]]*Table_03[[#This Row],[Width w (in)]]^3/12))</f>
        <v>1.874917143082333</v>
      </c>
      <c r="J46" s="190">
        <f>Table_03[[#This Row],[Width w (in)]]*Table_03[[#This Row],[Flange Thickness tf (in)]]*(Table_03[[#This Row],[Depth h (in)]]-Table_03[[#This Row],[Flange Thickness tf (in)]])+0.25*Table_03[[#This Row],[Web Thickness tw (in)]]*(Table_03[[#This Row],[Depth h (in)]]-2*Table_03[[#This Row],[Flange Thickness tf (in)]])^2</f>
        <v>6.9412944680000006</v>
      </c>
      <c r="K46" s="190">
        <f>(Table_03[[#This Row],[Width w (in)]]^2*Table_03[[#This Row],[Flange Thickness tf (in)]])/2+0.25*Table_03[[#This Row],[Web Thickness tw (in)]]^2*(Table_03[[#This Row],[Depth h (in)]]-2*Table_03[[#This Row],[Flange Thickness tf (in)]])</f>
        <v>1.475025791</v>
      </c>
      <c r="L46" s="190">
        <f>Table_03[[#This Row],[Static Parameters Moment of Inertia Ix (in4)]]/(Table_03[[#This Row],[Depth h (in)]]/2)</f>
        <v>6.3254900937335421</v>
      </c>
      <c r="M46" s="190">
        <f>Table_03[[#This Row],[Static Parameters Moment of Inertia Iy (in4)]]/(Table_03[[#This Row],[Width w (in)]]/2)</f>
        <v>0.97221526734888941</v>
      </c>
      <c r="N46" s="191">
        <v>50</v>
      </c>
      <c r="O46" s="169">
        <f>SQRT(Table_03[[#This Row],[Static Parameters Moment of Inertia Ix (in4)]]/Table_03[[#This Row],[Sectional Area (in2)]])</f>
        <v>3.3080391574568635</v>
      </c>
      <c r="P46" s="190">
        <f>SQRT(Table_03[[#This Row],[Static Parameters Moment of Inertia Iy (in4)]]/Table_03[[#This Row],[Sectional Area (in2)]])</f>
        <v>0.91931025876703132</v>
      </c>
      <c r="Q46" s="190">
        <f>($B$6*$B$5*12)/Table_03[[#This Row],[ry (in)2]]</f>
        <v>195.30947064684176</v>
      </c>
      <c r="R46" s="190">
        <f>(PI()^2*$B$4)/(Table_03[[#This Row],[KL/ry]]^2)</f>
        <v>7.5032797250020451</v>
      </c>
      <c r="S46" s="190">
        <f>IF(Table_03[[#This Row],[Strength (ksi)]]/Table_03[[#This Row],[Fe,y]]&lt;2.25,(0.658^(Table_03[[#This Row],[Strength (ksi)]]/Table_03[[#This Row],[Fe,y]])*Table_03[[#This Row],[Strength (ksi)]]),0.877*Table_03[[#This Row],[Fe,y]])</f>
        <v>6.5803763188267936</v>
      </c>
      <c r="T46" s="190">
        <f>Table_03[[#This Row],[Fcr,y]]*Table_03[[#This Row],[Sectional Area (in2)]]</f>
        <v>14.59851222030669</v>
      </c>
      <c r="U46" s="190">
        <f>1.76*Table_03[[#This Row],[ry (in)2]]*SQRT($B$4/Table_03[[#This Row],[Strength (ksi)]])/12</f>
        <v>3.2471886856045202</v>
      </c>
      <c r="V4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8.5375324320421182</v>
      </c>
      <c r="W46" s="190">
        <f>Table_03[[#This Row],[Depth h (in)]]-Table_03[[#This Row],[Flange Thickness tf (in)]]</f>
        <v>7.48</v>
      </c>
      <c r="X46" s="190">
        <f>(Table_03[[#This Row],[Static Parameters Moment of Inertia Iy (in4)]]*Table_03[[#This Row],[ho]]^2)/4</f>
        <v>26.225591030578446</v>
      </c>
      <c r="Y46" s="190">
        <f>SQRT((SQRT(Table_03[[#This Row],[Static Parameters Moment of Inertia Iy (in4)]]*Table_03[[#This Row],[Cw*]])/Table_03[[#This Row],[Static Parameters Elastic Section Modulus Sx (in3)2]]))</f>
        <v>1.0528821213665633</v>
      </c>
      <c r="Z46" s="190">
        <f>(2*Table_03[[#This Row],[Width w (in)]]*Table_03[[#This Row],[Flange Thickness tf (in)]]^3/3)+((Table_03[[#This Row],[Depth h (in)]]-Table_03[[#This Row],[Flange Thickness tf (in)]]*2)*Table_03[[#This Row],[Web Thickness tw (in)]]^3)/3</f>
        <v>2.1576916945333334E-2</v>
      </c>
      <c r="AA46" s="190">
        <f>Table_03[[#This Row],[Width w (in)]]*0.5/Table_03[[#This Row],[Flange Thickness tf (in)]]</f>
        <v>9.8392857142857135</v>
      </c>
      <c r="AB46" s="190">
        <f>0.38*SQRT($B$4/Table_03[[#This Row],[Strength (ksi)]])</f>
        <v>9.1516118798821449</v>
      </c>
      <c r="AC46" s="190">
        <f>1*SQRT($B$4/Table_03[[#This Row],[Strength (ksi)]])</f>
        <v>24.083189157584592</v>
      </c>
      <c r="AD46" s="190">
        <f>(PI()^2*$B$4/(12*$B$5/Table_03[[#This Row],[rts]])^2)*SQRT(1+0.078*(Table_03[[#This Row],[J*]]/(Table_03[[#This Row],[Static Parameters Elastic Section Modulus Sx (in3)2]]*Table_03[[#This Row],[ho]])*$B$4/(12*$B$5/Table_03[[#This Row],[rts]])^2))</f>
        <v>43.406921033625544</v>
      </c>
      <c r="AE46" s="190">
        <f>0.69*$B$4/Table_03[[#This Row],[b/t]]^2</f>
        <v>206.6902282930557</v>
      </c>
      <c r="AF46" s="192">
        <f>Table_03[[#This Row],[Strength (ksi)]]*Table_03[[#This Row],[Static Parameters Plastic Section Modulus Zx (in3)]]</f>
        <v>347.06472340000005</v>
      </c>
      <c r="AG46" s="190">
        <f>Table_03[[#This Row],[Mp (k-in)]]-(Table_03[[#This Row],[Mp (k-in)]]-0.7*Table_03[[#This Row],[Strength (ksi)]]*Table_03[[#This Row],[Static Parameters Elastic Section Modulus Sx (in3)2]])*((Table_03[[#This Row],[b/t]]-Table_03[[#This Row],[λpf]])/(Table_03[[#This Row],[λrf]]-Table_03[[#This Row],[λpf]]))</f>
        <v>341.27687282226083</v>
      </c>
      <c r="AH46" s="193">
        <f>0.9*$B$4*Table_03[[#This Row],[kc]]*Table_03[[#This Row],[Static Parameters Elastic Section Modulus Sx (in3)2]]/Table_03[[#This Row],[b/t]]^2</f>
        <v>766.80673552301153</v>
      </c>
      <c r="AI46" s="194" t="str">
        <f>IF(Table_03[[#This Row],[b/t]]&lt;Table_03[[#This Row],[λpf]],"Compact",IF(AND(Table_03[[#This Row],[b/t]]&gt;Table_03[[#This Row],[λpf]],Table_03[[#This Row],[λrf]]&gt;Table_03[[#This Row],[b/t]]),"Non-Compact","Slender"))</f>
        <v>Non-Compact</v>
      </c>
      <c r="AJ46" s="195">
        <f>IF(Table_03[[#This Row],[Controlling LBx]]="Compact",Table_03[[#This Row],[Mp (k-in)]],IF(Table_03[[#This Row],[Controlling LBx]]="Non-Compact",Table_03[[#This Row],[Mnlb,Non-Compact (k-in)]],IF(Table_03[[#This Row],[Controlling LBx]]="Slender",Table_03[[#This Row],[Mnlb,slender (k-in)]],"ERROR")))</f>
        <v>341.27687282226083</v>
      </c>
      <c r="AK46" s="192">
        <f>Table_03[[#This Row],[Mp (k-in)]]-(Table_03[[#This Row],[Mp (k-in)]]-0.7*Table_03[[#This Row],[Strength (ksi)]]*Table_03[[#This Row],[Static Parameters Elastic Section Modulus Sx (in3)2]])*(($B$5-Table_03[[#This Row],[Lp (ft)]])/(Table_03[[#This Row],[Lr]]-Table_03[[#This Row],[Lp (ft)]]))</f>
        <v>254.94698253561057</v>
      </c>
      <c r="AL46" s="196">
        <f>Table_03[[#This Row],[Fcrx]]*Table_03[[#This Row],[Static Parameters Elastic Section Modulus Sx (in3)2]]</f>
        <v>274.57004899767247</v>
      </c>
      <c r="AM46" s="197" t="str">
        <f>IF($B$5&lt;Table_03[[#This Row],[Lp (ft)]],"Yielding Controls",IF(AND($B$5&gt;Table_03[[#This Row],[Lp (ft)]],Table_03[[#This Row],[Lr]]&gt;$B$5),"Mltb,p Controls","Mltb,r Controls"))</f>
        <v>Mltb,p Controls</v>
      </c>
      <c r="AN46" s="198">
        <f>IF(Table_03[[#This Row],[Controlling LTB]]="Yielding Controls",Table_03[[#This Row],[Mp (k-in)]],IF(Table_03[[#This Row],[Controlling LTB]]="Mltb,p Controls",Table_03[[#This Row],[Mnltbp (k-in)]],IF(Table_03[[#This Row],[Controlling LTB]]="Mltb,r Controls",Table_03[[#This Row],[Mnltbr (k-in)]],"ERROR")))</f>
        <v>254.94698253561057</v>
      </c>
      <c r="AO46" s="199">
        <f>MIN(Table_03[[#This Row],[Strength (ksi)]]*Table_03[[#This Row],[Static Parameters Plastic Section Modulus Zy (in3)]],1.6*Table_03[[#This Row],[Strength (ksi)]]*Table_03[[#This Row],[Static Parameters Elastic Section Modulus Sy (in3)3]])</f>
        <v>73.751289549999996</v>
      </c>
      <c r="AP46" s="169">
        <f>MIN(Table_03[[#This Row],[Mny (k-in)]],Table_03[[#This Row],[Mny (k-in)]]-(Table_03[[#This Row],[Mny (k-in)]]-0.7*Table_03[[#This Row],[Static Parameters Elastic Section Modulus Sy (in3)3]]*Table_03[[#This Row],[Strength (ksi)]])*((Table_03[[#This Row],[b/t]]-Table_03[[#This Row],[λpf]])/(Table_03[[#This Row],[λrf]]-Table_03[[#This Row],[λpf]])))</f>
        <v>71.921811890521468</v>
      </c>
      <c r="AQ46" s="196">
        <f>MIN(Table_03[[#This Row],[Mny (k-in)]],Table_03[[#This Row],[Fcry]]*Table_03[[#This Row],[Static Parameters Elastic Section Modulus Sy (in3)3]])</f>
        <v>73.751289549999996</v>
      </c>
      <c r="AR46" s="197" t="str">
        <f>IF(Table_03[[#This Row],[b/t]]&lt;Table_03[[#This Row],[λpf]],"Compact",IF(AND(Table_03[[#This Row],[b/t]]&gt;Table_03[[#This Row],[λpf]],Table_03[[#This Row],[λrf]]&gt;Table_03[[#This Row],[b/t]]),"Non-Compact","Slender"))</f>
        <v>Non-Compact</v>
      </c>
      <c r="AS46" s="198">
        <f>IF(Table_03[[#This Row],[Controlling Lby]]="Compact",Table_03[[#This Row],[Mny (k-in)]],IF(Table_03[[#This Row],[Controlling Lby]]="Non-Compact",Table_03[[#This Row],[Mlby,Non-Compact (k-in)]],IF(Table_03[[#This Row],[Controlling Lby]]="Slender",Table_03[[#This Row],[Mlby,Slender (k-in)]],"ERROR")))</f>
        <v>71.921811890521468</v>
      </c>
      <c r="AT46" s="199">
        <f>MIN(Table_03[[#This Row],[LBx]],Table_03[[#This Row],[LTB]],Table_03[[#This Row],[Mp (k-in)]])</f>
        <v>254.94698253561057</v>
      </c>
      <c r="AU46" s="169">
        <f>Table_03[[#This Row],[Mp (k-in)]]</f>
        <v>347.06472340000005</v>
      </c>
      <c r="AV46" s="169">
        <f>MIN(Table_03[[#This Row],[LBy]],Table_03[[#This Row],[Mny (k-in)]])</f>
        <v>71.921811890521468</v>
      </c>
      <c r="AW46" s="200">
        <f>Table_03[[#This Row],[Mny (k-in)]]</f>
        <v>73.751289549999996</v>
      </c>
      <c r="AX46" s="169"/>
      <c r="AY46" s="165">
        <f>IF(4/SQRT((Table_03[[#This Row],[Depth h (in)]]-Table_03[[#This Row],[Flange Thickness tf (in)]]*2)/Table_03[[#This Row],[Web Thickness tw (in)]])&lt;0.35,0.35,IF(4/SQRT(Table_03[[#This Row],[Depth h (in)]]/Table_03[[#This Row],[Web Thickness tw (in)]])&gt;0.76,0.76,4/SQRT(Table_03[[#This Row],[Depth h (in)]]/Table_03[[#This Row],[Web Thickness tw (in)]])))</f>
        <v>0.44965391126579024</v>
      </c>
      <c r="AZ46" s="169"/>
    </row>
    <row r="47" spans="1:52" ht="14.4" thickBot="1" x14ac:dyDescent="0.35">
      <c r="A47" s="201" t="s">
        <v>145</v>
      </c>
      <c r="B47" s="202">
        <v>8.5399999999999991</v>
      </c>
      <c r="C47" s="202">
        <v>4.33</v>
      </c>
      <c r="D47" s="202">
        <v>0.19700000000000001</v>
      </c>
      <c r="E47" s="202">
        <v>0.30299999999999999</v>
      </c>
      <c r="F47" s="203">
        <v>4.3869999999999996</v>
      </c>
      <c r="G47" s="204"/>
      <c r="H47" s="203">
        <v>55.67</v>
      </c>
      <c r="I47" s="203">
        <v>4.12</v>
      </c>
      <c r="J47" s="203">
        <f>Table_03[[#This Row],[Width w (in)]]*Table_03[[#This Row],[Flange Thickness tf (in)]]*(Table_03[[#This Row],[Depth h (in)]]-Table_03[[#This Row],[Flange Thickness tf (in)]])+0.25*Table_03[[#This Row],[Web Thickness tw (in)]]*(Table_03[[#This Row],[Depth h (in)]]-2*Table_03[[#This Row],[Flange Thickness tf (in)]])^2</f>
        <v>13.907068162999998</v>
      </c>
      <c r="K47" s="203">
        <f>(Table_03[[#This Row],[Width w (in)]]^2*Table_03[[#This Row],[Flange Thickness tf (in)]])/2+0.25*Table_03[[#This Row],[Web Thickness tw (in)]]^2*(Table_03[[#This Row],[Depth h (in)]]-2*Table_03[[#This Row],[Flange Thickness tf (in)]])</f>
        <v>2.9174360014999996</v>
      </c>
      <c r="L47" s="203">
        <f>Table_03[[#This Row],[Static Parameters Moment of Inertia Ix (in4)]]/(Table_03[[#This Row],[Depth h (in)]]*0.5)</f>
        <v>13.037470725995318</v>
      </c>
      <c r="M47" s="203">
        <f>Table_03[[#This Row],[Static Parameters Moment of Inertia Iy (in4)]]/(0.5*Table_03[[#This Row],[Width w (in)]])</f>
        <v>1.9030023094688222</v>
      </c>
      <c r="N47" s="205">
        <v>50</v>
      </c>
      <c r="O47" s="206">
        <f>SQRT(Table_03[[#This Row],[Static Parameters Moment of Inertia Ix (in4)]]/Table_03[[#This Row],[Sectional Area (in2)]])</f>
        <v>3.5622696719099141</v>
      </c>
      <c r="P47" s="203">
        <f>SQRT(Table_03[[#This Row],[Static Parameters Moment of Inertia Iy (in4)]]/Table_03[[#This Row],[Sectional Area (in2)]])</f>
        <v>0.96909151443310582</v>
      </c>
      <c r="Q47" s="203">
        <f>($B$6*$B$5*12)/Table_03[[#This Row],[ry (in)2]]</f>
        <v>185.27661972670583</v>
      </c>
      <c r="R47" s="203">
        <f>(PI()^2*$B$4)/(Table_03[[#This Row],[KL/ry]]^2)</f>
        <v>8.3378966181289496</v>
      </c>
      <c r="S47" s="203">
        <f>IF(Table_03[[#This Row],[Strength (ksi)]]/Table_03[[#This Row],[Fe,y]]&lt;2.25,(0.658^(Table_03[[#This Row],[Strength (ksi)]]/Table_03[[#This Row],[Fe,y]])*Table_03[[#This Row],[Strength (ksi)]]),0.877*Table_03[[#This Row],[Fe,y]])</f>
        <v>7.3123353340990889</v>
      </c>
      <c r="T47" s="203">
        <f>Table_03[[#This Row],[Fcr,y]]*Table_03[[#This Row],[Sectional Area (in2)]]</f>
        <v>32.079215110692701</v>
      </c>
      <c r="U47" s="203">
        <f>1.76*Table_03[[#This Row],[ry (in)2]]*SQRT($B$4/Table_03[[#This Row],[Strength (ksi)]])/12</f>
        <v>3.4230260904550485</v>
      </c>
      <c r="V4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9.967291534308238</v>
      </c>
      <c r="W47" s="203">
        <f>Table_03[[#This Row],[Depth h (in)]]-Table_03[[#This Row],[Flange Thickness tf (in)]]</f>
        <v>8.2369999999999983</v>
      </c>
      <c r="X47" s="203">
        <f>(Table_03[[#This Row],[Static Parameters Moment of Inertia Iy (in4)]]*Table_03[[#This Row],[ho]]^2)/4</f>
        <v>69.883614069999965</v>
      </c>
      <c r="Y47" s="203">
        <f>SQRT((SQRT(Table_03[[#This Row],[Static Parameters Moment of Inertia Iy (in4)]]*Table_03[[#This Row],[Cw*]])/Table_03[[#This Row],[Static Parameters Elastic Section Modulus Sx (in3)2]]))</f>
        <v>1.1408314103354513</v>
      </c>
      <c r="Z47" s="203">
        <f>(2*Table_03[[#This Row],[Width w (in)]]*Table_03[[#This Row],[Flange Thickness tf (in)]]^3/3)+((Table_03[[#This Row],[Depth h (in)]]-Table_03[[#This Row],[Flange Thickness tf (in)]]*2)*Table_03[[#This Row],[Web Thickness tw (in)]]^3)/3</f>
        <v>0.10052112306733332</v>
      </c>
      <c r="AA47" s="203">
        <f>Table_03[[#This Row],[Width w (in)]]*0.5/Table_03[[#This Row],[Flange Thickness tf (in)]]</f>
        <v>7.1452145214521456</v>
      </c>
      <c r="AB47" s="203">
        <f>0.38*SQRT($B$4/Table_03[[#This Row],[Strength (ksi)]])</f>
        <v>9.1516118798821449</v>
      </c>
      <c r="AC47" s="203">
        <f>1*SQRT($B$4/Table_03[[#This Row],[Strength (ksi)]])</f>
        <v>24.083189157584592</v>
      </c>
      <c r="AD47" s="203">
        <f>(PI()^2*$B$4/(12*$B$5/Table_03[[#This Row],[rts]])^2)*SQRT(1+0.078*(Table_03[[#This Row],[J*]]/(Table_03[[#This Row],[Static Parameters Elastic Section Modulus Sx (in3)2]]*Table_03[[#This Row],[ho]])*$B$4/(12*$B$5/Table_03[[#This Row],[rts]])^2))</f>
        <v>50.967143619558001</v>
      </c>
      <c r="AE47" s="203">
        <f>0.69*$B$4/Table_03[[#This Row],[b/t]]^2</f>
        <v>391.93725285216726</v>
      </c>
      <c r="AF47" s="207">
        <f>Table_03[[#This Row],[Strength (ksi)]]*Table_03[[#This Row],[Static Parameters Plastic Section Modulus Zx (in3)]]</f>
        <v>695.35340814999995</v>
      </c>
      <c r="AG47" s="203">
        <f>Table_03[[#This Row],[Mp (k-in)]]-(Table_03[[#This Row],[Mp (k-in)]]-0.7*Table_03[[#This Row],[Strength (ksi)]]*Table_03[[#This Row],[Static Parameters Elastic Section Modulus Sx (in3)2]])*((Table_03[[#This Row],[b/t]]-Table_03[[#This Row],[λpf]])/(Table_03[[#This Row],[λrf]]-Table_03[[#This Row],[λpf]]))</f>
        <v>727.47413414457253</v>
      </c>
      <c r="AH47" s="208">
        <f>0.9*$B$4*Table_03[[#This Row],[kc]]*Table_03[[#This Row],[Static Parameters Elastic Section Modulus Sx (in3)2]]/Table_03[[#This Row],[b/t]]^2</f>
        <v>4049.1836849322772</v>
      </c>
      <c r="AI47" s="209" t="str">
        <f>IF(Table_03[[#This Row],[b/t]]&lt;Table_03[[#This Row],[λpf]],"Compact",IF(AND(Table_03[[#This Row],[b/t]]&gt;Table_03[[#This Row],[λpf]],Table_03[[#This Row],[λrf]]&gt;Table_03[[#This Row],[b/t]]),"Non-Compact","Slender"))</f>
        <v>Compact</v>
      </c>
      <c r="AJ47" s="210">
        <f>IF(Table_03[[#This Row],[Controlling LBx]]="Compact",Table_03[[#This Row],[Mp (k-in)]],IF(Table_03[[#This Row],[Controlling LBx]]="Non-Compact",Table_03[[#This Row],[Mnlb,Non-Compact (k-in)]],IF(Table_03[[#This Row],[Controlling LBx]]="Slender",Table_03[[#This Row],[Mnlb,slender (k-in)]],"ERROR")))</f>
        <v>695.35340814999995</v>
      </c>
      <c r="AK47" s="207">
        <f>Table_03[[#This Row],[Mp (k-in)]]-(Table_03[[#This Row],[Mp (k-in)]]-0.7*Table_03[[#This Row],[Strength (ksi)]]*Table_03[[#This Row],[Static Parameters Elastic Section Modulus Sx (in3)2]])*(($B$5-Table_03[[#This Row],[Lp (ft)]])/(Table_03[[#This Row],[Lr]]-Table_03[[#This Row],[Lp (ft)]]))</f>
        <v>560.13166235078756</v>
      </c>
      <c r="AL47" s="211">
        <f>Table_03[[#This Row],[Fcrx]]*Table_03[[#This Row],[Static Parameters Elastic Section Modulus Sx (in3)2]]</f>
        <v>664.48264292758654</v>
      </c>
      <c r="AM47" s="212" t="str">
        <f>IF($B$5&lt;Table_03[[#This Row],[Lp (ft)]],"Yielding Controls",IF(AND($B$5&gt;Table_03[[#This Row],[Lp (ft)]],Table_03[[#This Row],[Lr]]&gt;$B$5),"Mltb,p Controls","Mltb,r Controls"))</f>
        <v>Mltb,p Controls</v>
      </c>
      <c r="AN47" s="213">
        <f>IF(Table_03[[#This Row],[Controlling LTB]]="Yielding Controls",Table_03[[#This Row],[Mp (k-in)]],IF(Table_03[[#This Row],[Controlling LTB]]="Mltb,p Controls",Table_03[[#This Row],[Mnltbp (k-in)]],IF(Table_03[[#This Row],[Controlling LTB]]="Mltb,r Controls",Table_03[[#This Row],[Mnltbr (k-in)]],"ERROR")))</f>
        <v>560.13166235078756</v>
      </c>
      <c r="AO47" s="214">
        <f>MIN(Table_03[[#This Row],[Strength (ksi)]]*Table_03[[#This Row],[Static Parameters Plastic Section Modulus Zy (in3)]],1.6*Table_03[[#This Row],[Strength (ksi)]]*Table_03[[#This Row],[Static Parameters Elastic Section Modulus Sy (in3)3]])</f>
        <v>145.87180007499998</v>
      </c>
      <c r="AP47" s="206">
        <f>MIN(Table_03[[#This Row],[Mny (k-in)]],Table_03[[#This Row],[Mny (k-in)]]-(Table_03[[#This Row],[Mny (k-in)]]-0.7*Table_03[[#This Row],[Static Parameters Elastic Section Modulus Sy (in3)3]]*Table_03[[#This Row],[Strength (ksi)]])*((Table_03[[#This Row],[b/t]]-Table_03[[#This Row],[λpf]])/(Table_03[[#This Row],[λrf]]-Table_03[[#This Row],[λpf]])))</f>
        <v>145.87180007499998</v>
      </c>
      <c r="AQ47" s="211">
        <f>MIN(Table_03[[#This Row],[Mny (k-in)]],Table_03[[#This Row],[Fcry]]*Table_03[[#This Row],[Static Parameters Elastic Section Modulus Sy (in3)3]])</f>
        <v>145.87180007499998</v>
      </c>
      <c r="AR47" s="212" t="str">
        <f>IF(Table_03[[#This Row],[b/t]]&lt;Table_03[[#This Row],[λpf]],"Compact",IF(AND(Table_03[[#This Row],[b/t]]&gt;Table_03[[#This Row],[λpf]],Table_03[[#This Row],[λrf]]&gt;Table_03[[#This Row],[b/t]]),"Non-Compact","Slender"))</f>
        <v>Compact</v>
      </c>
      <c r="AS47" s="213">
        <f>IF(Table_03[[#This Row],[Controlling Lby]]="Compact",Table_03[[#This Row],[Mny (k-in)]],IF(Table_03[[#This Row],[Controlling Lby]]="Non-Compact",Table_03[[#This Row],[Mlby,Non-Compact (k-in)]],IF(Table_03[[#This Row],[Controlling Lby]]="Slender",Table_03[[#This Row],[Mlby,Slender (k-in)]],"ERROR")))</f>
        <v>145.87180007499998</v>
      </c>
      <c r="AT47" s="214">
        <f>MIN(Table_03[[#This Row],[LBx]],Table_03[[#This Row],[LTB]],Table_03[[#This Row],[Mp (k-in)]])</f>
        <v>560.13166235078756</v>
      </c>
      <c r="AU47" s="206">
        <f>Table_03[[#This Row],[Mp (k-in)]]</f>
        <v>695.35340814999995</v>
      </c>
      <c r="AV47" s="206">
        <f>MIN(Table_03[[#This Row],[LBy]],Table_03[[#This Row],[Mny (k-in)]])</f>
        <v>145.87180007499998</v>
      </c>
      <c r="AW47" s="215">
        <f>Table_03[[#This Row],[Mny (k-in)]]</f>
        <v>145.87180007499998</v>
      </c>
      <c r="AX47" s="169"/>
      <c r="AY47" s="165">
        <f>IF(4/SQRT((Table_03[[#This Row],[Depth h (in)]]-Table_03[[#This Row],[Flange Thickness tf (in)]]*2)/Table_03[[#This Row],[Web Thickness tw (in)]])&lt;0.35,0.35,IF(4/SQRT(Table_03[[#This Row],[Depth h (in)]]/Table_03[[#This Row],[Web Thickness tw (in)]])&gt;0.76,0.76,4/SQRT(Table_03[[#This Row],[Depth h (in)]]/Table_03[[#This Row],[Web Thickness tw (in)]])))</f>
        <v>0.60752502092824479</v>
      </c>
      <c r="AZ47" s="169"/>
    </row>
    <row r="48" spans="1:52" x14ac:dyDescent="0.3">
      <c r="A48" s="179" t="s">
        <v>146</v>
      </c>
      <c r="B48" s="180">
        <f>B47-$B$1*2</f>
        <v>8.5399999999999991</v>
      </c>
      <c r="C48" s="180">
        <f>C47-$B$1*2</f>
        <v>4.33</v>
      </c>
      <c r="D48" s="180">
        <f>D47-$B$1*2</f>
        <v>0.19700000000000001</v>
      </c>
      <c r="E48" s="180">
        <f>E47-$B$1*2</f>
        <v>0.30299999999999999</v>
      </c>
      <c r="F48" s="181">
        <f>2*Table_03[[#This Row],[Width w (in)]]*Table_03[[#This Row],[Flange Thickness tf (in)]]+Table_03[[#This Row],[Web Thickness tw (in)]]*(Table_03[[#This Row],[Depth h (in)]]-2*Table_03[[#This Row],[Flange Thickness tf (in)]])</f>
        <v>4.1869779999999999</v>
      </c>
      <c r="G48" s="180"/>
      <c r="H48" s="18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52.72714791574731</v>
      </c>
      <c r="I48" s="180">
        <f>((Table_03[[#This Row],[Depth h (in)]]-2*Table_03[[#This Row],[Flange Thickness tf (in)]])*Table_03[[#This Row],[Web Thickness tw (in)]]^3/12+2*(Table_03[[#This Row],[Flange Thickness tf (in)]]*Table_03[[#This Row],[Width w (in)]]^3/12))</f>
        <v>4.1047830842818334</v>
      </c>
      <c r="J48" s="181">
        <f>Table_03[[#This Row],[Width w (in)]]*Table_03[[#This Row],[Flange Thickness tf (in)]]*(Table_03[[#This Row],[Depth h (in)]]-Table_03[[#This Row],[Flange Thickness tf (in)]])+0.25*Table_03[[#This Row],[Web Thickness tw (in)]]*(Table_03[[#This Row],[Depth h (in)]]-2*Table_03[[#This Row],[Flange Thickness tf (in)]])^2</f>
        <v>13.907068162999998</v>
      </c>
      <c r="K48" s="181">
        <f>(Table_03[[#This Row],[Width w (in)]]^2*Table_03[[#This Row],[Flange Thickness tf (in)]])/2+0.25*Table_03[[#This Row],[Web Thickness tw (in)]]^2*(Table_03[[#This Row],[Depth h (in)]]-2*Table_03[[#This Row],[Flange Thickness tf (in)]])</f>
        <v>2.9174360014999996</v>
      </c>
      <c r="L48" s="181">
        <f>Table_03[[#This Row],[Static Parameters Moment of Inertia Ix (in4)]]/(Table_03[[#This Row],[Depth h (in)]]/2)</f>
        <v>12.348278200409208</v>
      </c>
      <c r="M48" s="181">
        <f>Table_03[[#This Row],[Static Parameters Moment of Inertia Iy (in4)]]/(Table_03[[#This Row],[Width w (in)]]/2)</f>
        <v>1.8959737109846806</v>
      </c>
      <c r="N48" s="182">
        <v>50</v>
      </c>
      <c r="O48" s="181">
        <f>SQRT(Table_03[[#This Row],[Static Parameters Moment of Inertia Ix (in4)]]/Table_03[[#This Row],[Sectional Area (in2)]])</f>
        <v>3.5486796881587459</v>
      </c>
      <c r="P48" s="181">
        <f>SQRT(Table_03[[#This Row],[Static Parameters Moment of Inertia Iy (in4)]]/Table_03[[#This Row],[Sectional Area (in2)]])</f>
        <v>0.99013580698010761</v>
      </c>
      <c r="Q48" s="181">
        <f>($B$6*$B$5*12)/Table_03[[#This Row],[ry (in)2]]</f>
        <v>181.3387605359143</v>
      </c>
      <c r="R48" s="181">
        <f>(PI()^2*$B$4)/(Table_03[[#This Row],[KL/ry]]^2)</f>
        <v>8.7039513989312383</v>
      </c>
      <c r="S48" s="181">
        <f>IF(Table_03[[#This Row],[Strength (ksi)]]/Table_03[[#This Row],[Fe,y]]&lt;2.25,(0.658^(Table_03[[#This Row],[Strength (ksi)]]/Table_03[[#This Row],[Fe,y]])*Table_03[[#This Row],[Strength (ksi)]]),0.877*Table_03[[#This Row],[Fe,y]])</f>
        <v>7.6333653768626961</v>
      </c>
      <c r="T48" s="181">
        <f>Table_03[[#This Row],[Fcr,y]]*Table_03[[#This Row],[Sectional Area (in2)]]</f>
        <v>31.960732898885816</v>
      </c>
      <c r="U48" s="181">
        <f>1.76*Table_03[[#This Row],[ry (in)2]]*SQRT($B$4/Table_03[[#This Row],[Strength (ksi)]])/12</f>
        <v>3.4973587632426075</v>
      </c>
      <c r="V4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10.304419545827518</v>
      </c>
      <c r="W48" s="181">
        <f>Table_03[[#This Row],[Depth h (in)]]-Table_03[[#This Row],[Flange Thickness tf (in)]]</f>
        <v>8.2369999999999983</v>
      </c>
      <c r="X48" s="181">
        <f>(Table_03[[#This Row],[Static Parameters Moment of Inertia Iy (in4)]]*Table_03[[#This Row],[ho]]^2)/4</f>
        <v>69.625504102673744</v>
      </c>
      <c r="Y48" s="181">
        <f>SQRT((SQRT(Table_03[[#This Row],[Static Parameters Moment of Inertia Iy (in4)]]*Table_03[[#This Row],[Cw*]])/Table_03[[#This Row],[Static Parameters Elastic Section Modulus Sx (in3)2]]))</f>
        <v>1.1700689062966958</v>
      </c>
      <c r="Z48" s="181">
        <f>(2*Table_03[[#This Row],[Width w (in)]]*Table_03[[#This Row],[Flange Thickness tf (in)]]^3/3)+((Table_03[[#This Row],[Depth h (in)]]-Table_03[[#This Row],[Flange Thickness tf (in)]]*2)*Table_03[[#This Row],[Web Thickness tw (in)]]^3)/3</f>
        <v>0.10052112306733332</v>
      </c>
      <c r="AA48" s="181">
        <f>Table_03[[#This Row],[Width w (in)]]*0.5/Table_03[[#This Row],[Flange Thickness tf (in)]]</f>
        <v>7.1452145214521456</v>
      </c>
      <c r="AB48" s="181">
        <f>0.38*SQRT($B$4/Table_03[[#This Row],[Strength (ksi)]])</f>
        <v>9.1516118798821449</v>
      </c>
      <c r="AC48" s="181">
        <f>1*SQRT($B$4/Table_03[[#This Row],[Strength (ksi)]])</f>
        <v>24.083189157584592</v>
      </c>
      <c r="AD48" s="181">
        <f>(PI()^2*$B$4/(12*$B$5/Table_03[[#This Row],[rts]])^2)*SQRT(1+0.078*(Table_03[[#This Row],[J*]]/(Table_03[[#This Row],[Static Parameters Elastic Section Modulus Sx (in3)2]]*Table_03[[#This Row],[ho]])*$B$4/(12*$B$5/Table_03[[#This Row],[rts]])^2))</f>
        <v>53.614132502857338</v>
      </c>
      <c r="AE48" s="181">
        <f>0.69*$B$4/Table_03[[#This Row],[b/t]]^2</f>
        <v>391.93725285216726</v>
      </c>
      <c r="AF48" s="183">
        <f>Table_03[[#This Row],[Strength (ksi)]]*Table_03[[#This Row],[Static Parameters Plastic Section Modulus Zx (in3)]]</f>
        <v>695.35340814999995</v>
      </c>
      <c r="AG48" s="181">
        <f>Table_03[[#This Row],[Mp (k-in)]]-(Table_03[[#This Row],[Mp (k-in)]]-0.7*Table_03[[#This Row],[Strength (ksi)]]*Table_03[[#This Row],[Static Parameters Elastic Section Modulus Sx (in3)2]])*((Table_03[[#This Row],[b/t]]-Table_03[[#This Row],[λpf]])/(Table_03[[#This Row],[λrf]]-Table_03[[#This Row],[λpf]]))</f>
        <v>730.71543888401027</v>
      </c>
      <c r="AH48" s="184">
        <f>0.9*$B$4*Table_03[[#This Row],[kc]]*Table_03[[#This Row],[Static Parameters Elastic Section Modulus Sx (in3)2]]/Table_03[[#This Row],[b/t]]^2</f>
        <v>3835.1339517416009</v>
      </c>
      <c r="AI48" s="185" t="str">
        <f>IF(Table_03[[#This Row],[b/t]]&lt;Table_03[[#This Row],[λpf]],"Compact",IF(AND(Table_03[[#This Row],[b/t]]&gt;Table_03[[#This Row],[λpf]],Table_03[[#This Row],[λrf]]&gt;Table_03[[#This Row],[b/t]]),"Non-Compact","Slender"))</f>
        <v>Compact</v>
      </c>
      <c r="AJ48" s="186">
        <f>IF(Table_03[[#This Row],[Controlling LBx]]="Compact",Table_03[[#This Row],[Mp (k-in)]],IF(Table_03[[#This Row],[Controlling LBx]]="Non-Compact",Table_03[[#This Row],[Mnlb,Non-Compact (k-in)]],IF(Table_03[[#This Row],[Controlling LBx]]="Slender",Table_03[[#This Row],[Mnlb,slender (k-in)]],"ERROR")))</f>
        <v>695.35340814999995</v>
      </c>
      <c r="AK48" s="183">
        <f>Table_03[[#This Row],[Mp (k-in)]]-(Table_03[[#This Row],[Mp (k-in)]]-0.7*Table_03[[#This Row],[Strength (ksi)]]*Table_03[[#This Row],[Static Parameters Elastic Section Modulus Sx (in3)2]])*(($B$5-Table_03[[#This Row],[Lp (ft)]])/(Table_03[[#This Row],[Lr]]-Table_03[[#This Row],[Lp (ft)]]))</f>
        <v>555.10735836142703</v>
      </c>
      <c r="AL48" s="184">
        <f>Table_03[[#This Row],[Fcrx]]*Table_03[[#This Row],[Static Parameters Elastic Section Modulus Sx (in3)2]]</f>
        <v>662.04222361888401</v>
      </c>
      <c r="AM48" s="185" t="str">
        <f>IF($B$5&lt;Table_03[[#This Row],[Lp (ft)]],"Yielding Controls",IF(AND($B$5&gt;Table_03[[#This Row],[Lp (ft)]],Table_03[[#This Row],[Lr]]&gt;$B$5),"Mltb,p Controls","Mltb,r Controls"))</f>
        <v>Mltb,p Controls</v>
      </c>
      <c r="AN48" s="186">
        <f>IF(Table_03[[#This Row],[Controlling LTB]]="Yielding Controls",Table_03[[#This Row],[Mp (k-in)]],IF(Table_03[[#This Row],[Controlling LTB]]="Mltb,p Controls",Table_03[[#This Row],[Mnltbp (k-in)]],IF(Table_03[[#This Row],[Controlling LTB]]="Mltb,r Controls",Table_03[[#This Row],[Mnltbr (k-in)]],"ERROR")))</f>
        <v>555.10735836142703</v>
      </c>
      <c r="AO48" s="183">
        <f>MIN(Table_03[[#This Row],[Strength (ksi)]]*Table_03[[#This Row],[Static Parameters Plastic Section Modulus Zy (in3)]],1.6*Table_03[[#This Row],[Strength (ksi)]]*Table_03[[#This Row],[Static Parameters Elastic Section Modulus Sy (in3)3]])</f>
        <v>145.87180007499998</v>
      </c>
      <c r="AP48" s="181">
        <f>MIN(Table_03[[#This Row],[Mny (k-in)]],Table_03[[#This Row],[Mny (k-in)]]-(Table_03[[#This Row],[Mny (k-in)]]-0.7*Table_03[[#This Row],[Static Parameters Elastic Section Modulus Sy (in3)3]]*Table_03[[#This Row],[Strength (ksi)]])*((Table_03[[#This Row],[b/t]]-Table_03[[#This Row],[λpf]])/(Table_03[[#This Row],[λrf]]-Table_03[[#This Row],[λpf]])))</f>
        <v>145.87180007499998</v>
      </c>
      <c r="AQ48" s="184">
        <f>MIN(Table_03[[#This Row],[Mny (k-in)]],Table_03[[#This Row],[Fcry]]*Table_03[[#This Row],[Static Parameters Elastic Section Modulus Sy (in3)3]])</f>
        <v>145.87180007499998</v>
      </c>
      <c r="AR48" s="185" t="str">
        <f>IF(Table_03[[#This Row],[b/t]]&lt;Table_03[[#This Row],[λpf]],"Compact",IF(AND(Table_03[[#This Row],[b/t]]&gt;Table_03[[#This Row],[λpf]],Table_03[[#This Row],[λrf]]&gt;Table_03[[#This Row],[b/t]]),"Non-Compact","Slender"))</f>
        <v>Compact</v>
      </c>
      <c r="AS48" s="186">
        <f>IF(Table_03[[#This Row],[Controlling Lby]]="Compact",Table_03[[#This Row],[Mny (k-in)]],IF(Table_03[[#This Row],[Controlling Lby]]="Non-Compact",Table_03[[#This Row],[Mlby,Non-Compact (k-in)]],IF(Table_03[[#This Row],[Controlling Lby]]="Slender",Table_03[[#This Row],[Mlby,Slender (k-in)]],"ERROR")))</f>
        <v>145.87180007499998</v>
      </c>
      <c r="AT48" s="183">
        <f>MIN(Table_03[[#This Row],[LBx]],Table_03[[#This Row],[LTB]],Table_03[[#This Row],[Mp (k-in)]])</f>
        <v>555.10735836142703</v>
      </c>
      <c r="AU48" s="181">
        <f>Table_03[[#This Row],[Mp (k-in)]]</f>
        <v>695.35340814999995</v>
      </c>
      <c r="AV48" s="181">
        <f>MIN(Table_03[[#This Row],[LBy]],Table_03[[#This Row],[Mny (k-in)]])</f>
        <v>145.87180007499998</v>
      </c>
      <c r="AW48" s="187">
        <f>Table_03[[#This Row],[Mny (k-in)]]</f>
        <v>145.87180007499998</v>
      </c>
      <c r="AX48" s="169"/>
      <c r="AY48" s="165">
        <f>IF(4/SQRT((Table_03[[#This Row],[Depth h (in)]]-Table_03[[#This Row],[Flange Thickness tf (in)]]*2)/Table_03[[#This Row],[Web Thickness tw (in)]])&lt;0.35,0.35,IF(4/SQRT(Table_03[[#This Row],[Depth h (in)]]/Table_03[[#This Row],[Web Thickness tw (in)]])&gt;0.76,0.76,4/SQRT(Table_03[[#This Row],[Depth h (in)]]/Table_03[[#This Row],[Web Thickness tw (in)]])))</f>
        <v>0.60752502092824479</v>
      </c>
      <c r="AZ48" s="169"/>
    </row>
    <row r="49" spans="1:52" x14ac:dyDescent="0.3">
      <c r="A49" s="188" t="s">
        <v>147</v>
      </c>
      <c r="B49" s="189">
        <f>B47-$B$3*2</f>
        <v>8.4599999999999991</v>
      </c>
      <c r="C49" s="189">
        <f>C47-$B$3*2</f>
        <v>4.25</v>
      </c>
      <c r="D49" s="189">
        <f>D47-$B$3*2</f>
        <v>0.11700000000000001</v>
      </c>
      <c r="E49" s="189">
        <f>E47-$B$3*2</f>
        <v>0.22299999999999998</v>
      </c>
      <c r="F49" s="190">
        <f>2*Table_03[[#This Row],[Width w (in)]]*Table_03[[#This Row],[Flange Thickness tf (in)]]+Table_03[[#This Row],[Web Thickness tw (in)]]*(Table_03[[#This Row],[Depth h (in)]]-2*Table_03[[#This Row],[Flange Thickness tf (in)]])</f>
        <v>2.8331379999999999</v>
      </c>
      <c r="G49" s="189"/>
      <c r="H49"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37.177660085587313</v>
      </c>
      <c r="I49" s="190">
        <f>((Table_03[[#This Row],[Depth h (in)]]-2*Table_03[[#This Row],[Flange Thickness tf (in)]])*Table_03[[#This Row],[Web Thickness tw (in)]]^3/12+2*(Table_03[[#This Row],[Flange Thickness tf (in)]]*Table_03[[#This Row],[Width w (in)]]^3/12))</f>
        <v>2.8541920063818331</v>
      </c>
      <c r="J49" s="190">
        <f>Table_03[[#This Row],[Width w (in)]]*Table_03[[#This Row],[Flange Thickness tf (in)]]*(Table_03[[#This Row],[Depth h (in)]]-Table_03[[#This Row],[Flange Thickness tf (in)]])+0.25*Table_03[[#This Row],[Web Thickness tw (in)]]*(Table_03[[#This Row],[Depth h (in)]]-2*Table_03[[#This Row],[Flange Thickness tf (in)]])^2</f>
        <v>9.6851744829999973</v>
      </c>
      <c r="K49" s="190">
        <f>(Table_03[[#This Row],[Width w (in)]]^2*Table_03[[#This Row],[Flange Thickness tf (in)]])/2+0.25*Table_03[[#This Row],[Web Thickness tw (in)]]^2*(Table_03[[#This Row],[Depth h (in)]]-2*Table_03[[#This Row],[Flange Thickness tf (in)]])</f>
        <v>2.0413946614999996</v>
      </c>
      <c r="L49" s="190">
        <f>Table_03[[#This Row],[Static Parameters Moment of Inertia Ix (in4)]]/(Table_03[[#This Row],[Depth h (in)]]/2)</f>
        <v>8.7890449374910915</v>
      </c>
      <c r="M49" s="190">
        <f>Table_03[[#This Row],[Static Parameters Moment of Inertia Iy (in4)]]/(Table_03[[#This Row],[Width w (in)]]/2)</f>
        <v>1.3431491794738037</v>
      </c>
      <c r="N49" s="191">
        <v>50</v>
      </c>
      <c r="O49" s="169">
        <f>SQRT(Table_03[[#This Row],[Static Parameters Moment of Inertia Ix (in4)]]/Table_03[[#This Row],[Sectional Area (in2)]])</f>
        <v>3.6224897190902894</v>
      </c>
      <c r="P49" s="190">
        <f>SQRT(Table_03[[#This Row],[Static Parameters Moment of Inertia Iy (in4)]]/Table_03[[#This Row],[Sectional Area (in2)]])</f>
        <v>1.0037087914863629</v>
      </c>
      <c r="Q49" s="190">
        <f>($B$6*$B$5*12)/Table_03[[#This Row],[ry (in)2]]</f>
        <v>178.88654709710141</v>
      </c>
      <c r="R49" s="190">
        <f>(PI()^2*$B$4)/(Table_03[[#This Row],[KL/ry]]^2)</f>
        <v>8.9442180990988494</v>
      </c>
      <c r="S49" s="190">
        <f>IF(Table_03[[#This Row],[Strength (ksi)]]/Table_03[[#This Row],[Fe,y]]&lt;2.25,(0.658^(Table_03[[#This Row],[Strength (ksi)]]/Table_03[[#This Row],[Fe,y]])*Table_03[[#This Row],[Strength (ksi)]]),0.877*Table_03[[#This Row],[Fe,y]])</f>
        <v>7.8440792729096911</v>
      </c>
      <c r="T49" s="190">
        <f>Table_03[[#This Row],[Fcr,y]]*Table_03[[#This Row],[Sectional Area (in2)]]</f>
        <v>22.223359063092815</v>
      </c>
      <c r="U49" s="190">
        <f>1.76*Table_03[[#This Row],[ry (in)2]]*SQRT($B$4/Table_03[[#This Row],[Strength (ksi)]])/12</f>
        <v>3.5453012737261838</v>
      </c>
      <c r="V4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9.4325689995183026</v>
      </c>
      <c r="W49" s="190">
        <f>Table_03[[#This Row],[Depth h (in)]]-Table_03[[#This Row],[Flange Thickness tf (in)]]</f>
        <v>8.2369999999999983</v>
      </c>
      <c r="X49" s="190">
        <f>(Table_03[[#This Row],[Static Parameters Moment of Inertia Iy (in4)]]*Table_03[[#This Row],[ho]]^2)/4</f>
        <v>48.412925401860903</v>
      </c>
      <c r="Y49" s="190">
        <f>SQRT((SQRT(Table_03[[#This Row],[Static Parameters Moment of Inertia Iy (in4)]]*Table_03[[#This Row],[Cw*]])/Table_03[[#This Row],[Static Parameters Elastic Section Modulus Sx (in3)2]]))</f>
        <v>1.1564857488598046</v>
      </c>
      <c r="Z49" s="190">
        <f>(2*Table_03[[#This Row],[Width w (in)]]*Table_03[[#This Row],[Flange Thickness tf (in)]]^3/3)+((Table_03[[#This Row],[Depth h (in)]]-Table_03[[#This Row],[Flange Thickness tf (in)]]*2)*Table_03[[#This Row],[Web Thickness tw (in)]]^3)/3</f>
        <v>3.5698882027333317E-2</v>
      </c>
      <c r="AA49" s="190">
        <f>Table_03[[#This Row],[Width w (in)]]*0.5/Table_03[[#This Row],[Flange Thickness tf (in)]]</f>
        <v>9.5291479820627814</v>
      </c>
      <c r="AB49" s="190">
        <f>0.38*SQRT($B$4/Table_03[[#This Row],[Strength (ksi)]])</f>
        <v>9.1516118798821449</v>
      </c>
      <c r="AC49" s="190">
        <f>1*SQRT($B$4/Table_03[[#This Row],[Strength (ksi)]])</f>
        <v>24.083189157584592</v>
      </c>
      <c r="AD49" s="190">
        <f>(PI()^2*$B$4/(12*$B$5/Table_03[[#This Row],[rts]])^2)*SQRT(1+0.078*(Table_03[[#This Row],[J*]]/(Table_03[[#This Row],[Static Parameters Elastic Section Modulus Sx (in3)2]]*Table_03[[#This Row],[ho]])*$B$4/(12*$B$5/Table_03[[#This Row],[rts]])^2))</f>
        <v>52.370943000562363</v>
      </c>
      <c r="AE49" s="190">
        <f>0.69*$B$4/Table_03[[#This Row],[b/t]]^2</f>
        <v>220.36313688581311</v>
      </c>
      <c r="AF49" s="192">
        <f>Table_03[[#This Row],[Strength (ksi)]]*Table_03[[#This Row],[Static Parameters Plastic Section Modulus Zx (in3)]]</f>
        <v>484.25872414999986</v>
      </c>
      <c r="AG49" s="190">
        <f>Table_03[[#This Row],[Mp (k-in)]]-(Table_03[[#This Row],[Mp (k-in)]]-0.7*Table_03[[#This Row],[Strength (ksi)]]*Table_03[[#This Row],[Static Parameters Elastic Section Modulus Sx (in3)2]])*((Table_03[[#This Row],[b/t]]-Table_03[[#This Row],[λpf]])/(Table_03[[#This Row],[λrf]]-Table_03[[#This Row],[λpf]]))</f>
        <v>479.79243180481899</v>
      </c>
      <c r="AH49" s="193">
        <f>0.9*$B$4*Table_03[[#This Row],[kc]]*Table_03[[#This Row],[Static Parameters Elastic Section Modulus Sx (in3)2]]/Table_03[[#This Row],[b/t]]^2</f>
        <v>1188.3429399135011</v>
      </c>
      <c r="AI49" s="194" t="str">
        <f>IF(Table_03[[#This Row],[b/t]]&lt;Table_03[[#This Row],[λpf]],"Compact",IF(AND(Table_03[[#This Row],[b/t]]&gt;Table_03[[#This Row],[λpf]],Table_03[[#This Row],[λrf]]&gt;Table_03[[#This Row],[b/t]]),"Non-Compact","Slender"))</f>
        <v>Non-Compact</v>
      </c>
      <c r="AJ49" s="195">
        <f>IF(Table_03[[#This Row],[Controlling LBx]]="Compact",Table_03[[#This Row],[Mp (k-in)]],IF(Table_03[[#This Row],[Controlling LBx]]="Non-Compact",Table_03[[#This Row],[Mnlb,Non-Compact (k-in)]],IF(Table_03[[#This Row],[Controlling LBx]]="Slender",Table_03[[#This Row],[Mnlb,slender (k-in)]],"ERROR")))</f>
        <v>479.79243180481899</v>
      </c>
      <c r="AK49" s="192">
        <f>Table_03[[#This Row],[Mp (k-in)]]-(Table_03[[#This Row],[Mp (k-in)]]-0.7*Table_03[[#This Row],[Strength (ksi)]]*Table_03[[#This Row],[Static Parameters Elastic Section Modulus Sx (in3)2]])*(($B$5-Table_03[[#This Row],[Lp (ft)]])/(Table_03[[#This Row],[Lr]]-Table_03[[#This Row],[Lp (ft)]]))</f>
        <v>376.85309668379642</v>
      </c>
      <c r="AL49" s="196">
        <f>Table_03[[#This Row],[Fcrx]]*Table_03[[#This Row],[Static Parameters Elastic Section Modulus Sx (in3)2]]</f>
        <v>460.29057145072716</v>
      </c>
      <c r="AM49" s="197" t="str">
        <f>IF($B$5&lt;Table_03[[#This Row],[Lp (ft)]],"Yielding Controls",IF(AND($B$5&gt;Table_03[[#This Row],[Lp (ft)]],Table_03[[#This Row],[Lr]]&gt;$B$5),"Mltb,p Controls","Mltb,r Controls"))</f>
        <v>Mltb,p Controls</v>
      </c>
      <c r="AN49" s="198">
        <f>IF(Table_03[[#This Row],[Controlling LTB]]="Yielding Controls",Table_03[[#This Row],[Mp (k-in)]],IF(Table_03[[#This Row],[Controlling LTB]]="Mltb,p Controls",Table_03[[#This Row],[Mnltbp (k-in)]],IF(Table_03[[#This Row],[Controlling LTB]]="Mltb,r Controls",Table_03[[#This Row],[Mnltbr (k-in)]],"ERROR")))</f>
        <v>376.85309668379642</v>
      </c>
      <c r="AO49" s="199">
        <f>MIN(Table_03[[#This Row],[Strength (ksi)]]*Table_03[[#This Row],[Static Parameters Plastic Section Modulus Zy (in3)]],1.6*Table_03[[#This Row],[Strength (ksi)]]*Table_03[[#This Row],[Static Parameters Elastic Section Modulus Sy (in3)3]])</f>
        <v>102.06973307499997</v>
      </c>
      <c r="AP49" s="169">
        <f>MIN(Table_03[[#This Row],[Mny (k-in)]],Table_03[[#This Row],[Mny (k-in)]]-(Table_03[[#This Row],[Mny (k-in)]]-0.7*Table_03[[#This Row],[Static Parameters Elastic Section Modulus Sy (in3)3]]*Table_03[[#This Row],[Strength (ksi)]])*((Table_03[[#This Row],[b/t]]-Table_03[[#This Row],[λpf]])/(Table_03[[#This Row],[λrf]]-Table_03[[#This Row],[λpf]])))</f>
        <v>100.67758587689406</v>
      </c>
      <c r="AQ49" s="196">
        <f>MIN(Table_03[[#This Row],[Mny (k-in)]],Table_03[[#This Row],[Fcry]]*Table_03[[#This Row],[Static Parameters Elastic Section Modulus Sy (in3)3]])</f>
        <v>102.06973307499997</v>
      </c>
      <c r="AR49" s="197" t="str">
        <f>IF(Table_03[[#This Row],[b/t]]&lt;Table_03[[#This Row],[λpf]],"Compact",IF(AND(Table_03[[#This Row],[b/t]]&gt;Table_03[[#This Row],[λpf]],Table_03[[#This Row],[λrf]]&gt;Table_03[[#This Row],[b/t]]),"Non-Compact","Slender"))</f>
        <v>Non-Compact</v>
      </c>
      <c r="AS49" s="198">
        <f>IF(Table_03[[#This Row],[Controlling Lby]]="Compact",Table_03[[#This Row],[Mny (k-in)]],IF(Table_03[[#This Row],[Controlling Lby]]="Non-Compact",Table_03[[#This Row],[Mlby,Non-Compact (k-in)]],IF(Table_03[[#This Row],[Controlling Lby]]="Slender",Table_03[[#This Row],[Mlby,Slender (k-in)]],"ERROR")))</f>
        <v>100.67758587689406</v>
      </c>
      <c r="AT49" s="199">
        <f>MIN(Table_03[[#This Row],[LBx]],Table_03[[#This Row],[LTB]],Table_03[[#This Row],[Mp (k-in)]])</f>
        <v>376.85309668379642</v>
      </c>
      <c r="AU49" s="169">
        <f>Table_03[[#This Row],[Mp (k-in)]]</f>
        <v>484.25872414999986</v>
      </c>
      <c r="AV49" s="169">
        <f>MIN(Table_03[[#This Row],[LBy]],Table_03[[#This Row],[Mny (k-in)]])</f>
        <v>100.67758587689406</v>
      </c>
      <c r="AW49" s="200">
        <f>Table_03[[#This Row],[Mny (k-in)]]</f>
        <v>102.06973307499997</v>
      </c>
      <c r="AX49" s="169"/>
      <c r="AY49" s="165">
        <f>IF(4/SQRT((Table_03[[#This Row],[Depth h (in)]]-Table_03[[#This Row],[Flange Thickness tf (in)]]*2)/Table_03[[#This Row],[Web Thickness tw (in)]])&lt;0.35,0.35,IF(4/SQRT(Table_03[[#This Row],[Depth h (in)]]/Table_03[[#This Row],[Web Thickness tw (in)]])&gt;0.76,0.76,4/SQRT(Table_03[[#This Row],[Depth h (in)]]/Table_03[[#This Row],[Web Thickness tw (in)]])))</f>
        <v>0.47040046316376105</v>
      </c>
      <c r="AZ49" s="169"/>
    </row>
    <row r="50" spans="1:52" ht="14.4" thickBot="1" x14ac:dyDescent="0.35">
      <c r="A50" s="201" t="s">
        <v>148</v>
      </c>
      <c r="B50" s="202">
        <v>3.9369999999999998</v>
      </c>
      <c r="C50" s="202">
        <v>1.9690000000000001</v>
      </c>
      <c r="D50" s="202">
        <v>0.11799999999999999</v>
      </c>
      <c r="E50" s="202">
        <v>0.11799999999999999</v>
      </c>
      <c r="F50" s="203">
        <v>1.02</v>
      </c>
      <c r="G50" s="204"/>
      <c r="H50" s="203">
        <v>2.4300000000000002</v>
      </c>
      <c r="I50" s="203">
        <v>0.56200000000000006</v>
      </c>
      <c r="J50" s="203">
        <v>1.45</v>
      </c>
      <c r="K50" s="203">
        <v>0.65800000000000003</v>
      </c>
      <c r="L50" s="203">
        <v>1.22</v>
      </c>
      <c r="M50" s="203">
        <v>0.45100000000000001</v>
      </c>
      <c r="N50" s="205">
        <v>50</v>
      </c>
      <c r="O50" s="206">
        <f>SQRT(Table_03[[#This Row],[Static Parameters Moment of Inertia Ix (in4)]]/Table_03[[#This Row],[Sectional Area (in2)]])</f>
        <v>1.5434872662825796</v>
      </c>
      <c r="P50" s="203">
        <f>SQRT(Table_03[[#This Row],[Static Parameters Moment of Inertia Iy (in4)]]/Table_03[[#This Row],[Sectional Area (in2)]])</f>
        <v>0.74228053467463551</v>
      </c>
      <c r="Q50" s="203">
        <f>($B$6*$B$5*12)/Table_03[[#This Row],[ry (in)2]]</f>
        <v>241.88967864919471</v>
      </c>
      <c r="R50" s="203">
        <f>(PI()^2*$B$4)/(Table_03[[#This Row],[KL/ry]]^2)</f>
        <v>4.8917366468249606</v>
      </c>
      <c r="S50" s="203">
        <f>IF(Table_03[[#This Row],[Strength (ksi)]]/Table_03[[#This Row],[Fe,y]]&lt;2.25,(0.658^(Table_03[[#This Row],[Strength (ksi)]]/Table_03[[#This Row],[Fe,y]])*Table_03[[#This Row],[Strength (ksi)]]),0.877*Table_03[[#This Row],[Fe,y]])</f>
        <v>4.2900530392654908</v>
      </c>
      <c r="T50" s="203">
        <f>Table_03[[#This Row],[Fcr,y]]*Table_03[[#This Row],[Sectional Area (in2)]]</f>
        <v>4.3758541000508009</v>
      </c>
      <c r="U50" s="203">
        <f>1.76*Table_03[[#This Row],[ry (in)2]]*SQRT($B$4/Table_03[[#This Row],[Strength (ksi)]])/12</f>
        <v>2.6218841036024672</v>
      </c>
      <c r="V5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8.1465478389618724</v>
      </c>
      <c r="W50" s="203">
        <f>Table_03[[#This Row],[Depth h (in)]]-Table_03[[#This Row],[Flange Thickness tf (in)]]</f>
        <v>3.819</v>
      </c>
      <c r="X50" s="203">
        <f>(Table_03[[#This Row],[Static Parameters Moment of Inertia Iy (in4)]]*Table_03[[#This Row],[ho]]^2)/4</f>
        <v>2.0491589205</v>
      </c>
      <c r="Y50" s="203">
        <f>SQRT((SQRT(Table_03[[#This Row],[Static Parameters Moment of Inertia Iy (in4)]]*Table_03[[#This Row],[Cw*]])/Table_03[[#This Row],[Static Parameters Elastic Section Modulus Sx (in3)2]]))</f>
        <v>0.93788172556433846</v>
      </c>
      <c r="Z50" s="203">
        <f>(2*Table_03[[#This Row],[Width w (in)]]*Table_03[[#This Row],[Flange Thickness tf (in)]]^3/3)+((Table_03[[#This Row],[Depth h (in)]]-Table_03[[#This Row],[Flange Thickness tf (in)]]*2)*Table_03[[#This Row],[Web Thickness tw (in)]]^3)/3</f>
        <v>4.1837071493333322E-3</v>
      </c>
      <c r="AA50" s="203">
        <f>Table_03[[#This Row],[Width w (in)]]*0.5/Table_03[[#This Row],[Flange Thickness tf (in)]]</f>
        <v>8.3432203389830519</v>
      </c>
      <c r="AB50" s="203">
        <f>0.38*SQRT($B$4/Table_03[[#This Row],[Strength (ksi)]])</f>
        <v>9.1516118798821449</v>
      </c>
      <c r="AC50" s="203">
        <f>1*SQRT($B$4/Table_03[[#This Row],[Strength (ksi)]])</f>
        <v>24.083189157584592</v>
      </c>
      <c r="AD50" s="203">
        <f>(PI()^2*$B$4/(12*$B$5/Table_03[[#This Row],[rts]])^2)*SQRT(1+0.078*(Table_03[[#This Row],[J*]]/(Table_03[[#This Row],[Static Parameters Elastic Section Modulus Sx (in3)2]]*Table_03[[#This Row],[ho]])*$B$4/(12*$B$5/Table_03[[#This Row],[rts]])^2))</f>
        <v>34.444090893230054</v>
      </c>
      <c r="AE50" s="203">
        <f>0.69*$B$4/Table_03[[#This Row],[b/t]]^2</f>
        <v>287.46148336287098</v>
      </c>
      <c r="AF50" s="207">
        <f>Table_03[[#This Row],[Strength (ksi)]]*Table_03[[#This Row],[Static Parameters Plastic Section Modulus Zx (in3)]]</f>
        <v>72.5</v>
      </c>
      <c r="AG50" s="203">
        <f>Table_03[[#This Row],[Mp (k-in)]]-(Table_03[[#This Row],[Mp (k-in)]]-0.7*Table_03[[#This Row],[Strength (ksi)]]*Table_03[[#This Row],[Static Parameters Elastic Section Modulus Sx (in3)2]])*((Table_03[[#This Row],[b/t]]-Table_03[[#This Row],[λpf]])/(Table_03[[#This Row],[λrf]]-Table_03[[#This Row],[λpf]]))</f>
        <v>74.113363911310771</v>
      </c>
      <c r="AH50" s="208">
        <f>0.9*$B$4*Table_03[[#This Row],[kc]]*Table_03[[#This Row],[Static Parameters Elastic Section Modulus Sx (in3)2]]/Table_03[[#This Row],[b/t]]^2</f>
        <v>316.77521858268176</v>
      </c>
      <c r="AI50" s="209" t="str">
        <f>IF(Table_03[[#This Row],[b/t]]&lt;Table_03[[#This Row],[λpf]],"Compact",IF(AND(Table_03[[#This Row],[b/t]]&gt;Table_03[[#This Row],[λpf]],Table_03[[#This Row],[λrf]]&gt;Table_03[[#This Row],[b/t]]),"Non-Compact","Slender"))</f>
        <v>Compact</v>
      </c>
      <c r="AJ50" s="210">
        <f>IF(Table_03[[#This Row],[Controlling LBx]]="Compact",Table_03[[#This Row],[Mp (k-in)]],IF(Table_03[[#This Row],[Controlling LBx]]="Non-Compact",Table_03[[#This Row],[Mnlb,Non-Compact (k-in)]],IF(Table_03[[#This Row],[Controlling LBx]]="Slender",Table_03[[#This Row],[Mnlb,slender (k-in)]],"ERROR")))</f>
        <v>72.5</v>
      </c>
      <c r="AK50" s="207">
        <f>Table_03[[#This Row],[Mp (k-in)]]-(Table_03[[#This Row],[Mp (k-in)]]-0.7*Table_03[[#This Row],[Strength (ksi)]]*Table_03[[#This Row],[Static Parameters Elastic Section Modulus Sx (in3)2]])*(($B$5-Table_03[[#This Row],[Lp (ft)]])/(Table_03[[#This Row],[Lr]]-Table_03[[#This Row],[Lp (ft)]]))</f>
        <v>48.210222351855663</v>
      </c>
      <c r="AL50" s="211">
        <f>Table_03[[#This Row],[Fcrx]]*Table_03[[#This Row],[Static Parameters Elastic Section Modulus Sx (in3)2]]</f>
        <v>42.021790889740664</v>
      </c>
      <c r="AM50" s="212" t="str">
        <f>IF($B$5&lt;Table_03[[#This Row],[Lp (ft)]],"Yielding Controls",IF(AND($B$5&gt;Table_03[[#This Row],[Lp (ft)]],Table_03[[#This Row],[Lr]]&gt;$B$5),"Mltb,p Controls","Mltb,r Controls"))</f>
        <v>Mltb,p Controls</v>
      </c>
      <c r="AN50" s="213">
        <f>IF(Table_03[[#This Row],[Controlling LTB]]="Yielding Controls",Table_03[[#This Row],[Mp (k-in)]],IF(Table_03[[#This Row],[Controlling LTB]]="Mltb,p Controls",Table_03[[#This Row],[Mnltbp (k-in)]],IF(Table_03[[#This Row],[Controlling LTB]]="Mltb,r Controls",Table_03[[#This Row],[Mnltbr (k-in)]],"ERROR")))</f>
        <v>48.210222351855663</v>
      </c>
      <c r="AO50" s="214">
        <f>MIN(Table_03[[#This Row],[Strength (ksi)]]*Table_03[[#This Row],[Static Parameters Plastic Section Modulus Zy (in3)]],1.6*Table_03[[#This Row],[Strength (ksi)]]*Table_03[[#This Row],[Static Parameters Elastic Section Modulus Sy (in3)3]])</f>
        <v>32.9</v>
      </c>
      <c r="AP50" s="206">
        <f>MIN(Table_03[[#This Row],[Mny (k-in)]],Table_03[[#This Row],[Mny (k-in)]]-(Table_03[[#This Row],[Mny (k-in)]]-0.7*Table_03[[#This Row],[Static Parameters Elastic Section Modulus Sy (in3)3]]*Table_03[[#This Row],[Strength (ksi)]])*((Table_03[[#This Row],[b/t]]-Table_03[[#This Row],[λpf]])/(Table_03[[#This Row],[λrf]]-Table_03[[#This Row],[λpf]])))</f>
        <v>32.9</v>
      </c>
      <c r="AQ50" s="211">
        <f>MIN(Table_03[[#This Row],[Mny (k-in)]],Table_03[[#This Row],[Fcry]]*Table_03[[#This Row],[Static Parameters Elastic Section Modulus Sy (in3)3]])</f>
        <v>32.9</v>
      </c>
      <c r="AR50" s="212" t="str">
        <f>IF(Table_03[[#This Row],[b/t]]&lt;Table_03[[#This Row],[λpf]],"Compact",IF(AND(Table_03[[#This Row],[b/t]]&gt;Table_03[[#This Row],[λpf]],Table_03[[#This Row],[λrf]]&gt;Table_03[[#This Row],[b/t]]),"Non-Compact","Slender"))</f>
        <v>Compact</v>
      </c>
      <c r="AS50" s="213">
        <f>IF(Table_03[[#This Row],[Controlling Lby]]="Compact",Table_03[[#This Row],[Mny (k-in)]],IF(Table_03[[#This Row],[Controlling Lby]]="Non-Compact",Table_03[[#This Row],[Mlby,Non-Compact (k-in)]],IF(Table_03[[#This Row],[Controlling Lby]]="Slender",Table_03[[#This Row],[Mlby,Slender (k-in)]],"ERROR")))</f>
        <v>32.9</v>
      </c>
      <c r="AT50" s="214">
        <f>MIN(Table_03[[#This Row],[LBx]],Table_03[[#This Row],[LTB]],Table_03[[#This Row],[Mp (k-in)]])</f>
        <v>48.210222351855663</v>
      </c>
      <c r="AU50" s="206">
        <f>Table_03[[#This Row],[Mp (k-in)]]</f>
        <v>72.5</v>
      </c>
      <c r="AV50" s="206">
        <f>MIN(Table_03[[#This Row],[LBy]],Table_03[[#This Row],[Mny (k-in)]])</f>
        <v>32.9</v>
      </c>
      <c r="AW50" s="215">
        <f>Table_03[[#This Row],[Mny (k-in)]]</f>
        <v>32.9</v>
      </c>
      <c r="AX50" s="169"/>
      <c r="AY50" s="165">
        <f>IF(4/SQRT((Table_03[[#This Row],[Depth h (in)]]-Table_03[[#This Row],[Flange Thickness tf (in)]]*2)/Table_03[[#This Row],[Web Thickness tw (in)]])&lt;0.35,0.35,IF(4/SQRT(Table_03[[#This Row],[Depth h (in)]]/Table_03[[#This Row],[Web Thickness tw (in)]])&gt;0.76,0.76,4/SQRT(Table_03[[#This Row],[Depth h (in)]]/Table_03[[#This Row],[Web Thickness tw (in)]])))</f>
        <v>0.69249762389911362</v>
      </c>
      <c r="AZ50" s="169"/>
    </row>
    <row r="51" spans="1:52" x14ac:dyDescent="0.3">
      <c r="A51" s="179" t="s">
        <v>149</v>
      </c>
      <c r="B51" s="180">
        <f>B50-$B$1*2</f>
        <v>3.9369999999999998</v>
      </c>
      <c r="C51" s="180">
        <f>C50-$B$1*2</f>
        <v>1.9690000000000001</v>
      </c>
      <c r="D51" s="180">
        <f>D50-$B$1*2</f>
        <v>0.11799999999999999</v>
      </c>
      <c r="E51" s="180">
        <f>E50-$B$1*2</f>
        <v>0.11799999999999999</v>
      </c>
      <c r="F51" s="181"/>
      <c r="G51" s="180"/>
      <c r="H51" s="180"/>
      <c r="I51" s="180"/>
      <c r="J51" s="181"/>
      <c r="K51" s="181"/>
      <c r="L51" s="181"/>
      <c r="M51" s="181"/>
      <c r="N51" s="182">
        <v>50</v>
      </c>
      <c r="O51" s="181" t="e">
        <f>SQRT(Table_03[[#This Row],[Static Parameters Moment of Inertia Ix (in4)]]/Table_03[[#This Row],[Sectional Area (in2)]])</f>
        <v>#DIV/0!</v>
      </c>
      <c r="P51" s="181" t="e">
        <f>SQRT(Table_03[[#This Row],[Static Parameters Moment of Inertia Iy (in4)]]/Table_03[[#This Row],[Sectional Area (in2)]])</f>
        <v>#DIV/0!</v>
      </c>
      <c r="Q51" s="181" t="e">
        <f>($B$6*$B$5*12)/Table_03[[#This Row],[ry (in)2]]</f>
        <v>#DIV/0!</v>
      </c>
      <c r="R51" s="181" t="e">
        <f>(PI()^2*$B$4)/(Table_03[[#This Row],[KL/ry]]^2)</f>
        <v>#DIV/0!</v>
      </c>
      <c r="S51" s="181" t="e">
        <f>IF(Table_03[[#This Row],[Strength (ksi)]]/Table_03[[#This Row],[Fe,y]]&lt;2.25,(0.658^(Table_03[[#This Row],[Strength (ksi)]]/Table_03[[#This Row],[Fe,y]])*Table_03[[#This Row],[Strength (ksi)]]),0.877*Table_03[[#This Row],[Fe,y]])</f>
        <v>#DIV/0!</v>
      </c>
      <c r="T51" s="181" t="e">
        <f>Table_03[[#This Row],[Fcr,y]]*Table_03[[#This Row],[Sectional Area (in2)]]</f>
        <v>#DIV/0!</v>
      </c>
      <c r="U51" s="181" t="e">
        <f>1.76*Table_03[[#This Row],[ry (in)2]]*SQRT($B$4/Table_03[[#This Row],[Strength (ksi)]])/12</f>
        <v>#DIV/0!</v>
      </c>
      <c r="V51"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51" s="181">
        <f>Table_03[[#This Row],[Depth h (in)]]-Table_03[[#This Row],[Flange Thickness tf (in)]]</f>
        <v>3.819</v>
      </c>
      <c r="X51" s="181">
        <f>(Table_03[[#This Row],[Static Parameters Moment of Inertia Iy (in4)]]*Table_03[[#This Row],[ho]]^2)/4</f>
        <v>0</v>
      </c>
      <c r="Y51" s="181" t="e">
        <f>SQRT((SQRT(Table_03[[#This Row],[Static Parameters Moment of Inertia Iy (in4)]]*Table_03[[#This Row],[Cw*]])/Table_03[[#This Row],[Static Parameters Elastic Section Modulus Sx (in3)2]]))</f>
        <v>#DIV/0!</v>
      </c>
      <c r="Z51" s="181">
        <f>(2*Table_03[[#This Row],[Width w (in)]]*Table_03[[#This Row],[Flange Thickness tf (in)]]^3/3)+((Table_03[[#This Row],[Depth h (in)]]-Table_03[[#This Row],[Flange Thickness tf (in)]]*2)*Table_03[[#This Row],[Web Thickness tw (in)]]^3)/3</f>
        <v>4.1837071493333322E-3</v>
      </c>
      <c r="AA51" s="181">
        <f>Table_03[[#This Row],[Width w (in)]]*0.5/Table_03[[#This Row],[Flange Thickness tf (in)]]</f>
        <v>8.3432203389830519</v>
      </c>
      <c r="AB51" s="181">
        <f>0.38*SQRT($B$4/Table_03[[#This Row],[Strength (ksi)]])</f>
        <v>9.1516118798821449</v>
      </c>
      <c r="AC51" s="181">
        <f>1*SQRT($B$4/Table_03[[#This Row],[Strength (ksi)]])</f>
        <v>24.083189157584592</v>
      </c>
      <c r="AD51" s="181" t="e">
        <f>(PI()^2*$B$4/(12*$B$5/Table_03[[#This Row],[rts]])^2)*SQRT(1+0.078*(Table_03[[#This Row],[J*]]/(Table_03[[#This Row],[Static Parameters Elastic Section Modulus Sx (in3)2]]*Table_03[[#This Row],[ho]])*$B$4/(12*$B$5/Table_03[[#This Row],[rts]])^2))</f>
        <v>#DIV/0!</v>
      </c>
      <c r="AE51" s="181">
        <f>0.69*$B$4/Table_03[[#This Row],[b/t]]^2</f>
        <v>287.46148336287098</v>
      </c>
      <c r="AF51" s="183">
        <f>Table_03[[#This Row],[Strength (ksi)]]*Table_03[[#This Row],[Static Parameters Plastic Section Modulus Zx (in3)]]</f>
        <v>0</v>
      </c>
      <c r="AG51" s="181">
        <f>Table_03[[#This Row],[Mp (k-in)]]-(Table_03[[#This Row],[Mp (k-in)]]-0.7*Table_03[[#This Row],[Strength (ksi)]]*Table_03[[#This Row],[Static Parameters Elastic Section Modulus Sx (in3)2]])*((Table_03[[#This Row],[b/t]]-Table_03[[#This Row],[λpf]])/(Table_03[[#This Row],[λrf]]-Table_03[[#This Row],[λpf]]))</f>
        <v>0</v>
      </c>
      <c r="AH51" s="184">
        <f>0.9*$B$4*Table_03[[#This Row],[kc]]*Table_03[[#This Row],[Static Parameters Elastic Section Modulus Sx (in3)2]]/Table_03[[#This Row],[b/t]]^2</f>
        <v>0</v>
      </c>
      <c r="AI51" s="185" t="str">
        <f>IF(Table_03[[#This Row],[b/t]]&lt;Table_03[[#This Row],[λpf]],"Compact",IF(AND(Table_03[[#This Row],[b/t]]&gt;Table_03[[#This Row],[λpf]],Table_03[[#This Row],[λrf]]&gt;Table_03[[#This Row],[b/t]]),"Non-Compact","Slender"))</f>
        <v>Compact</v>
      </c>
      <c r="AJ51" s="186">
        <f>IF(Table_03[[#This Row],[Controlling LBx]]="Compact",Table_03[[#This Row],[Mp (k-in)]],IF(Table_03[[#This Row],[Controlling LBx]]="Non-Compact",Table_03[[#This Row],[Mnlb,Non-Compact (k-in)]],IF(Table_03[[#This Row],[Controlling LBx]]="Slender",Table_03[[#This Row],[Mnlb,slender (k-in)]],"ERROR")))</f>
        <v>0</v>
      </c>
      <c r="AK51" s="183" t="e">
        <f>Table_03[[#This Row],[Mp (k-in)]]-(Table_03[[#This Row],[Mp (k-in)]]-0.7*Table_03[[#This Row],[Strength (ksi)]]*Table_03[[#This Row],[Static Parameters Elastic Section Modulus Sx (in3)2]])*(($B$5-Table_03[[#This Row],[Lp (ft)]])/(Table_03[[#This Row],[Lr]]-Table_03[[#This Row],[Lp (ft)]]))</f>
        <v>#DIV/0!</v>
      </c>
      <c r="AL51" s="184" t="e">
        <f>Table_03[[#This Row],[Fcrx]]*Table_03[[#This Row],[Static Parameters Elastic Section Modulus Sx (in3)2]]</f>
        <v>#DIV/0!</v>
      </c>
      <c r="AM51" s="185" t="e">
        <f>IF($B$5&lt;Table_03[[#This Row],[Lp (ft)]],"Yielding Controls",IF(AND($B$5&gt;Table_03[[#This Row],[Lp (ft)]],Table_03[[#This Row],[Lr]]&gt;$B$5),"Mltb,p Controls","Mltb,r Controls"))</f>
        <v>#DIV/0!</v>
      </c>
      <c r="AN51" s="186" t="e">
        <f>IF(Table_03[[#This Row],[Controlling LTB]]="Yielding Controls",Table_03[[#This Row],[Mp (k-in)]],IF(Table_03[[#This Row],[Controlling LTB]]="Mltb,p Controls",Table_03[[#This Row],[Mnltbp (k-in)]],IF(Table_03[[#This Row],[Controlling LTB]]="Mltb,r Controls",Table_03[[#This Row],[Mnltbr (k-in)]],"ERROR")))</f>
        <v>#DIV/0!</v>
      </c>
      <c r="AO51" s="183">
        <f>MIN(Table_03[[#This Row],[Strength (ksi)]]*Table_03[[#This Row],[Static Parameters Plastic Section Modulus Zy (in3)]],1.6*Table_03[[#This Row],[Strength (ksi)]]*Table_03[[#This Row],[Static Parameters Elastic Section Modulus Sy (in3)3]])</f>
        <v>0</v>
      </c>
      <c r="AP51" s="181">
        <f>MIN(Table_03[[#This Row],[Mny (k-in)]],Table_03[[#This Row],[Mny (k-in)]]-(Table_03[[#This Row],[Mny (k-in)]]-0.7*Table_03[[#This Row],[Static Parameters Elastic Section Modulus Sy (in3)3]]*Table_03[[#This Row],[Strength (ksi)]])*((Table_03[[#This Row],[b/t]]-Table_03[[#This Row],[λpf]])/(Table_03[[#This Row],[λrf]]-Table_03[[#This Row],[λpf]])))</f>
        <v>0</v>
      </c>
      <c r="AQ51" s="184">
        <f>MIN(Table_03[[#This Row],[Mny (k-in)]],Table_03[[#This Row],[Fcry]]*Table_03[[#This Row],[Static Parameters Elastic Section Modulus Sy (in3)3]])</f>
        <v>0</v>
      </c>
      <c r="AR51" s="185" t="str">
        <f>IF(Table_03[[#This Row],[b/t]]&lt;Table_03[[#This Row],[λpf]],"Compact",IF(AND(Table_03[[#This Row],[b/t]]&gt;Table_03[[#This Row],[λpf]],Table_03[[#This Row],[λrf]]&gt;Table_03[[#This Row],[b/t]]),"Non-Compact","Slender"))</f>
        <v>Compact</v>
      </c>
      <c r="AS51" s="186">
        <f>IF(Table_03[[#This Row],[Controlling Lby]]="Compact",Table_03[[#This Row],[Mny (k-in)]],IF(Table_03[[#This Row],[Controlling Lby]]="Non-Compact",Table_03[[#This Row],[Mlby,Non-Compact (k-in)]],IF(Table_03[[#This Row],[Controlling Lby]]="Slender",Table_03[[#This Row],[Mlby,Slender (k-in)]],"ERROR")))</f>
        <v>0</v>
      </c>
      <c r="AT51" s="183" t="e">
        <f>MIN(Table_03[[#This Row],[LBx]],Table_03[[#This Row],[LTB]],Table_03[[#This Row],[Mp (k-in)]])</f>
        <v>#DIV/0!</v>
      </c>
      <c r="AU51" s="181">
        <f>Table_03[[#This Row],[Mp (k-in)]]</f>
        <v>0</v>
      </c>
      <c r="AV51" s="181">
        <f>MIN(Table_03[[#This Row],[LBy]],Table_03[[#This Row],[Mny (k-in)]])</f>
        <v>0</v>
      </c>
      <c r="AW51" s="187">
        <f>Table_03[[#This Row],[Mny (k-in)]]</f>
        <v>0</v>
      </c>
      <c r="AX51" s="169"/>
      <c r="AY51" s="165">
        <f>IF(4/SQRT((Table_03[[#This Row],[Depth h (in)]]-Table_03[[#This Row],[Flange Thickness tf (in)]]*2)/Table_03[[#This Row],[Web Thickness tw (in)]])&lt;0.35,0.35,IF(4/SQRT(Table_03[[#This Row],[Depth h (in)]]/Table_03[[#This Row],[Web Thickness tw (in)]])&gt;0.76,0.76,4/SQRT(Table_03[[#This Row],[Depth h (in)]]/Table_03[[#This Row],[Web Thickness tw (in)]])))</f>
        <v>0.69249762389911362</v>
      </c>
      <c r="AZ51" s="169"/>
    </row>
    <row r="52" spans="1:52" x14ac:dyDescent="0.3">
      <c r="A52" s="188" t="s">
        <v>150</v>
      </c>
      <c r="B52" s="189">
        <f>B50-$B$2*2</f>
        <v>3.9369999999999998</v>
      </c>
      <c r="C52" s="189">
        <f>C50-$B$2*2</f>
        <v>1.9690000000000001</v>
      </c>
      <c r="D52" s="189">
        <f>D50-$B$2*2</f>
        <v>0.11799999999999999</v>
      </c>
      <c r="E52" s="189">
        <f>E50-$B$2*2</f>
        <v>0.11799999999999999</v>
      </c>
      <c r="F52" s="190"/>
      <c r="G52" s="189"/>
      <c r="H52" s="190"/>
      <c r="I52" s="190"/>
      <c r="J52" s="190"/>
      <c r="K52" s="190"/>
      <c r="L52" s="190"/>
      <c r="M52" s="190"/>
      <c r="N52" s="191">
        <v>50</v>
      </c>
      <c r="O52" s="169" t="e">
        <f>SQRT(Table_03[[#This Row],[Static Parameters Moment of Inertia Ix (in4)]]/Table_03[[#This Row],[Sectional Area (in2)]])</f>
        <v>#DIV/0!</v>
      </c>
      <c r="P52" s="190" t="e">
        <f>SQRT(Table_03[[#This Row],[Static Parameters Moment of Inertia Iy (in4)]]/Table_03[[#This Row],[Sectional Area (in2)]])</f>
        <v>#DIV/0!</v>
      </c>
      <c r="Q52" s="190" t="e">
        <f>($B$6*$B$5*12)/Table_03[[#This Row],[ry (in)2]]</f>
        <v>#DIV/0!</v>
      </c>
      <c r="R52" s="190" t="e">
        <f>(PI()^2*$B$4)/(Table_03[[#This Row],[KL/ry]]^2)</f>
        <v>#DIV/0!</v>
      </c>
      <c r="S52" s="190" t="e">
        <f>IF(Table_03[[#This Row],[Strength (ksi)]]/Table_03[[#This Row],[Fe,y]]&lt;2.25,(0.658^(Table_03[[#This Row],[Strength (ksi)]]/Table_03[[#This Row],[Fe,y]])*Table_03[[#This Row],[Strength (ksi)]]),0.877*Table_03[[#This Row],[Fe,y]])</f>
        <v>#DIV/0!</v>
      </c>
      <c r="T52" s="190" t="e">
        <f>Table_03[[#This Row],[Fcr,y]]*Table_03[[#This Row],[Sectional Area (in2)]]</f>
        <v>#DIV/0!</v>
      </c>
      <c r="U52" s="190" t="e">
        <f>1.76*Table_03[[#This Row],[ry (in)2]]*SQRT($B$4/Table_03[[#This Row],[Strength (ksi)]])/12</f>
        <v>#DIV/0!</v>
      </c>
      <c r="V52" s="190"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52" s="190">
        <f>Table_03[[#This Row],[Depth h (in)]]-Table_03[[#This Row],[Flange Thickness tf (in)]]</f>
        <v>3.819</v>
      </c>
      <c r="X52" s="190">
        <f>(Table_03[[#This Row],[Static Parameters Moment of Inertia Iy (in4)]]*Table_03[[#This Row],[ho]]^2)/4</f>
        <v>0</v>
      </c>
      <c r="Y52" s="190" t="e">
        <f>SQRT((SQRT(Table_03[[#This Row],[Static Parameters Moment of Inertia Iy (in4)]]*Table_03[[#This Row],[Cw*]])/Table_03[[#This Row],[Static Parameters Elastic Section Modulus Sx (in3)2]]))</f>
        <v>#DIV/0!</v>
      </c>
      <c r="Z52" s="190">
        <f>(2*Table_03[[#This Row],[Width w (in)]]*Table_03[[#This Row],[Flange Thickness tf (in)]]^3/3)+((Table_03[[#This Row],[Depth h (in)]]-Table_03[[#This Row],[Flange Thickness tf (in)]]*2)*Table_03[[#This Row],[Web Thickness tw (in)]]^3)/3</f>
        <v>4.1837071493333322E-3</v>
      </c>
      <c r="AA52" s="190">
        <f>Table_03[[#This Row],[Width w (in)]]*0.5/Table_03[[#This Row],[Flange Thickness tf (in)]]</f>
        <v>8.3432203389830519</v>
      </c>
      <c r="AB52" s="190">
        <f>0.38*SQRT($B$4/Table_03[[#This Row],[Strength (ksi)]])</f>
        <v>9.1516118798821449</v>
      </c>
      <c r="AC52" s="190">
        <f>1*SQRT($B$4/Table_03[[#This Row],[Strength (ksi)]])</f>
        <v>24.083189157584592</v>
      </c>
      <c r="AD52" s="190" t="e">
        <f>(PI()^2*$B$4/(12*$B$5/Table_03[[#This Row],[rts]])^2)*SQRT(1+0.078*(Table_03[[#This Row],[J*]]/(Table_03[[#This Row],[Static Parameters Elastic Section Modulus Sx (in3)2]]*Table_03[[#This Row],[ho]])*$B$4/(12*$B$5/Table_03[[#This Row],[rts]])^2))</f>
        <v>#DIV/0!</v>
      </c>
      <c r="AE52" s="190">
        <f>0.69*$B$4/Table_03[[#This Row],[b/t]]^2</f>
        <v>287.46148336287098</v>
      </c>
      <c r="AF52" s="192">
        <f>Table_03[[#This Row],[Strength (ksi)]]*Table_03[[#This Row],[Static Parameters Plastic Section Modulus Zx (in3)]]</f>
        <v>0</v>
      </c>
      <c r="AG52" s="190">
        <f>Table_03[[#This Row],[Mp (k-in)]]-(Table_03[[#This Row],[Mp (k-in)]]-0.7*Table_03[[#This Row],[Strength (ksi)]]*Table_03[[#This Row],[Static Parameters Elastic Section Modulus Sx (in3)2]])*((Table_03[[#This Row],[b/t]]-Table_03[[#This Row],[λpf]])/(Table_03[[#This Row],[λrf]]-Table_03[[#This Row],[λpf]]))</f>
        <v>0</v>
      </c>
      <c r="AH52" s="193">
        <f>0.9*$B$4*Table_03[[#This Row],[kc]]*Table_03[[#This Row],[Static Parameters Elastic Section Modulus Sx (in3)2]]/Table_03[[#This Row],[b/t]]^2</f>
        <v>0</v>
      </c>
      <c r="AI52" s="194" t="str">
        <f>IF(Table_03[[#This Row],[b/t]]&lt;Table_03[[#This Row],[λpf]],"Compact",IF(AND(Table_03[[#This Row],[b/t]]&gt;Table_03[[#This Row],[λpf]],Table_03[[#This Row],[λrf]]&gt;Table_03[[#This Row],[b/t]]),"Non-Compact","Slender"))</f>
        <v>Compact</v>
      </c>
      <c r="AJ52" s="195">
        <f>IF(Table_03[[#This Row],[Controlling LBx]]="Compact",Table_03[[#This Row],[Mp (k-in)]],IF(Table_03[[#This Row],[Controlling LBx]]="Non-Compact",Table_03[[#This Row],[Mnlb,Non-Compact (k-in)]],IF(Table_03[[#This Row],[Controlling LBx]]="Slender",Table_03[[#This Row],[Mnlb,slender (k-in)]],"ERROR")))</f>
        <v>0</v>
      </c>
      <c r="AK52" s="192" t="e">
        <f>Table_03[[#This Row],[Mp (k-in)]]-(Table_03[[#This Row],[Mp (k-in)]]-0.7*Table_03[[#This Row],[Strength (ksi)]]*Table_03[[#This Row],[Static Parameters Elastic Section Modulus Sx (in3)2]])*(($B$5-Table_03[[#This Row],[Lp (ft)]])/(Table_03[[#This Row],[Lr]]-Table_03[[#This Row],[Lp (ft)]]))</f>
        <v>#DIV/0!</v>
      </c>
      <c r="AL52" s="196" t="e">
        <f>Table_03[[#This Row],[Fcrx]]*Table_03[[#This Row],[Static Parameters Elastic Section Modulus Sx (in3)2]]</f>
        <v>#DIV/0!</v>
      </c>
      <c r="AM52" s="197" t="e">
        <f>IF($B$5&lt;Table_03[[#This Row],[Lp (ft)]],"Yielding Controls",IF(AND($B$5&gt;Table_03[[#This Row],[Lp (ft)]],Table_03[[#This Row],[Lr]]&gt;$B$5),"Mltb,p Controls","Mltb,r Controls"))</f>
        <v>#DIV/0!</v>
      </c>
      <c r="AN52" s="198" t="e">
        <f>IF(Table_03[[#This Row],[Controlling LTB]]="Yielding Controls",Table_03[[#This Row],[Mp (k-in)]],IF(Table_03[[#This Row],[Controlling LTB]]="Mltb,p Controls",Table_03[[#This Row],[Mnltbp (k-in)]],IF(Table_03[[#This Row],[Controlling LTB]]="Mltb,r Controls",Table_03[[#This Row],[Mnltbr (k-in)]],"ERROR")))</f>
        <v>#DIV/0!</v>
      </c>
      <c r="AO52" s="199">
        <f>MIN(Table_03[[#This Row],[Strength (ksi)]]*Table_03[[#This Row],[Static Parameters Plastic Section Modulus Zy (in3)]],1.6*Table_03[[#This Row],[Strength (ksi)]]*Table_03[[#This Row],[Static Parameters Elastic Section Modulus Sy (in3)3]])</f>
        <v>0</v>
      </c>
      <c r="AP52" s="169">
        <f>MIN(Table_03[[#This Row],[Mny (k-in)]],Table_03[[#This Row],[Mny (k-in)]]-(Table_03[[#This Row],[Mny (k-in)]]-0.7*Table_03[[#This Row],[Static Parameters Elastic Section Modulus Sy (in3)3]]*Table_03[[#This Row],[Strength (ksi)]])*((Table_03[[#This Row],[b/t]]-Table_03[[#This Row],[λpf]])/(Table_03[[#This Row],[λrf]]-Table_03[[#This Row],[λpf]])))</f>
        <v>0</v>
      </c>
      <c r="AQ52" s="196">
        <f>MIN(Table_03[[#This Row],[Mny (k-in)]],Table_03[[#This Row],[Fcry]]*Table_03[[#This Row],[Static Parameters Elastic Section Modulus Sy (in3)3]])</f>
        <v>0</v>
      </c>
      <c r="AR52" s="197" t="str">
        <f>IF(Table_03[[#This Row],[b/t]]&lt;Table_03[[#This Row],[λpf]],"Compact",IF(AND(Table_03[[#This Row],[b/t]]&gt;Table_03[[#This Row],[λpf]],Table_03[[#This Row],[λrf]]&gt;Table_03[[#This Row],[b/t]]),"Non-Compact","Slender"))</f>
        <v>Compact</v>
      </c>
      <c r="AS52" s="198">
        <f>IF(Table_03[[#This Row],[Controlling Lby]]="Compact",Table_03[[#This Row],[Mny (k-in)]],IF(Table_03[[#This Row],[Controlling Lby]]="Non-Compact",Table_03[[#This Row],[Mlby,Non-Compact (k-in)]],IF(Table_03[[#This Row],[Controlling Lby]]="Slender",Table_03[[#This Row],[Mlby,Slender (k-in)]],"ERROR")))</f>
        <v>0</v>
      </c>
      <c r="AT52" s="199" t="e">
        <f>MIN(Table_03[[#This Row],[LBx]],Table_03[[#This Row],[LTB]],Table_03[[#This Row],[Mp (k-in)]])</f>
        <v>#DIV/0!</v>
      </c>
      <c r="AU52" s="169">
        <f>Table_03[[#This Row],[Mp (k-in)]]</f>
        <v>0</v>
      </c>
      <c r="AV52" s="169">
        <f>MIN(Table_03[[#This Row],[LBy]],Table_03[[#This Row],[Mny (k-in)]])</f>
        <v>0</v>
      </c>
      <c r="AW52" s="200">
        <f>Table_03[[#This Row],[Mny (k-in)]]</f>
        <v>0</v>
      </c>
      <c r="AX52" s="169"/>
      <c r="AY52" s="165">
        <f>IF(4/SQRT((Table_03[[#This Row],[Depth h (in)]]-Table_03[[#This Row],[Flange Thickness tf (in)]]*2)/Table_03[[#This Row],[Web Thickness tw (in)]])&lt;0.35,0.35,IF(4/SQRT(Table_03[[#This Row],[Depth h (in)]]/Table_03[[#This Row],[Web Thickness tw (in)]])&gt;0.76,0.76,4/SQRT(Table_03[[#This Row],[Depth h (in)]]/Table_03[[#This Row],[Web Thickness tw (in)]])))</f>
        <v>0.69249762389911362</v>
      </c>
      <c r="AZ52" s="169"/>
    </row>
    <row r="53" spans="1:52" ht="14.4" thickBot="1" x14ac:dyDescent="0.35">
      <c r="A53" s="201" t="s">
        <v>151</v>
      </c>
      <c r="B53" s="202">
        <v>4.7240000000000002</v>
      </c>
      <c r="C53" s="202">
        <v>1.9690000000000001</v>
      </c>
      <c r="D53" s="202">
        <v>0.11799999999999999</v>
      </c>
      <c r="E53" s="202">
        <v>0.11799999999999999</v>
      </c>
      <c r="F53" s="203">
        <v>1.1200000000000001</v>
      </c>
      <c r="G53" s="204"/>
      <c r="H53" s="203">
        <v>3.74</v>
      </c>
      <c r="I53" s="203">
        <v>0.6</v>
      </c>
      <c r="J53" s="203">
        <v>1.87</v>
      </c>
      <c r="K53" s="203">
        <v>0.68</v>
      </c>
      <c r="L53" s="203">
        <v>1.57</v>
      </c>
      <c r="M53" s="203">
        <v>0.46100000000000002</v>
      </c>
      <c r="N53" s="205">
        <v>50</v>
      </c>
      <c r="O53" s="206">
        <f>SQRT(Table_03[[#This Row],[Static Parameters Moment of Inertia Ix (in4)]]/Table_03[[#This Row],[Sectional Area (in2)]])</f>
        <v>1.8273712579237187</v>
      </c>
      <c r="P53" s="203">
        <f>SQRT(Table_03[[#This Row],[Static Parameters Moment of Inertia Iy (in4)]]/Table_03[[#This Row],[Sectional Area (in2)]])</f>
        <v>0.7319250547113999</v>
      </c>
      <c r="Q53" s="203">
        <f>($B$6*$B$5*12)/Table_03[[#This Row],[ry (in)2]]</f>
        <v>245.31200133707279</v>
      </c>
      <c r="R53" s="203">
        <f>(PI()^2*$B$4)/(Table_03[[#This Row],[KL/ry]]^2)</f>
        <v>4.7562004763867503</v>
      </c>
      <c r="S53" s="203">
        <f>IF(Table_03[[#This Row],[Strength (ksi)]]/Table_03[[#This Row],[Fe,y]]&lt;2.25,(0.658^(Table_03[[#This Row],[Strength (ksi)]]/Table_03[[#This Row],[Fe,y]])*Table_03[[#This Row],[Strength (ksi)]]),0.877*Table_03[[#This Row],[Fe,y]])</f>
        <v>4.1711878177911803</v>
      </c>
      <c r="T53" s="203">
        <f>Table_03[[#This Row],[Fcr,y]]*Table_03[[#This Row],[Sectional Area (in2)]]</f>
        <v>4.6717303559261225</v>
      </c>
      <c r="U53" s="203">
        <f>1.76*Table_03[[#This Row],[ry (in)2]]*SQRT($B$4/Table_03[[#This Row],[Strength (ksi)]])/12</f>
        <v>2.585306466129214</v>
      </c>
      <c r="V53"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7.8277937299889215</v>
      </c>
      <c r="W53" s="203">
        <f>Table_03[[#This Row],[Depth h (in)]]-Table_03[[#This Row],[Flange Thickness tf (in)]]</f>
        <v>4.6059999999999999</v>
      </c>
      <c r="X53" s="203">
        <f>(Table_03[[#This Row],[Static Parameters Moment of Inertia Iy (in4)]]*Table_03[[#This Row],[ho]]^2)/4</f>
        <v>3.1822853999999996</v>
      </c>
      <c r="Y53" s="203">
        <f>SQRT((SQRT(Table_03[[#This Row],[Static Parameters Moment of Inertia Iy (in4)]]*Table_03[[#This Row],[Cw*]])/Table_03[[#This Row],[Static Parameters Elastic Section Modulus Sx (in3)2]]))</f>
        <v>0.93815104782493941</v>
      </c>
      <c r="Z53" s="203">
        <f>(2*Table_03[[#This Row],[Width w (in)]]*Table_03[[#This Row],[Flange Thickness tf (in)]]^3/3)+((Table_03[[#This Row],[Depth h (in)]]-Table_03[[#This Row],[Flange Thickness tf (in)]]*2)*Table_03[[#This Row],[Web Thickness tw (in)]]^3)/3</f>
        <v>4.6147292106666661E-3</v>
      </c>
      <c r="AA53" s="203">
        <f>Table_03[[#This Row],[Width w (in)]]*0.5/Table_03[[#This Row],[Flange Thickness tf (in)]]</f>
        <v>8.3432203389830519</v>
      </c>
      <c r="AB53" s="203">
        <f>0.38*SQRT($B$4/Table_03[[#This Row],[Strength (ksi)]])</f>
        <v>9.1516118798821449</v>
      </c>
      <c r="AC53" s="203">
        <f>1*SQRT($B$4/Table_03[[#This Row],[Strength (ksi)]])</f>
        <v>24.083189157584592</v>
      </c>
      <c r="AD53" s="203">
        <f>(PI()^2*$B$4/(12*$B$5/Table_03[[#This Row],[rts]])^2)*SQRT(1+0.078*(Table_03[[#This Row],[J*]]/(Table_03[[#This Row],[Static Parameters Elastic Section Modulus Sx (in3)2]]*Table_03[[#This Row],[ho]])*$B$4/(12*$B$5/Table_03[[#This Row],[rts]])^2))</f>
        <v>34.462659160140241</v>
      </c>
      <c r="AE53" s="203">
        <f>0.69*$B$4/Table_03[[#This Row],[b/t]]^2</f>
        <v>287.46148336287098</v>
      </c>
      <c r="AF53" s="207">
        <f>Table_03[[#This Row],[Strength (ksi)]]*Table_03[[#This Row],[Static Parameters Plastic Section Modulus Zx (in3)]]</f>
        <v>93.5</v>
      </c>
      <c r="AG53" s="203">
        <f>Table_03[[#This Row],[Mp (k-in)]]-(Table_03[[#This Row],[Mp (k-in)]]-0.7*Table_03[[#This Row],[Strength (ksi)]]*Table_03[[#This Row],[Static Parameters Elastic Section Modulus Sx (in3)2]])*((Table_03[[#This Row],[b/t]]-Table_03[[#This Row],[λpf]])/(Table_03[[#This Row],[λrf]]-Table_03[[#This Row],[λpf]]))</f>
        <v>95.587086536276175</v>
      </c>
      <c r="AH53" s="208">
        <f>0.9*$B$4*Table_03[[#This Row],[kc]]*Table_03[[#This Row],[Static Parameters Elastic Section Modulus Sx (in3)2]]/Table_03[[#This Row],[b/t]]^2</f>
        <v>372.15065175882927</v>
      </c>
      <c r="AI53" s="209" t="str">
        <f>IF(Table_03[[#This Row],[b/t]]&lt;Table_03[[#This Row],[λpf]],"Compact",IF(AND(Table_03[[#This Row],[b/t]]&gt;Table_03[[#This Row],[λpf]],Table_03[[#This Row],[λrf]]&gt;Table_03[[#This Row],[b/t]]),"Non-Compact","Slender"))</f>
        <v>Compact</v>
      </c>
      <c r="AJ53" s="210">
        <f>IF(Table_03[[#This Row],[Controlling LBx]]="Compact",Table_03[[#This Row],[Mp (k-in)]],IF(Table_03[[#This Row],[Controlling LBx]]="Non-Compact",Table_03[[#This Row],[Mnlb,Non-Compact (k-in)]],IF(Table_03[[#This Row],[Controlling LBx]]="Slender",Table_03[[#This Row],[Mnlb,slender (k-in)]],"ERROR")))</f>
        <v>93.5</v>
      </c>
      <c r="AK53" s="207">
        <f>Table_03[[#This Row],[Mp (k-in)]]-(Table_03[[#This Row],[Mp (k-in)]]-0.7*Table_03[[#This Row],[Strength (ksi)]]*Table_03[[#This Row],[Static Parameters Elastic Section Modulus Sx (in3)2]])*(($B$5-Table_03[[#This Row],[Lp (ft)]])/(Table_03[[#This Row],[Lr]]-Table_03[[#This Row],[Lp (ft)]]))</f>
        <v>60.117909224661872</v>
      </c>
      <c r="AL53" s="211">
        <f>Table_03[[#This Row],[Fcrx]]*Table_03[[#This Row],[Static Parameters Elastic Section Modulus Sx (in3)2]]</f>
        <v>54.10637488142018</v>
      </c>
      <c r="AM53" s="212" t="str">
        <f>IF($B$5&lt;Table_03[[#This Row],[Lp (ft)]],"Yielding Controls",IF(AND($B$5&gt;Table_03[[#This Row],[Lp (ft)]],Table_03[[#This Row],[Lr]]&gt;$B$5),"Mltb,p Controls","Mltb,r Controls"))</f>
        <v>Mltb,p Controls</v>
      </c>
      <c r="AN53" s="213">
        <f>IF(Table_03[[#This Row],[Controlling LTB]]="Yielding Controls",Table_03[[#This Row],[Mp (k-in)]],IF(Table_03[[#This Row],[Controlling LTB]]="Mltb,p Controls",Table_03[[#This Row],[Mnltbp (k-in)]],IF(Table_03[[#This Row],[Controlling LTB]]="Mltb,r Controls",Table_03[[#This Row],[Mnltbr (k-in)]],"ERROR")))</f>
        <v>60.117909224661872</v>
      </c>
      <c r="AO53" s="214">
        <f>MIN(Table_03[[#This Row],[Strength (ksi)]]*Table_03[[#This Row],[Static Parameters Plastic Section Modulus Zy (in3)]],1.6*Table_03[[#This Row],[Strength (ksi)]]*Table_03[[#This Row],[Static Parameters Elastic Section Modulus Sy (in3)3]])</f>
        <v>34</v>
      </c>
      <c r="AP53" s="206">
        <f>MIN(Table_03[[#This Row],[Mny (k-in)]],Table_03[[#This Row],[Mny (k-in)]]-(Table_03[[#This Row],[Mny (k-in)]]-0.7*Table_03[[#This Row],[Static Parameters Elastic Section Modulus Sy (in3)3]]*Table_03[[#This Row],[Strength (ksi)]])*((Table_03[[#This Row],[b/t]]-Table_03[[#This Row],[λpf]])/(Table_03[[#This Row],[λrf]]-Table_03[[#This Row],[λpf]])))</f>
        <v>34</v>
      </c>
      <c r="AQ53" s="211">
        <f>MIN(Table_03[[#This Row],[Mny (k-in)]],Table_03[[#This Row],[Fcry]]*Table_03[[#This Row],[Static Parameters Elastic Section Modulus Sy (in3)3]])</f>
        <v>34</v>
      </c>
      <c r="AR53" s="212" t="str">
        <f>IF(Table_03[[#This Row],[b/t]]&lt;Table_03[[#This Row],[λpf]],"Compact",IF(AND(Table_03[[#This Row],[b/t]]&gt;Table_03[[#This Row],[λpf]],Table_03[[#This Row],[λrf]]&gt;Table_03[[#This Row],[b/t]]),"Non-Compact","Slender"))</f>
        <v>Compact</v>
      </c>
      <c r="AS53" s="213">
        <f>IF(Table_03[[#This Row],[Controlling Lby]]="Compact",Table_03[[#This Row],[Mny (k-in)]],IF(Table_03[[#This Row],[Controlling Lby]]="Non-Compact",Table_03[[#This Row],[Mlby,Non-Compact (k-in)]],IF(Table_03[[#This Row],[Controlling Lby]]="Slender",Table_03[[#This Row],[Mlby,Slender (k-in)]],"ERROR")))</f>
        <v>34</v>
      </c>
      <c r="AT53" s="214">
        <f>MIN(Table_03[[#This Row],[LBx]],Table_03[[#This Row],[LTB]],Table_03[[#This Row],[Mp (k-in)]])</f>
        <v>60.117909224661872</v>
      </c>
      <c r="AU53" s="206">
        <f>Table_03[[#This Row],[Mp (k-in)]]</f>
        <v>93.5</v>
      </c>
      <c r="AV53" s="206">
        <f>MIN(Table_03[[#This Row],[LBy]],Table_03[[#This Row],[Mny (k-in)]])</f>
        <v>34</v>
      </c>
      <c r="AW53" s="215">
        <f>Table_03[[#This Row],[Mny (k-in)]]</f>
        <v>34</v>
      </c>
      <c r="AX53" s="169"/>
      <c r="AY53" s="165">
        <f>IF(4/SQRT((Table_03[[#This Row],[Depth h (in)]]-Table_03[[#This Row],[Flange Thickness tf (in)]]*2)/Table_03[[#This Row],[Web Thickness tw (in)]])&lt;0.35,0.35,IF(4/SQRT(Table_03[[#This Row],[Depth h (in)]]/Table_03[[#This Row],[Web Thickness tw (in)]])&gt;0.76,0.76,4/SQRT(Table_03[[#This Row],[Depth h (in)]]/Table_03[[#This Row],[Web Thickness tw (in)]])))</f>
        <v>0.63218771261364948</v>
      </c>
      <c r="AZ53" s="169"/>
    </row>
    <row r="54" spans="1:52" x14ac:dyDescent="0.3">
      <c r="A54" s="179" t="s">
        <v>152</v>
      </c>
      <c r="B54" s="180">
        <f>B53-$B$1*2</f>
        <v>4.7240000000000002</v>
      </c>
      <c r="C54" s="180">
        <f>C53-$B$1*2</f>
        <v>1.9690000000000001</v>
      </c>
      <c r="D54" s="180">
        <f>D53-$B$1*2</f>
        <v>0.11799999999999999</v>
      </c>
      <c r="E54" s="180">
        <f>E53-$B$1*2</f>
        <v>0.11799999999999999</v>
      </c>
      <c r="F54" s="181"/>
      <c r="G54" s="180"/>
      <c r="H54" s="180"/>
      <c r="I54" s="180"/>
      <c r="J54" s="181"/>
      <c r="K54" s="181"/>
      <c r="L54" s="181"/>
      <c r="M54" s="181"/>
      <c r="N54" s="182">
        <v>50</v>
      </c>
      <c r="O54" s="181" t="e">
        <f>SQRT(Table_03[[#This Row],[Static Parameters Moment of Inertia Ix (in4)]]/Table_03[[#This Row],[Sectional Area (in2)]])</f>
        <v>#DIV/0!</v>
      </c>
      <c r="P54" s="181" t="e">
        <f>SQRT(Table_03[[#This Row],[Static Parameters Moment of Inertia Iy (in4)]]/Table_03[[#This Row],[Sectional Area (in2)]])</f>
        <v>#DIV/0!</v>
      </c>
      <c r="Q54" s="181" t="e">
        <f>($B$6*$B$5*12)/Table_03[[#This Row],[ry (in)2]]</f>
        <v>#DIV/0!</v>
      </c>
      <c r="R54" s="181" t="e">
        <f>(PI()^2*$B$4)/(Table_03[[#This Row],[KL/ry]]^2)</f>
        <v>#DIV/0!</v>
      </c>
      <c r="S54" s="181" t="e">
        <f>IF(Table_03[[#This Row],[Strength (ksi)]]/Table_03[[#This Row],[Fe,y]]&lt;2.25,(0.658^(Table_03[[#This Row],[Strength (ksi)]]/Table_03[[#This Row],[Fe,y]])*Table_03[[#This Row],[Strength (ksi)]]),0.877*Table_03[[#This Row],[Fe,y]])</f>
        <v>#DIV/0!</v>
      </c>
      <c r="T54" s="181" t="e">
        <f>Table_03[[#This Row],[Fcr,y]]*Table_03[[#This Row],[Sectional Area (in2)]]</f>
        <v>#DIV/0!</v>
      </c>
      <c r="U54" s="181" t="e">
        <f>1.76*Table_03[[#This Row],[ry (in)2]]*SQRT($B$4/Table_03[[#This Row],[Strength (ksi)]])/12</f>
        <v>#DIV/0!</v>
      </c>
      <c r="V54"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54" s="181">
        <f>Table_03[[#This Row],[Depth h (in)]]-Table_03[[#This Row],[Flange Thickness tf (in)]]</f>
        <v>4.6059999999999999</v>
      </c>
      <c r="X54" s="181">
        <f>(Table_03[[#This Row],[Static Parameters Moment of Inertia Iy (in4)]]*Table_03[[#This Row],[ho]]^2)/4</f>
        <v>0</v>
      </c>
      <c r="Y54" s="181" t="e">
        <f>SQRT((SQRT(Table_03[[#This Row],[Static Parameters Moment of Inertia Iy (in4)]]*Table_03[[#This Row],[Cw*]])/Table_03[[#This Row],[Static Parameters Elastic Section Modulus Sx (in3)2]]))</f>
        <v>#DIV/0!</v>
      </c>
      <c r="Z54" s="181">
        <f>(2*Table_03[[#This Row],[Width w (in)]]*Table_03[[#This Row],[Flange Thickness tf (in)]]^3/3)+((Table_03[[#This Row],[Depth h (in)]]-Table_03[[#This Row],[Flange Thickness tf (in)]]*2)*Table_03[[#This Row],[Web Thickness tw (in)]]^3)/3</f>
        <v>4.6147292106666661E-3</v>
      </c>
      <c r="AA54" s="181">
        <f>Table_03[[#This Row],[Width w (in)]]*0.5/Table_03[[#This Row],[Flange Thickness tf (in)]]</f>
        <v>8.3432203389830519</v>
      </c>
      <c r="AB54" s="181">
        <f>0.38*SQRT($B$4/Table_03[[#This Row],[Strength (ksi)]])</f>
        <v>9.1516118798821449</v>
      </c>
      <c r="AC54" s="181">
        <f>1*SQRT($B$4/Table_03[[#This Row],[Strength (ksi)]])</f>
        <v>24.083189157584592</v>
      </c>
      <c r="AD54" s="181" t="e">
        <f>(PI()^2*$B$4/(12*$B$5/Table_03[[#This Row],[rts]])^2)*SQRT(1+0.078*(Table_03[[#This Row],[J*]]/(Table_03[[#This Row],[Static Parameters Elastic Section Modulus Sx (in3)2]]*Table_03[[#This Row],[ho]])*$B$4/(12*$B$5/Table_03[[#This Row],[rts]])^2))</f>
        <v>#DIV/0!</v>
      </c>
      <c r="AE54" s="181">
        <f>0.69*$B$4/Table_03[[#This Row],[b/t]]^2</f>
        <v>287.46148336287098</v>
      </c>
      <c r="AF54" s="183">
        <f>Table_03[[#This Row],[Strength (ksi)]]*Table_03[[#This Row],[Static Parameters Plastic Section Modulus Zx (in3)]]</f>
        <v>0</v>
      </c>
      <c r="AG54" s="181">
        <f>Table_03[[#This Row],[Mp (k-in)]]-(Table_03[[#This Row],[Mp (k-in)]]-0.7*Table_03[[#This Row],[Strength (ksi)]]*Table_03[[#This Row],[Static Parameters Elastic Section Modulus Sx (in3)2]])*((Table_03[[#This Row],[b/t]]-Table_03[[#This Row],[λpf]])/(Table_03[[#This Row],[λrf]]-Table_03[[#This Row],[λpf]]))</f>
        <v>0</v>
      </c>
      <c r="AH54" s="184">
        <f>0.9*$B$4*Table_03[[#This Row],[kc]]*Table_03[[#This Row],[Static Parameters Elastic Section Modulus Sx (in3)2]]/Table_03[[#This Row],[b/t]]^2</f>
        <v>0</v>
      </c>
      <c r="AI54" s="185" t="str">
        <f>IF(Table_03[[#This Row],[b/t]]&lt;Table_03[[#This Row],[λpf]],"Compact",IF(AND(Table_03[[#This Row],[b/t]]&gt;Table_03[[#This Row],[λpf]],Table_03[[#This Row],[λrf]]&gt;Table_03[[#This Row],[b/t]]),"Non-Compact","Slender"))</f>
        <v>Compact</v>
      </c>
      <c r="AJ54" s="186">
        <f>IF(Table_03[[#This Row],[Controlling LBx]]="Compact",Table_03[[#This Row],[Mp (k-in)]],IF(Table_03[[#This Row],[Controlling LBx]]="Non-Compact",Table_03[[#This Row],[Mnlb,Non-Compact (k-in)]],IF(Table_03[[#This Row],[Controlling LBx]]="Slender",Table_03[[#This Row],[Mnlb,slender (k-in)]],"ERROR")))</f>
        <v>0</v>
      </c>
      <c r="AK54" s="183" t="e">
        <f>Table_03[[#This Row],[Mp (k-in)]]-(Table_03[[#This Row],[Mp (k-in)]]-0.7*Table_03[[#This Row],[Strength (ksi)]]*Table_03[[#This Row],[Static Parameters Elastic Section Modulus Sx (in3)2]])*(($B$5-Table_03[[#This Row],[Lp (ft)]])/(Table_03[[#This Row],[Lr]]-Table_03[[#This Row],[Lp (ft)]]))</f>
        <v>#DIV/0!</v>
      </c>
      <c r="AL54" s="184" t="e">
        <f>Table_03[[#This Row],[Fcrx]]*Table_03[[#This Row],[Static Parameters Elastic Section Modulus Sx (in3)2]]</f>
        <v>#DIV/0!</v>
      </c>
      <c r="AM54" s="185" t="e">
        <f>IF($B$5&lt;Table_03[[#This Row],[Lp (ft)]],"Yielding Controls",IF(AND($B$5&gt;Table_03[[#This Row],[Lp (ft)]],Table_03[[#This Row],[Lr]]&gt;$B$5),"Mltb,p Controls","Mltb,r Controls"))</f>
        <v>#DIV/0!</v>
      </c>
      <c r="AN54" s="186" t="e">
        <f>IF(Table_03[[#This Row],[Controlling LTB]]="Yielding Controls",Table_03[[#This Row],[Mp (k-in)]],IF(Table_03[[#This Row],[Controlling LTB]]="Mltb,p Controls",Table_03[[#This Row],[Mnltbp (k-in)]],IF(Table_03[[#This Row],[Controlling LTB]]="Mltb,r Controls",Table_03[[#This Row],[Mnltbr (k-in)]],"ERROR")))</f>
        <v>#DIV/0!</v>
      </c>
      <c r="AO54" s="183">
        <f>MIN(Table_03[[#This Row],[Strength (ksi)]]*Table_03[[#This Row],[Static Parameters Plastic Section Modulus Zy (in3)]],1.6*Table_03[[#This Row],[Strength (ksi)]]*Table_03[[#This Row],[Static Parameters Elastic Section Modulus Sy (in3)3]])</f>
        <v>0</v>
      </c>
      <c r="AP54" s="181">
        <f>MIN(Table_03[[#This Row],[Mny (k-in)]],Table_03[[#This Row],[Mny (k-in)]]-(Table_03[[#This Row],[Mny (k-in)]]-0.7*Table_03[[#This Row],[Static Parameters Elastic Section Modulus Sy (in3)3]]*Table_03[[#This Row],[Strength (ksi)]])*((Table_03[[#This Row],[b/t]]-Table_03[[#This Row],[λpf]])/(Table_03[[#This Row],[λrf]]-Table_03[[#This Row],[λpf]])))</f>
        <v>0</v>
      </c>
      <c r="AQ54" s="184">
        <f>MIN(Table_03[[#This Row],[Mny (k-in)]],Table_03[[#This Row],[Fcry]]*Table_03[[#This Row],[Static Parameters Elastic Section Modulus Sy (in3)3]])</f>
        <v>0</v>
      </c>
      <c r="AR54" s="185" t="str">
        <f>IF(Table_03[[#This Row],[b/t]]&lt;Table_03[[#This Row],[λpf]],"Compact",IF(AND(Table_03[[#This Row],[b/t]]&gt;Table_03[[#This Row],[λpf]],Table_03[[#This Row],[λrf]]&gt;Table_03[[#This Row],[b/t]]),"Non-Compact","Slender"))</f>
        <v>Compact</v>
      </c>
      <c r="AS54" s="186">
        <f>IF(Table_03[[#This Row],[Controlling Lby]]="Compact",Table_03[[#This Row],[Mny (k-in)]],IF(Table_03[[#This Row],[Controlling Lby]]="Non-Compact",Table_03[[#This Row],[Mlby,Non-Compact (k-in)]],IF(Table_03[[#This Row],[Controlling Lby]]="Slender",Table_03[[#This Row],[Mlby,Slender (k-in)]],"ERROR")))</f>
        <v>0</v>
      </c>
      <c r="AT54" s="183" t="e">
        <f>MIN(Table_03[[#This Row],[LBx]],Table_03[[#This Row],[LTB]],Table_03[[#This Row],[Mp (k-in)]])</f>
        <v>#DIV/0!</v>
      </c>
      <c r="AU54" s="181">
        <f>Table_03[[#This Row],[Mp (k-in)]]</f>
        <v>0</v>
      </c>
      <c r="AV54" s="181">
        <f>MIN(Table_03[[#This Row],[LBy]],Table_03[[#This Row],[Mny (k-in)]])</f>
        <v>0</v>
      </c>
      <c r="AW54" s="187">
        <f>Table_03[[#This Row],[Mny (k-in)]]</f>
        <v>0</v>
      </c>
      <c r="AX54" s="169"/>
      <c r="AY54" s="165">
        <f>IF(4/SQRT((Table_03[[#This Row],[Depth h (in)]]-Table_03[[#This Row],[Flange Thickness tf (in)]]*2)/Table_03[[#This Row],[Web Thickness tw (in)]])&lt;0.35,0.35,IF(4/SQRT(Table_03[[#This Row],[Depth h (in)]]/Table_03[[#This Row],[Web Thickness tw (in)]])&gt;0.76,0.76,4/SQRT(Table_03[[#This Row],[Depth h (in)]]/Table_03[[#This Row],[Web Thickness tw (in)]])))</f>
        <v>0.63218771261364948</v>
      </c>
      <c r="AZ54" s="169"/>
    </row>
    <row r="55" spans="1:52" x14ac:dyDescent="0.3">
      <c r="A55" s="188" t="s">
        <v>153</v>
      </c>
      <c r="B55" s="189">
        <f>B53-$B$2*2</f>
        <v>4.7240000000000002</v>
      </c>
      <c r="C55" s="189">
        <f>C53-$B$2*2</f>
        <v>1.9690000000000001</v>
      </c>
      <c r="D55" s="189">
        <f>D53-$B$2*2</f>
        <v>0.11799999999999999</v>
      </c>
      <c r="E55" s="189">
        <f>E53-$B$2*2</f>
        <v>0.11799999999999999</v>
      </c>
      <c r="F55" s="190">
        <v>0.54300000000000004</v>
      </c>
      <c r="G55" s="189"/>
      <c r="H55" s="190">
        <v>1.82</v>
      </c>
      <c r="I55" s="190">
        <v>0.28699999999999998</v>
      </c>
      <c r="J55" s="190">
        <v>0.91400000000000003</v>
      </c>
      <c r="K55" s="190">
        <v>0.32800000000000001</v>
      </c>
      <c r="L55" s="190">
        <v>0.77800000000000002</v>
      </c>
      <c r="M55" s="190">
        <v>0.22600000000000001</v>
      </c>
      <c r="N55" s="191">
        <v>50</v>
      </c>
      <c r="O55" s="169">
        <f>SQRT(Table_03[[#This Row],[Static Parameters Moment of Inertia Ix (in4)]]/Table_03[[#This Row],[Sectional Area (in2)]])</f>
        <v>1.830778397183789</v>
      </c>
      <c r="P55" s="190">
        <f>SQRT(Table_03[[#This Row],[Static Parameters Moment of Inertia Iy (in4)]]/Table_03[[#This Row],[Sectional Area (in2)]])</f>
        <v>0.72701108637031153</v>
      </c>
      <c r="Q55" s="190">
        <f>($B$6*$B$5*12)/Table_03[[#This Row],[ry (in)2]]</f>
        <v>246.97009903442398</v>
      </c>
      <c r="R55" s="190">
        <f>(PI()^2*$B$4)/(Table_03[[#This Row],[KL/ry]]^2)</f>
        <v>4.6925508935842739</v>
      </c>
      <c r="S55" s="190">
        <f>IF(Table_03[[#This Row],[Strength (ksi)]]/Table_03[[#This Row],[Fe,y]]&lt;2.25,(0.658^(Table_03[[#This Row],[Strength (ksi)]]/Table_03[[#This Row],[Fe,y]])*Table_03[[#This Row],[Strength (ksi)]]),0.877*Table_03[[#This Row],[Fe,y]])</f>
        <v>4.1153671336734083</v>
      </c>
      <c r="T55" s="190">
        <f>Table_03[[#This Row],[Fcr,y]]*Table_03[[#This Row],[Sectional Area (in2)]]</f>
        <v>2.234644353584661</v>
      </c>
      <c r="U55" s="190">
        <f>1.76*Table_03[[#This Row],[ry (in)2]]*SQRT($B$4/Table_03[[#This Row],[Strength (ksi)]])/12</f>
        <v>2.5679493418652011</v>
      </c>
      <c r="V5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8.4896488767604925</v>
      </c>
      <c r="W55" s="190">
        <f>Table_03[[#This Row],[Depth h (in)]]-Table_03[[#This Row],[Flange Thickness tf (in)]]</f>
        <v>4.6059999999999999</v>
      </c>
      <c r="X55" s="190">
        <f>(Table_03[[#This Row],[Static Parameters Moment of Inertia Iy (in4)]]*Table_03[[#This Row],[ho]]^2)/4</f>
        <v>1.5221931829999997</v>
      </c>
      <c r="Y55" s="190">
        <f>SQRT((SQRT(Table_03[[#This Row],[Static Parameters Moment of Inertia Iy (in4)]]*Table_03[[#This Row],[Cw*]])/Table_03[[#This Row],[Static Parameters Elastic Section Modulus Sx (in3)2]]))</f>
        <v>0.92171810622998229</v>
      </c>
      <c r="Z55" s="190">
        <f>(2*Table_03[[#This Row],[Width w (in)]]*Table_03[[#This Row],[Flange Thickness tf (in)]]^3/3)+((Table_03[[#This Row],[Depth h (in)]]-Table_03[[#This Row],[Flange Thickness tf (in)]]*2)*Table_03[[#This Row],[Web Thickness tw (in)]]^3)/3</f>
        <v>4.6147292106666661E-3</v>
      </c>
      <c r="AA55" s="190">
        <f>Table_03[[#This Row],[Width w (in)]]*0.5/Table_03[[#This Row],[Flange Thickness tf (in)]]</f>
        <v>8.3432203389830519</v>
      </c>
      <c r="AB55" s="190">
        <f>0.38*SQRT($B$4/Table_03[[#This Row],[Strength (ksi)]])</f>
        <v>9.1516118798821449</v>
      </c>
      <c r="AC55" s="190">
        <f>1*SQRT($B$4/Table_03[[#This Row],[Strength (ksi)]])</f>
        <v>24.083189157584592</v>
      </c>
      <c r="AD55" s="190">
        <f>(PI()^2*$B$4/(12*$B$5/Table_03[[#This Row],[rts]])^2)*SQRT(1+0.078*(Table_03[[#This Row],[J*]]/(Table_03[[#This Row],[Static Parameters Elastic Section Modulus Sx (in3)2]]*Table_03[[#This Row],[ho]])*$B$4/(12*$B$5/Table_03[[#This Row],[rts]])^2))</f>
        <v>33.268655531922846</v>
      </c>
      <c r="AE55" s="190">
        <f>0.69*$B$4/Table_03[[#This Row],[b/t]]^2</f>
        <v>287.46148336287098</v>
      </c>
      <c r="AF55" s="192">
        <f>Table_03[[#This Row],[Strength (ksi)]]*Table_03[[#This Row],[Static Parameters Plastic Section Modulus Zx (in3)]]</f>
        <v>45.7</v>
      </c>
      <c r="AG55" s="190">
        <f>Table_03[[#This Row],[Mp (k-in)]]-(Table_03[[#This Row],[Mp (k-in)]]-0.7*Table_03[[#This Row],[Strength (ksi)]]*Table_03[[#This Row],[Static Parameters Elastic Section Modulus Sx (in3)2]])*((Table_03[[#This Row],[b/t]]-Table_03[[#This Row],[λpf]])/(Table_03[[#This Row],[λrf]]-Table_03[[#This Row],[λpf]]))</f>
        <v>46.69996078664127</v>
      </c>
      <c r="AH55" s="193">
        <f>0.9*$B$4*Table_03[[#This Row],[kc]]*Table_03[[#This Row],[Static Parameters Elastic Section Modulus Sx (in3)2]]/Table_03[[#This Row],[b/t]]^2</f>
        <v>184.41605545755999</v>
      </c>
      <c r="AI55" s="194" t="str">
        <f>IF(Table_03[[#This Row],[b/t]]&lt;Table_03[[#This Row],[λpf]],"Compact",IF(AND(Table_03[[#This Row],[b/t]]&gt;Table_03[[#This Row],[λpf]],Table_03[[#This Row],[λrf]]&gt;Table_03[[#This Row],[b/t]]),"Non-Compact","Slender"))</f>
        <v>Compact</v>
      </c>
      <c r="AJ55" s="195">
        <f>IF(Table_03[[#This Row],[Controlling LBx]]="Compact",Table_03[[#This Row],[Mp (k-in)]],IF(Table_03[[#This Row],[Controlling LBx]]="Non-Compact",Table_03[[#This Row],[Mnlb,Non-Compact (k-in)]],IF(Table_03[[#This Row],[Controlling LBx]]="Slender",Table_03[[#This Row],[Mnlb,slender (k-in)]],"ERROR")))</f>
        <v>45.7</v>
      </c>
      <c r="AK55" s="192">
        <f>Table_03[[#This Row],[Mp (k-in)]]-(Table_03[[#This Row],[Mp (k-in)]]-0.7*Table_03[[#This Row],[Strength (ksi)]]*Table_03[[#This Row],[Static Parameters Elastic Section Modulus Sx (in3)2]])*(($B$5-Table_03[[#This Row],[Lp (ft)]])/(Table_03[[#This Row],[Lr]]-Table_03[[#This Row],[Lp (ft)]]))</f>
        <v>31.486390349634988</v>
      </c>
      <c r="AL55" s="196">
        <f>Table_03[[#This Row],[Fcrx]]*Table_03[[#This Row],[Static Parameters Elastic Section Modulus Sx (in3)2]]</f>
        <v>25.883014003835974</v>
      </c>
      <c r="AM55" s="197" t="str">
        <f>IF($B$5&lt;Table_03[[#This Row],[Lp (ft)]],"Yielding Controls",IF(AND($B$5&gt;Table_03[[#This Row],[Lp (ft)]],Table_03[[#This Row],[Lr]]&gt;$B$5),"Mltb,p Controls","Mltb,r Controls"))</f>
        <v>Mltb,p Controls</v>
      </c>
      <c r="AN55" s="198">
        <f>IF(Table_03[[#This Row],[Controlling LTB]]="Yielding Controls",Table_03[[#This Row],[Mp (k-in)]],IF(Table_03[[#This Row],[Controlling LTB]]="Mltb,p Controls",Table_03[[#This Row],[Mnltbp (k-in)]],IF(Table_03[[#This Row],[Controlling LTB]]="Mltb,r Controls",Table_03[[#This Row],[Mnltbr (k-in)]],"ERROR")))</f>
        <v>31.486390349634988</v>
      </c>
      <c r="AO55" s="199">
        <f>MIN(Table_03[[#This Row],[Strength (ksi)]]*Table_03[[#This Row],[Static Parameters Plastic Section Modulus Zy (in3)]],1.6*Table_03[[#This Row],[Strength (ksi)]]*Table_03[[#This Row],[Static Parameters Elastic Section Modulus Sy (in3)3]])</f>
        <v>16.400000000000002</v>
      </c>
      <c r="AP55" s="169">
        <f>MIN(Table_03[[#This Row],[Mny (k-in)]],Table_03[[#This Row],[Mny (k-in)]]-(Table_03[[#This Row],[Mny (k-in)]]-0.7*Table_03[[#This Row],[Static Parameters Elastic Section Modulus Sy (in3)3]]*Table_03[[#This Row],[Strength (ksi)]])*((Table_03[[#This Row],[b/t]]-Table_03[[#This Row],[λpf]])/(Table_03[[#This Row],[λrf]]-Table_03[[#This Row],[λpf]])))</f>
        <v>16.400000000000002</v>
      </c>
      <c r="AQ55" s="196">
        <f>MIN(Table_03[[#This Row],[Mny (k-in)]],Table_03[[#This Row],[Fcry]]*Table_03[[#This Row],[Static Parameters Elastic Section Modulus Sy (in3)3]])</f>
        <v>16.400000000000002</v>
      </c>
      <c r="AR55" s="197" t="str">
        <f>IF(Table_03[[#This Row],[b/t]]&lt;Table_03[[#This Row],[λpf]],"Compact",IF(AND(Table_03[[#This Row],[b/t]]&gt;Table_03[[#This Row],[λpf]],Table_03[[#This Row],[λrf]]&gt;Table_03[[#This Row],[b/t]]),"Non-Compact","Slender"))</f>
        <v>Compact</v>
      </c>
      <c r="AS55" s="198">
        <f>IF(Table_03[[#This Row],[Controlling Lby]]="Compact",Table_03[[#This Row],[Mny (k-in)]],IF(Table_03[[#This Row],[Controlling Lby]]="Non-Compact",Table_03[[#This Row],[Mlby,Non-Compact (k-in)]],IF(Table_03[[#This Row],[Controlling Lby]]="Slender",Table_03[[#This Row],[Mlby,Slender (k-in)]],"ERROR")))</f>
        <v>16.400000000000002</v>
      </c>
      <c r="AT55" s="199">
        <f>MIN(Table_03[[#This Row],[LBx]],Table_03[[#This Row],[LTB]],Table_03[[#This Row],[Mp (k-in)]])</f>
        <v>31.486390349634988</v>
      </c>
      <c r="AU55" s="169">
        <f>Table_03[[#This Row],[Mp (k-in)]]</f>
        <v>45.7</v>
      </c>
      <c r="AV55" s="169">
        <f>MIN(Table_03[[#This Row],[LBy]],Table_03[[#This Row],[Mny (k-in)]])</f>
        <v>16.400000000000002</v>
      </c>
      <c r="AW55" s="200">
        <f>Table_03[[#This Row],[Mny (k-in)]]</f>
        <v>16.400000000000002</v>
      </c>
      <c r="AX55" s="169"/>
      <c r="AY55" s="165">
        <f>IF(4/SQRT((Table_03[[#This Row],[Depth h (in)]]-Table_03[[#This Row],[Flange Thickness tf (in)]]*2)/Table_03[[#This Row],[Web Thickness tw (in)]])&lt;0.35,0.35,IF(4/SQRT(Table_03[[#This Row],[Depth h (in)]]/Table_03[[#This Row],[Web Thickness tw (in)]])&gt;0.76,0.76,4/SQRT(Table_03[[#This Row],[Depth h (in)]]/Table_03[[#This Row],[Web Thickness tw (in)]])))</f>
        <v>0.63218771261364948</v>
      </c>
      <c r="AZ55" s="169"/>
    </row>
    <row r="56" spans="1:52" ht="14.4" thickBot="1" x14ac:dyDescent="0.35">
      <c r="A56" s="201" t="s">
        <v>154</v>
      </c>
      <c r="B56" s="202">
        <v>4.7240000000000002</v>
      </c>
      <c r="C56" s="202">
        <v>1.9690000000000001</v>
      </c>
      <c r="D56" s="202">
        <v>0.157</v>
      </c>
      <c r="E56" s="202">
        <v>0.157</v>
      </c>
      <c r="F56" s="203">
        <v>1.45</v>
      </c>
      <c r="G56" s="204"/>
      <c r="H56" s="203">
        <v>4.7300000000000004</v>
      </c>
      <c r="I56" s="203">
        <v>0.74</v>
      </c>
      <c r="J56" s="203">
        <v>2.41</v>
      </c>
      <c r="K56" s="203">
        <v>0.85799999999999998</v>
      </c>
      <c r="L56" s="203">
        <v>2</v>
      </c>
      <c r="M56" s="203">
        <v>0.56999999999999995</v>
      </c>
      <c r="N56" s="205">
        <v>50</v>
      </c>
      <c r="O56" s="206">
        <f>SQRT(Table_03[[#This Row],[Static Parameters Moment of Inertia Ix (in4)]]/Table_03[[#This Row],[Sectional Area (in2)]])</f>
        <v>1.8061198646593868</v>
      </c>
      <c r="P56" s="203">
        <f>SQRT(Table_03[[#This Row],[Static Parameters Moment of Inertia Iy (in4)]]/Table_03[[#This Row],[Sectional Area (in2)]])</f>
        <v>0.71438422965950676</v>
      </c>
      <c r="Q56" s="203">
        <f>($B$6*$B$5*12)/Table_03[[#This Row],[ry (in)2]]</f>
        <v>251.33533544767357</v>
      </c>
      <c r="R56" s="203">
        <f>(PI()^2*$B$4)/(Table_03[[#This Row],[KL/ry]]^2)</f>
        <v>4.5309643158957913</v>
      </c>
      <c r="S56" s="203">
        <f>IF(Table_03[[#This Row],[Strength (ksi)]]/Table_03[[#This Row],[Fe,y]]&lt;2.25,(0.658^(Table_03[[#This Row],[Strength (ksi)]]/Table_03[[#This Row],[Fe,y]])*Table_03[[#This Row],[Strength (ksi)]]),0.877*Table_03[[#This Row],[Fe,y]])</f>
        <v>3.9736557050406089</v>
      </c>
      <c r="T56" s="203">
        <f>Table_03[[#This Row],[Fcr,y]]*Table_03[[#This Row],[Sectional Area (in2)]]</f>
        <v>5.7618007723088827</v>
      </c>
      <c r="U56" s="203">
        <f>1.76*Table_03[[#This Row],[ry (in)2]]*SQRT($B$4/Table_03[[#This Row],[Strength (ksi)]])/12</f>
        <v>2.5233487449991707</v>
      </c>
      <c r="V5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8.3307574191807277</v>
      </c>
      <c r="W56" s="203">
        <f>Table_03[[#This Row],[Depth h (in)]]-Table_03[[#This Row],[Flange Thickness tf (in)]]</f>
        <v>4.5670000000000002</v>
      </c>
      <c r="X56" s="203">
        <f>(Table_03[[#This Row],[Static Parameters Moment of Inertia Iy (in4)]]*Table_03[[#This Row],[ho]]^2)/4</f>
        <v>3.8586354650000003</v>
      </c>
      <c r="Y56" s="203">
        <f>SQRT((SQRT(Table_03[[#This Row],[Static Parameters Moment of Inertia Iy (in4)]]*Table_03[[#This Row],[Cw*]])/Table_03[[#This Row],[Static Parameters Elastic Section Modulus Sx (in3)2]]))</f>
        <v>0.9191817012974095</v>
      </c>
      <c r="Z56" s="203">
        <f>(2*Table_03[[#This Row],[Width w (in)]]*Table_03[[#This Row],[Flange Thickness tf (in)]]^3/3)+((Table_03[[#This Row],[Depth h (in)]]-Table_03[[#This Row],[Flange Thickness tf (in)]]*2)*Table_03[[#This Row],[Web Thickness tw (in)]]^3)/3</f>
        <v>1.0768622254666668E-2</v>
      </c>
      <c r="AA56" s="203">
        <f>Table_03[[#This Row],[Width w (in)]]*0.5/Table_03[[#This Row],[Flange Thickness tf (in)]]</f>
        <v>6.2707006369426752</v>
      </c>
      <c r="AB56" s="203">
        <f>0.38*SQRT($B$4/Table_03[[#This Row],[Strength (ksi)]])</f>
        <v>9.1516118798821449</v>
      </c>
      <c r="AC56" s="203">
        <f>1*SQRT($B$4/Table_03[[#This Row],[Strength (ksi)]])</f>
        <v>24.083189157584592</v>
      </c>
      <c r="AD56" s="203">
        <f>(PI()^2*$B$4/(12*$B$5/Table_03[[#This Row],[rts]])^2)*SQRT(1+0.078*(Table_03[[#This Row],[J*]]/(Table_03[[#This Row],[Static Parameters Elastic Section Modulus Sx (in3)2]]*Table_03[[#This Row],[ho]])*$B$4/(12*$B$5/Table_03[[#This Row],[rts]])^2))</f>
        <v>33.08530730746341</v>
      </c>
      <c r="AE56" s="203">
        <f>0.69*$B$4/Table_03[[#This Row],[b/t]]^2</f>
        <v>508.87949607953237</v>
      </c>
      <c r="AF56" s="207">
        <f>Table_03[[#This Row],[Strength (ksi)]]*Table_03[[#This Row],[Static Parameters Plastic Section Modulus Zx (in3)]]</f>
        <v>120.5</v>
      </c>
      <c r="AG56" s="203">
        <f>Table_03[[#This Row],[Mp (k-in)]]-(Table_03[[#This Row],[Mp (k-in)]]-0.7*Table_03[[#This Row],[Strength (ksi)]]*Table_03[[#This Row],[Static Parameters Elastic Section Modulus Sx (in3)2]])*((Table_03[[#This Row],[b/t]]-Table_03[[#This Row],[λpf]])/(Table_03[[#This Row],[λrf]]-Table_03[[#This Row],[λpf]]))</f>
        <v>130.2435130303146</v>
      </c>
      <c r="AH56" s="208">
        <f>0.9*$B$4*Table_03[[#This Row],[kc]]*Table_03[[#This Row],[Static Parameters Elastic Section Modulus Sx (in3)2]]/Table_03[[#This Row],[b/t]]^2</f>
        <v>968.03985944788224</v>
      </c>
      <c r="AI56" s="209" t="str">
        <f>IF(Table_03[[#This Row],[b/t]]&lt;Table_03[[#This Row],[λpf]],"Compact",IF(AND(Table_03[[#This Row],[b/t]]&gt;Table_03[[#This Row],[λpf]],Table_03[[#This Row],[λrf]]&gt;Table_03[[#This Row],[b/t]]),"Non-Compact","Slender"))</f>
        <v>Compact</v>
      </c>
      <c r="AJ56" s="210">
        <f>IF(Table_03[[#This Row],[Controlling LBx]]="Compact",Table_03[[#This Row],[Mp (k-in)]],IF(Table_03[[#This Row],[Controlling LBx]]="Non-Compact",Table_03[[#This Row],[Mnlb,Non-Compact (k-in)]],IF(Table_03[[#This Row],[Controlling LBx]]="Slender",Table_03[[#This Row],[Mnlb,slender (k-in)]],"ERROR")))</f>
        <v>120.5</v>
      </c>
      <c r="AK56" s="207">
        <f>Table_03[[#This Row],[Mp (k-in)]]-(Table_03[[#This Row],[Mp (k-in)]]-0.7*Table_03[[#This Row],[Strength (ksi)]]*Table_03[[#This Row],[Static Parameters Elastic Section Modulus Sx (in3)2]])*(($B$5-Table_03[[#This Row],[Lp (ft)]])/(Table_03[[#This Row],[Lr]]-Table_03[[#This Row],[Lp (ft)]]))</f>
        <v>80.485012005325785</v>
      </c>
      <c r="AL56" s="211">
        <f>Table_03[[#This Row],[Fcrx]]*Table_03[[#This Row],[Static Parameters Elastic Section Modulus Sx (in3)2]]</f>
        <v>66.170614614926819</v>
      </c>
      <c r="AM56" s="212" t="str">
        <f>IF($B$5&lt;Table_03[[#This Row],[Lp (ft)]],"Yielding Controls",IF(AND($B$5&gt;Table_03[[#This Row],[Lp (ft)]],Table_03[[#This Row],[Lr]]&gt;$B$5),"Mltb,p Controls","Mltb,r Controls"))</f>
        <v>Mltb,p Controls</v>
      </c>
      <c r="AN56" s="213">
        <f>IF(Table_03[[#This Row],[Controlling LTB]]="Yielding Controls",Table_03[[#This Row],[Mp (k-in)]],IF(Table_03[[#This Row],[Controlling LTB]]="Mltb,p Controls",Table_03[[#This Row],[Mnltbp (k-in)]],IF(Table_03[[#This Row],[Controlling LTB]]="Mltb,r Controls",Table_03[[#This Row],[Mnltbr (k-in)]],"ERROR")))</f>
        <v>80.485012005325785</v>
      </c>
      <c r="AO56" s="214">
        <f>MIN(Table_03[[#This Row],[Strength (ksi)]]*Table_03[[#This Row],[Static Parameters Plastic Section Modulus Zy (in3)]],1.6*Table_03[[#This Row],[Strength (ksi)]]*Table_03[[#This Row],[Static Parameters Elastic Section Modulus Sy (in3)3]])</f>
        <v>42.9</v>
      </c>
      <c r="AP56" s="206">
        <f>MIN(Table_03[[#This Row],[Mny (k-in)]],Table_03[[#This Row],[Mny (k-in)]]-(Table_03[[#This Row],[Mny (k-in)]]-0.7*Table_03[[#This Row],[Static Parameters Elastic Section Modulus Sy (in3)3]]*Table_03[[#This Row],[Strength (ksi)]])*((Table_03[[#This Row],[b/t]]-Table_03[[#This Row],[λpf]])/(Table_03[[#This Row],[λrf]]-Table_03[[#This Row],[λpf]])))</f>
        <v>42.9</v>
      </c>
      <c r="AQ56" s="211">
        <f>MIN(Table_03[[#This Row],[Mny (k-in)]],Table_03[[#This Row],[Fcry]]*Table_03[[#This Row],[Static Parameters Elastic Section Modulus Sy (in3)3]])</f>
        <v>42.9</v>
      </c>
      <c r="AR56" s="212" t="str">
        <f>IF(Table_03[[#This Row],[b/t]]&lt;Table_03[[#This Row],[λpf]],"Compact",IF(AND(Table_03[[#This Row],[b/t]]&gt;Table_03[[#This Row],[λpf]],Table_03[[#This Row],[λrf]]&gt;Table_03[[#This Row],[b/t]]),"Non-Compact","Slender"))</f>
        <v>Compact</v>
      </c>
      <c r="AS56" s="213">
        <f>IF(Table_03[[#This Row],[Controlling Lby]]="Compact",Table_03[[#This Row],[Mny (k-in)]],IF(Table_03[[#This Row],[Controlling Lby]]="Non-Compact",Table_03[[#This Row],[Mlby,Non-Compact (k-in)]],IF(Table_03[[#This Row],[Controlling Lby]]="Slender",Table_03[[#This Row],[Mlby,Slender (k-in)]],"ERROR")))</f>
        <v>42.9</v>
      </c>
      <c r="AT56" s="214">
        <f>MIN(Table_03[[#This Row],[LBx]],Table_03[[#This Row],[LTB]],Table_03[[#This Row],[Mp (k-in)]])</f>
        <v>80.485012005325785</v>
      </c>
      <c r="AU56" s="206">
        <f>Table_03[[#This Row],[Mp (k-in)]]</f>
        <v>120.5</v>
      </c>
      <c r="AV56" s="206">
        <f>MIN(Table_03[[#This Row],[LBy]],Table_03[[#This Row],[Mny (k-in)]])</f>
        <v>42.9</v>
      </c>
      <c r="AW56" s="215">
        <f>Table_03[[#This Row],[Mny (k-in)]]</f>
        <v>42.9</v>
      </c>
      <c r="AX56" s="169"/>
      <c r="AY56" s="165">
        <f>IF(4/SQRT((Table_03[[#This Row],[Depth h (in)]]-Table_03[[#This Row],[Flange Thickness tf (in)]]*2)/Table_03[[#This Row],[Web Thickness tw (in)]])&lt;0.35,0.35,IF(4/SQRT(Table_03[[#This Row],[Depth h (in)]]/Table_03[[#This Row],[Web Thickness tw (in)]])&gt;0.76,0.76,4/SQRT(Table_03[[#This Row],[Depth h (in)]]/Table_03[[#This Row],[Web Thickness tw (in)]])))</f>
        <v>0.72921379025986954</v>
      </c>
      <c r="AZ56" s="169"/>
    </row>
    <row r="57" spans="1:52" x14ac:dyDescent="0.3">
      <c r="A57" s="179" t="s">
        <v>155</v>
      </c>
      <c r="B57" s="180">
        <f>B56-$B$1*2</f>
        <v>4.7240000000000002</v>
      </c>
      <c r="C57" s="180">
        <f>C56-$B$1*2</f>
        <v>1.9690000000000001</v>
      </c>
      <c r="D57" s="180">
        <f>D56-$B$1*2</f>
        <v>0.157</v>
      </c>
      <c r="E57" s="180">
        <f>E56-$B$1*2</f>
        <v>0.157</v>
      </c>
      <c r="F57" s="181"/>
      <c r="G57" s="180"/>
      <c r="H57" s="180"/>
      <c r="I57" s="180"/>
      <c r="J57" s="181"/>
      <c r="K57" s="181"/>
      <c r="L57" s="181"/>
      <c r="M57" s="181"/>
      <c r="N57" s="182">
        <v>50</v>
      </c>
      <c r="O57" s="181" t="e">
        <f>SQRT(Table_03[[#This Row],[Static Parameters Moment of Inertia Ix (in4)]]/Table_03[[#This Row],[Sectional Area (in2)]])</f>
        <v>#DIV/0!</v>
      </c>
      <c r="P57" s="181" t="e">
        <f>SQRT(Table_03[[#This Row],[Static Parameters Moment of Inertia Iy (in4)]]/Table_03[[#This Row],[Sectional Area (in2)]])</f>
        <v>#DIV/0!</v>
      </c>
      <c r="Q57" s="181" t="e">
        <f>($B$6*$B$5*12)/Table_03[[#This Row],[ry (in)2]]</f>
        <v>#DIV/0!</v>
      </c>
      <c r="R57" s="181" t="e">
        <f>(PI()^2*$B$4)/(Table_03[[#This Row],[KL/ry]]^2)</f>
        <v>#DIV/0!</v>
      </c>
      <c r="S57" s="181" t="e">
        <f>IF(Table_03[[#This Row],[Strength (ksi)]]/Table_03[[#This Row],[Fe,y]]&lt;2.25,(0.658^(Table_03[[#This Row],[Strength (ksi)]]/Table_03[[#This Row],[Fe,y]])*Table_03[[#This Row],[Strength (ksi)]]),0.877*Table_03[[#This Row],[Fe,y]])</f>
        <v>#DIV/0!</v>
      </c>
      <c r="T57" s="181" t="e">
        <f>Table_03[[#This Row],[Fcr,y]]*Table_03[[#This Row],[Sectional Area (in2)]]</f>
        <v>#DIV/0!</v>
      </c>
      <c r="U57" s="181" t="e">
        <f>1.76*Table_03[[#This Row],[ry (in)2]]*SQRT($B$4/Table_03[[#This Row],[Strength (ksi)]])/12</f>
        <v>#DIV/0!</v>
      </c>
      <c r="V57"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57" s="181">
        <f>Table_03[[#This Row],[Depth h (in)]]-Table_03[[#This Row],[Flange Thickness tf (in)]]</f>
        <v>4.5670000000000002</v>
      </c>
      <c r="X57" s="181">
        <f>(Table_03[[#This Row],[Static Parameters Moment of Inertia Iy (in4)]]*Table_03[[#This Row],[ho]]^2)/4</f>
        <v>0</v>
      </c>
      <c r="Y57" s="181" t="e">
        <f>SQRT((SQRT(Table_03[[#This Row],[Static Parameters Moment of Inertia Iy (in4)]]*Table_03[[#This Row],[Cw*]])/Table_03[[#This Row],[Static Parameters Elastic Section Modulus Sx (in3)2]]))</f>
        <v>#DIV/0!</v>
      </c>
      <c r="Z57" s="181">
        <f>(2*Table_03[[#This Row],[Width w (in)]]*Table_03[[#This Row],[Flange Thickness tf (in)]]^3/3)+((Table_03[[#This Row],[Depth h (in)]]-Table_03[[#This Row],[Flange Thickness tf (in)]]*2)*Table_03[[#This Row],[Web Thickness tw (in)]]^3)/3</f>
        <v>1.0768622254666668E-2</v>
      </c>
      <c r="AA57" s="181">
        <f>Table_03[[#This Row],[Width w (in)]]*0.5/Table_03[[#This Row],[Flange Thickness tf (in)]]</f>
        <v>6.2707006369426752</v>
      </c>
      <c r="AB57" s="181">
        <f>0.38*SQRT($B$4/Table_03[[#This Row],[Strength (ksi)]])</f>
        <v>9.1516118798821449</v>
      </c>
      <c r="AC57" s="181">
        <f>1*SQRT($B$4/Table_03[[#This Row],[Strength (ksi)]])</f>
        <v>24.083189157584592</v>
      </c>
      <c r="AD57" s="181" t="e">
        <f>(PI()^2*$B$4/(12*$B$5/Table_03[[#This Row],[rts]])^2)*SQRT(1+0.078*(Table_03[[#This Row],[J*]]/(Table_03[[#This Row],[Static Parameters Elastic Section Modulus Sx (in3)2]]*Table_03[[#This Row],[ho]])*$B$4/(12*$B$5/Table_03[[#This Row],[rts]])^2))</f>
        <v>#DIV/0!</v>
      </c>
      <c r="AE57" s="181">
        <f>0.69*$B$4/Table_03[[#This Row],[b/t]]^2</f>
        <v>508.87949607953237</v>
      </c>
      <c r="AF57" s="183">
        <f>Table_03[[#This Row],[Strength (ksi)]]*Table_03[[#This Row],[Static Parameters Plastic Section Modulus Zx (in3)]]</f>
        <v>0</v>
      </c>
      <c r="AG57" s="181">
        <f>Table_03[[#This Row],[Mp (k-in)]]-(Table_03[[#This Row],[Mp (k-in)]]-0.7*Table_03[[#This Row],[Strength (ksi)]]*Table_03[[#This Row],[Static Parameters Elastic Section Modulus Sx (in3)2]])*((Table_03[[#This Row],[b/t]]-Table_03[[#This Row],[λpf]])/(Table_03[[#This Row],[λrf]]-Table_03[[#This Row],[λpf]]))</f>
        <v>0</v>
      </c>
      <c r="AH57" s="184">
        <f>0.9*$B$4*Table_03[[#This Row],[kc]]*Table_03[[#This Row],[Static Parameters Elastic Section Modulus Sx (in3)2]]/Table_03[[#This Row],[b/t]]^2</f>
        <v>0</v>
      </c>
      <c r="AI57" s="185" t="str">
        <f>IF(Table_03[[#This Row],[b/t]]&lt;Table_03[[#This Row],[λpf]],"Compact",IF(AND(Table_03[[#This Row],[b/t]]&gt;Table_03[[#This Row],[λpf]],Table_03[[#This Row],[λrf]]&gt;Table_03[[#This Row],[b/t]]),"Non-Compact","Slender"))</f>
        <v>Compact</v>
      </c>
      <c r="AJ57" s="186">
        <f>IF(Table_03[[#This Row],[Controlling LBx]]="Compact",Table_03[[#This Row],[Mp (k-in)]],IF(Table_03[[#This Row],[Controlling LBx]]="Non-Compact",Table_03[[#This Row],[Mnlb,Non-Compact (k-in)]],IF(Table_03[[#This Row],[Controlling LBx]]="Slender",Table_03[[#This Row],[Mnlb,slender (k-in)]],"ERROR")))</f>
        <v>0</v>
      </c>
      <c r="AK57" s="183" t="e">
        <f>Table_03[[#This Row],[Mp (k-in)]]-(Table_03[[#This Row],[Mp (k-in)]]-0.7*Table_03[[#This Row],[Strength (ksi)]]*Table_03[[#This Row],[Static Parameters Elastic Section Modulus Sx (in3)2]])*(($B$5-Table_03[[#This Row],[Lp (ft)]])/(Table_03[[#This Row],[Lr]]-Table_03[[#This Row],[Lp (ft)]]))</f>
        <v>#DIV/0!</v>
      </c>
      <c r="AL57" s="184" t="e">
        <f>Table_03[[#This Row],[Fcrx]]*Table_03[[#This Row],[Static Parameters Elastic Section Modulus Sx (in3)2]]</f>
        <v>#DIV/0!</v>
      </c>
      <c r="AM57" s="185" t="e">
        <f>IF($B$5&lt;Table_03[[#This Row],[Lp (ft)]],"Yielding Controls",IF(AND($B$5&gt;Table_03[[#This Row],[Lp (ft)]],Table_03[[#This Row],[Lr]]&gt;$B$5),"Mltb,p Controls","Mltb,r Controls"))</f>
        <v>#DIV/0!</v>
      </c>
      <c r="AN57" s="186" t="e">
        <f>IF(Table_03[[#This Row],[Controlling LTB]]="Yielding Controls",Table_03[[#This Row],[Mp (k-in)]],IF(Table_03[[#This Row],[Controlling LTB]]="Mltb,p Controls",Table_03[[#This Row],[Mnltbp (k-in)]],IF(Table_03[[#This Row],[Controlling LTB]]="Mltb,r Controls",Table_03[[#This Row],[Mnltbr (k-in)]],"ERROR")))</f>
        <v>#DIV/0!</v>
      </c>
      <c r="AO57" s="183">
        <f>MIN(Table_03[[#This Row],[Strength (ksi)]]*Table_03[[#This Row],[Static Parameters Plastic Section Modulus Zy (in3)]],1.6*Table_03[[#This Row],[Strength (ksi)]]*Table_03[[#This Row],[Static Parameters Elastic Section Modulus Sy (in3)3]])</f>
        <v>0</v>
      </c>
      <c r="AP57" s="181">
        <f>MIN(Table_03[[#This Row],[Mny (k-in)]],Table_03[[#This Row],[Mny (k-in)]]-(Table_03[[#This Row],[Mny (k-in)]]-0.7*Table_03[[#This Row],[Static Parameters Elastic Section Modulus Sy (in3)3]]*Table_03[[#This Row],[Strength (ksi)]])*((Table_03[[#This Row],[b/t]]-Table_03[[#This Row],[λpf]])/(Table_03[[#This Row],[λrf]]-Table_03[[#This Row],[λpf]])))</f>
        <v>0</v>
      </c>
      <c r="AQ57" s="184">
        <f>MIN(Table_03[[#This Row],[Mny (k-in)]],Table_03[[#This Row],[Fcry]]*Table_03[[#This Row],[Static Parameters Elastic Section Modulus Sy (in3)3]])</f>
        <v>0</v>
      </c>
      <c r="AR57" s="185" t="str">
        <f>IF(Table_03[[#This Row],[b/t]]&lt;Table_03[[#This Row],[λpf]],"Compact",IF(AND(Table_03[[#This Row],[b/t]]&gt;Table_03[[#This Row],[λpf]],Table_03[[#This Row],[λrf]]&gt;Table_03[[#This Row],[b/t]]),"Non-Compact","Slender"))</f>
        <v>Compact</v>
      </c>
      <c r="AS57" s="186">
        <f>IF(Table_03[[#This Row],[Controlling Lby]]="Compact",Table_03[[#This Row],[Mny (k-in)]],IF(Table_03[[#This Row],[Controlling Lby]]="Non-Compact",Table_03[[#This Row],[Mlby,Non-Compact (k-in)]],IF(Table_03[[#This Row],[Controlling Lby]]="Slender",Table_03[[#This Row],[Mlby,Slender (k-in)]],"ERROR")))</f>
        <v>0</v>
      </c>
      <c r="AT57" s="183" t="e">
        <f>MIN(Table_03[[#This Row],[LBx]],Table_03[[#This Row],[LTB]],Table_03[[#This Row],[Mp (k-in)]])</f>
        <v>#DIV/0!</v>
      </c>
      <c r="AU57" s="181">
        <f>Table_03[[#This Row],[Mp (k-in)]]</f>
        <v>0</v>
      </c>
      <c r="AV57" s="181">
        <f>MIN(Table_03[[#This Row],[LBy]],Table_03[[#This Row],[Mny (k-in)]])</f>
        <v>0</v>
      </c>
      <c r="AW57" s="187">
        <f>Table_03[[#This Row],[Mny (k-in)]]</f>
        <v>0</v>
      </c>
      <c r="AX57" s="169"/>
      <c r="AY57" s="165">
        <f>IF(4/SQRT((Table_03[[#This Row],[Depth h (in)]]-Table_03[[#This Row],[Flange Thickness tf (in)]]*2)/Table_03[[#This Row],[Web Thickness tw (in)]])&lt;0.35,0.35,IF(4/SQRT(Table_03[[#This Row],[Depth h (in)]]/Table_03[[#This Row],[Web Thickness tw (in)]])&gt;0.76,0.76,4/SQRT(Table_03[[#This Row],[Depth h (in)]]/Table_03[[#This Row],[Web Thickness tw (in)]])))</f>
        <v>0.72921379025986954</v>
      </c>
      <c r="AZ57" s="169"/>
    </row>
    <row r="58" spans="1:52" x14ac:dyDescent="0.3">
      <c r="A58" s="188" t="s">
        <v>156</v>
      </c>
      <c r="B58" s="189">
        <f>B56-$B$2*2</f>
        <v>4.7240000000000002</v>
      </c>
      <c r="C58" s="189">
        <f>C56-$B$2*2</f>
        <v>1.9690000000000001</v>
      </c>
      <c r="D58" s="189">
        <f>D56-$B$2*2</f>
        <v>0.157</v>
      </c>
      <c r="E58" s="189">
        <f>E56-$B$2*2</f>
        <v>0.157</v>
      </c>
      <c r="F58" s="190">
        <v>0.88800000000000001</v>
      </c>
      <c r="G58" s="189"/>
      <c r="H58" s="190">
        <v>2.9</v>
      </c>
      <c r="I58" s="190">
        <v>0.44500000000000001</v>
      </c>
      <c r="J58" s="190">
        <v>1.48</v>
      </c>
      <c r="K58" s="190">
        <v>0.51900000000000002</v>
      </c>
      <c r="L58" s="190">
        <v>1.24</v>
      </c>
      <c r="M58" s="190">
        <v>0.35</v>
      </c>
      <c r="N58" s="191">
        <v>50</v>
      </c>
      <c r="O58" s="169">
        <f>SQRT(Table_03[[#This Row],[Static Parameters Moment of Inertia Ix (in4)]]/Table_03[[#This Row],[Sectional Area (in2)]])</f>
        <v>1.8071429843168929</v>
      </c>
      <c r="P58" s="190">
        <f>SQRT(Table_03[[#This Row],[Static Parameters Moment of Inertia Iy (in4)]]/Table_03[[#This Row],[Sectional Area (in2)]])</f>
        <v>0.70790262474871934</v>
      </c>
      <c r="Q58" s="190">
        <f>($B$6*$B$5*12)/Table_03[[#This Row],[ry (in)2]]</f>
        <v>253.63657899097913</v>
      </c>
      <c r="R58" s="190">
        <f>(PI()^2*$B$4)/(Table_03[[#This Row],[KL/ry]]^2)</f>
        <v>4.4491184636470642</v>
      </c>
      <c r="S58" s="190">
        <f>IF(Table_03[[#This Row],[Strength (ksi)]]/Table_03[[#This Row],[Fe,y]]&lt;2.25,(0.658^(Table_03[[#This Row],[Strength (ksi)]]/Table_03[[#This Row],[Fe,y]])*Table_03[[#This Row],[Strength (ksi)]]),0.877*Table_03[[#This Row],[Fe,y]])</f>
        <v>3.9018768926184753</v>
      </c>
      <c r="T58" s="190">
        <f>Table_03[[#This Row],[Fcr,y]]*Table_03[[#This Row],[Sectional Area (in2)]]</f>
        <v>3.4648666806452062</v>
      </c>
      <c r="U58" s="190">
        <f>1.76*Table_03[[#This Row],[ry (in)2]]*SQRT($B$4/Table_03[[#This Row],[Strength (ksi)]])/12</f>
        <v>2.500454413156191</v>
      </c>
      <c r="V5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9.0971835336501794</v>
      </c>
      <c r="W58" s="190">
        <f>Table_03[[#This Row],[Depth h (in)]]-Table_03[[#This Row],[Flange Thickness tf (in)]]</f>
        <v>4.5670000000000002</v>
      </c>
      <c r="X58" s="190">
        <f>(Table_03[[#This Row],[Static Parameters Moment of Inertia Iy (in4)]]*Table_03[[#This Row],[ho]]^2)/4</f>
        <v>2.3203956512500001</v>
      </c>
      <c r="Y58" s="190">
        <f>SQRT((SQRT(Table_03[[#This Row],[Static Parameters Moment of Inertia Iy (in4)]]*Table_03[[#This Row],[Cw*]])/Table_03[[#This Row],[Static Parameters Elastic Section Modulus Sx (in3)2]]))</f>
        <v>0.90525237079982823</v>
      </c>
      <c r="Z58" s="190">
        <f>(2*Table_03[[#This Row],[Width w (in)]]*Table_03[[#This Row],[Flange Thickness tf (in)]]^3/3)+((Table_03[[#This Row],[Depth h (in)]]-Table_03[[#This Row],[Flange Thickness tf (in)]]*2)*Table_03[[#This Row],[Web Thickness tw (in)]]^3)/3</f>
        <v>1.0768622254666668E-2</v>
      </c>
      <c r="AA58" s="190">
        <f>Table_03[[#This Row],[Width w (in)]]*0.5/Table_03[[#This Row],[Flange Thickness tf (in)]]</f>
        <v>6.2707006369426752</v>
      </c>
      <c r="AB58" s="190">
        <f>0.38*SQRT($B$4/Table_03[[#This Row],[Strength (ksi)]])</f>
        <v>9.1516118798821449</v>
      </c>
      <c r="AC58" s="190">
        <f>1*SQRT($B$4/Table_03[[#This Row],[Strength (ksi)]])</f>
        <v>24.083189157584592</v>
      </c>
      <c r="AD58" s="190">
        <f>(PI()^2*$B$4/(12*$B$5/Table_03[[#This Row],[rts]])^2)*SQRT(1+0.078*(Table_03[[#This Row],[J*]]/(Table_03[[#This Row],[Static Parameters Elastic Section Modulus Sx (in3)2]]*Table_03[[#This Row],[ho]])*$B$4/(12*$B$5/Table_03[[#This Row],[rts]])^2))</f>
        <v>32.092942198576893</v>
      </c>
      <c r="AE58" s="190">
        <f>0.69*$B$4/Table_03[[#This Row],[b/t]]^2</f>
        <v>508.87949607953237</v>
      </c>
      <c r="AF58" s="192">
        <f>Table_03[[#This Row],[Strength (ksi)]]*Table_03[[#This Row],[Static Parameters Plastic Section Modulus Zx (in3)]]</f>
        <v>74</v>
      </c>
      <c r="AG58" s="190">
        <f>Table_03[[#This Row],[Mp (k-in)]]-(Table_03[[#This Row],[Mp (k-in)]]-0.7*Table_03[[#This Row],[Strength (ksi)]]*Table_03[[#This Row],[Static Parameters Elastic Section Modulus Sx (in3)2]])*((Table_03[[#This Row],[b/t]]-Table_03[[#This Row],[λpf]])/(Table_03[[#This Row],[λrf]]-Table_03[[#This Row],[λpf]]))</f>
        <v>79.903990073814398</v>
      </c>
      <c r="AH58" s="193">
        <f>0.9*$B$4*Table_03[[#This Row],[kc]]*Table_03[[#This Row],[Static Parameters Elastic Section Modulus Sx (in3)2]]/Table_03[[#This Row],[b/t]]^2</f>
        <v>600.18471285768703</v>
      </c>
      <c r="AI58" s="194" t="str">
        <f>IF(Table_03[[#This Row],[b/t]]&lt;Table_03[[#This Row],[λpf]],"Compact",IF(AND(Table_03[[#This Row],[b/t]]&gt;Table_03[[#This Row],[λpf]],Table_03[[#This Row],[λrf]]&gt;Table_03[[#This Row],[b/t]]),"Non-Compact","Slender"))</f>
        <v>Compact</v>
      </c>
      <c r="AJ58" s="195">
        <f>IF(Table_03[[#This Row],[Controlling LBx]]="Compact",Table_03[[#This Row],[Mp (k-in)]],IF(Table_03[[#This Row],[Controlling LBx]]="Non-Compact",Table_03[[#This Row],[Mnlb,Non-Compact (k-in)]],IF(Table_03[[#This Row],[Controlling LBx]]="Slender",Table_03[[#This Row],[Mnlb,slender (k-in)]],"ERROR")))</f>
        <v>74</v>
      </c>
      <c r="AK58" s="192">
        <f>Table_03[[#This Row],[Mp (k-in)]]-(Table_03[[#This Row],[Mp (k-in)]]-0.7*Table_03[[#This Row],[Strength (ksi)]]*Table_03[[#This Row],[Static Parameters Elastic Section Modulus Sx (in3)2]])*(($B$5-Table_03[[#This Row],[Lp (ft)]])/(Table_03[[#This Row],[Lr]]-Table_03[[#This Row],[Lp (ft)]]))</f>
        <v>52.548293802486214</v>
      </c>
      <c r="AL58" s="196">
        <f>Table_03[[#This Row],[Fcrx]]*Table_03[[#This Row],[Static Parameters Elastic Section Modulus Sx (in3)2]]</f>
        <v>39.795248326235345</v>
      </c>
      <c r="AM58" s="197" t="str">
        <f>IF($B$5&lt;Table_03[[#This Row],[Lp (ft)]],"Yielding Controls",IF(AND($B$5&gt;Table_03[[#This Row],[Lp (ft)]],Table_03[[#This Row],[Lr]]&gt;$B$5),"Mltb,p Controls","Mltb,r Controls"))</f>
        <v>Mltb,p Controls</v>
      </c>
      <c r="AN58" s="198">
        <f>IF(Table_03[[#This Row],[Controlling LTB]]="Yielding Controls",Table_03[[#This Row],[Mp (k-in)]],IF(Table_03[[#This Row],[Controlling LTB]]="Mltb,p Controls",Table_03[[#This Row],[Mnltbp (k-in)]],IF(Table_03[[#This Row],[Controlling LTB]]="Mltb,r Controls",Table_03[[#This Row],[Mnltbr (k-in)]],"ERROR")))</f>
        <v>52.548293802486214</v>
      </c>
      <c r="AO58" s="199">
        <f>MIN(Table_03[[#This Row],[Strength (ksi)]]*Table_03[[#This Row],[Static Parameters Plastic Section Modulus Zy (in3)]],1.6*Table_03[[#This Row],[Strength (ksi)]]*Table_03[[#This Row],[Static Parameters Elastic Section Modulus Sy (in3)3]])</f>
        <v>25.95</v>
      </c>
      <c r="AP58" s="169">
        <f>MIN(Table_03[[#This Row],[Mny (k-in)]],Table_03[[#This Row],[Mny (k-in)]]-(Table_03[[#This Row],[Mny (k-in)]]-0.7*Table_03[[#This Row],[Static Parameters Elastic Section Modulus Sy (in3)3]]*Table_03[[#This Row],[Strength (ksi)]])*((Table_03[[#This Row],[b/t]]-Table_03[[#This Row],[λpf]])/(Table_03[[#This Row],[λrf]]-Table_03[[#This Row],[λpf]])))</f>
        <v>25.95</v>
      </c>
      <c r="AQ58" s="196">
        <f>MIN(Table_03[[#This Row],[Mny (k-in)]],Table_03[[#This Row],[Fcry]]*Table_03[[#This Row],[Static Parameters Elastic Section Modulus Sy (in3)3]])</f>
        <v>25.95</v>
      </c>
      <c r="AR58" s="197" t="str">
        <f>IF(Table_03[[#This Row],[b/t]]&lt;Table_03[[#This Row],[λpf]],"Compact",IF(AND(Table_03[[#This Row],[b/t]]&gt;Table_03[[#This Row],[λpf]],Table_03[[#This Row],[λrf]]&gt;Table_03[[#This Row],[b/t]]),"Non-Compact","Slender"))</f>
        <v>Compact</v>
      </c>
      <c r="AS58" s="198">
        <f>IF(Table_03[[#This Row],[Controlling Lby]]="Compact",Table_03[[#This Row],[Mny (k-in)]],IF(Table_03[[#This Row],[Controlling Lby]]="Non-Compact",Table_03[[#This Row],[Mlby,Non-Compact (k-in)]],IF(Table_03[[#This Row],[Controlling Lby]]="Slender",Table_03[[#This Row],[Mlby,Slender (k-in)]],"ERROR")))</f>
        <v>25.95</v>
      </c>
      <c r="AT58" s="199">
        <f>MIN(Table_03[[#This Row],[LBx]],Table_03[[#This Row],[LTB]],Table_03[[#This Row],[Mp (k-in)]])</f>
        <v>52.548293802486214</v>
      </c>
      <c r="AU58" s="169">
        <f>Table_03[[#This Row],[Mp (k-in)]]</f>
        <v>74</v>
      </c>
      <c r="AV58" s="169">
        <f>MIN(Table_03[[#This Row],[LBy]],Table_03[[#This Row],[Mny (k-in)]])</f>
        <v>25.95</v>
      </c>
      <c r="AW58" s="200">
        <f>Table_03[[#This Row],[Mny (k-in)]]</f>
        <v>25.95</v>
      </c>
      <c r="AX58" s="169"/>
      <c r="AY58" s="165">
        <f>IF(4/SQRT((Table_03[[#This Row],[Depth h (in)]]-Table_03[[#This Row],[Flange Thickness tf (in)]]*2)/Table_03[[#This Row],[Web Thickness tw (in)]])&lt;0.35,0.35,IF(4/SQRT(Table_03[[#This Row],[Depth h (in)]]/Table_03[[#This Row],[Web Thickness tw (in)]])&gt;0.76,0.76,4/SQRT(Table_03[[#This Row],[Depth h (in)]]/Table_03[[#This Row],[Web Thickness tw (in)]])))</f>
        <v>0.72921379025986954</v>
      </c>
      <c r="AZ58" s="169"/>
    </row>
    <row r="59" spans="1:52" s="216" customFormat="1" ht="14.4" thickBot="1" x14ac:dyDescent="0.35">
      <c r="A59" s="201" t="s">
        <v>157</v>
      </c>
      <c r="B59" s="202">
        <v>5.5118</v>
      </c>
      <c r="C59" s="202">
        <v>1.9690000000000001</v>
      </c>
      <c r="D59" s="202">
        <v>0.11799999999999999</v>
      </c>
      <c r="E59" s="202">
        <v>0.11799999999999999</v>
      </c>
      <c r="F59" s="203">
        <v>1.2</v>
      </c>
      <c r="G59" s="204"/>
      <c r="H59" s="203">
        <v>5.37</v>
      </c>
      <c r="I59" s="203">
        <v>0.63</v>
      </c>
      <c r="J59" s="203">
        <v>2.33</v>
      </c>
      <c r="K59" s="203">
        <v>0.68700000000000006</v>
      </c>
      <c r="L59" s="203">
        <v>1.95</v>
      </c>
      <c r="M59" s="203">
        <v>0.46899999999999997</v>
      </c>
      <c r="N59" s="205">
        <v>50</v>
      </c>
      <c r="O59" s="206">
        <f>SQRT(Table_03[[#This Row],[Static Parameters Moment of Inertia Ix (in4)]]/Table_03[[#This Row],[Sectional Area (in2)]])</f>
        <v>2.1154195801306179</v>
      </c>
      <c r="P59" s="203">
        <f>SQRT(Table_03[[#This Row],[Static Parameters Moment of Inertia Iy (in4)]]/Table_03[[#This Row],[Sectional Area (in2)]])</f>
        <v>0.72456883730947197</v>
      </c>
      <c r="Q59" s="203">
        <f>($B$6*$B$5*12)/Table_03[[#This Row],[ry (in)2]]</f>
        <v>247.80254235983941</v>
      </c>
      <c r="R59" s="203">
        <f>(PI()^2*$B$4)/(Table_03[[#This Row],[KL/ry]]^2)</f>
        <v>4.661076466859015</v>
      </c>
      <c r="S59" s="203">
        <f>IF(Table_03[[#This Row],[Strength (ksi)]]/Table_03[[#This Row],[Fe,y]]&lt;2.25,(0.658^(Table_03[[#This Row],[Strength (ksi)]]/Table_03[[#This Row],[Fe,y]])*Table_03[[#This Row],[Strength (ksi)]]),0.877*Table_03[[#This Row],[Fe,y]])</f>
        <v>4.0877640614353563</v>
      </c>
      <c r="T59" s="203">
        <f>Table_03[[#This Row],[Fcr,y]]*Table_03[[#This Row],[Sectional Area (in2)]]</f>
        <v>4.9053168737224278</v>
      </c>
      <c r="U59" s="203">
        <f>1.76*Table_03[[#This Row],[ry (in)2]]*SQRT($B$4/Table_03[[#This Row],[Strength (ksi)]])/12</f>
        <v>2.5593228271035549</v>
      </c>
      <c r="V5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7.5973638580459371</v>
      </c>
      <c r="W59" s="203">
        <f>Table_03[[#This Row],[Depth h (in)]]-Table_03[[#This Row],[Flange Thickness tf (in)]]</f>
        <v>5.3937999999999997</v>
      </c>
      <c r="X59" s="203">
        <f>(Table_03[[#This Row],[Static Parameters Moment of Inertia Iy (in4)]]*Table_03[[#This Row],[ho]]^2)/4</f>
        <v>4.5821598542999995</v>
      </c>
      <c r="Y59" s="203">
        <f>SQRT((SQRT(Table_03[[#This Row],[Static Parameters Moment of Inertia Iy (in4)]]*Table_03[[#This Row],[Cw*]])/Table_03[[#This Row],[Static Parameters Elastic Section Modulus Sx (in3)2]]))</f>
        <v>0.9334378146647766</v>
      </c>
      <c r="Z59" s="203">
        <f>(2*Table_03[[#This Row],[Width w (in)]]*Table_03[[#This Row],[Flange Thickness tf (in)]]^3/3)+((Table_03[[#This Row],[Depth h (in)]]-Table_03[[#This Row],[Flange Thickness tf (in)]]*2)*Table_03[[#This Row],[Web Thickness tw (in)]]^3)/3</f>
        <v>5.0461894138666662E-3</v>
      </c>
      <c r="AA59" s="203">
        <f>Table_03[[#This Row],[Width w (in)]]*0.5/Table_03[[#This Row],[Flange Thickness tf (in)]]</f>
        <v>8.3432203389830519</v>
      </c>
      <c r="AB59" s="203">
        <f>0.38*SQRT($B$4/Table_03[[#This Row],[Strength (ksi)]])</f>
        <v>9.1516118798821449</v>
      </c>
      <c r="AC59" s="203">
        <f>1*SQRT($B$4/Table_03[[#This Row],[Strength (ksi)]])</f>
        <v>24.083189157584592</v>
      </c>
      <c r="AD59" s="203">
        <f>(PI()^2*$B$4/(12*$B$5/Table_03[[#This Row],[rts]])^2)*SQRT(1+0.078*(Table_03[[#This Row],[J*]]/(Table_03[[#This Row],[Static Parameters Elastic Section Modulus Sx (in3)2]]*Table_03[[#This Row],[ho]])*$B$4/(12*$B$5/Table_03[[#This Row],[rts]])^2))</f>
        <v>34.116492980765166</v>
      </c>
      <c r="AE59" s="203">
        <f>0.69*$B$4/Table_03[[#This Row],[b/t]]^2</f>
        <v>287.46148336287098</v>
      </c>
      <c r="AF59" s="207">
        <f>Table_03[[#This Row],[Strength (ksi)]]*Table_03[[#This Row],[Static Parameters Plastic Section Modulus Zx (in3)]]</f>
        <v>116.5</v>
      </c>
      <c r="AG59" s="203">
        <f>Table_03[[#This Row],[Mp (k-in)]]-(Table_03[[#This Row],[Mp (k-in)]]-0.7*Table_03[[#This Row],[Strength (ksi)]]*Table_03[[#This Row],[Static Parameters Elastic Section Modulus Sx (in3)2]])*((Table_03[[#This Row],[b/t]]-Table_03[[#This Row],[λpf]])/(Table_03[[#This Row],[λrf]]-Table_03[[#This Row],[λpf]]))</f>
        <v>119.11224190338069</v>
      </c>
      <c r="AH59" s="208">
        <f>0.9*$B$4*Table_03[[#This Row],[kc]]*Table_03[[#This Row],[Static Parameters Elastic Section Modulus Sx (in3)2]]/Table_03[[#This Row],[b/t]]^2</f>
        <v>427.91938636601083</v>
      </c>
      <c r="AI59" s="209" t="str">
        <f>IF(Table_03[[#This Row],[b/t]]&lt;Table_03[[#This Row],[λpf]],"Compact",IF(AND(Table_03[[#This Row],[b/t]]&gt;Table_03[[#This Row],[λpf]],Table_03[[#This Row],[λrf]]&gt;Table_03[[#This Row],[b/t]]),"Non-Compact","Slender"))</f>
        <v>Compact</v>
      </c>
      <c r="AJ59" s="210">
        <f>IF(Table_03[[#This Row],[Controlling LBx]]="Compact",Table_03[[#This Row],[Mp (k-in)]],IF(Table_03[[#This Row],[Controlling LBx]]="Non-Compact",Table_03[[#This Row],[Mnlb,Non-Compact (k-in)]],IF(Table_03[[#This Row],[Controlling LBx]]="Slender",Table_03[[#This Row],[Mnlb,slender (k-in)]],"ERROR")))</f>
        <v>116.5</v>
      </c>
      <c r="AK59" s="207">
        <f>Table_03[[#This Row],[Mp (k-in)]]-(Table_03[[#This Row],[Mp (k-in)]]-0.7*Table_03[[#This Row],[Strength (ksi)]]*Table_03[[#This Row],[Static Parameters Elastic Section Modulus Sx (in3)2]])*(($B$5-Table_03[[#This Row],[Lp (ft)]])/(Table_03[[#This Row],[Lr]]-Table_03[[#This Row],[Lp (ft)]]))</f>
        <v>72.773892523053405</v>
      </c>
      <c r="AL59" s="211">
        <f>Table_03[[#This Row],[Fcrx]]*Table_03[[#This Row],[Static Parameters Elastic Section Modulus Sx (in3)2]]</f>
        <v>66.527161312492069</v>
      </c>
      <c r="AM59" s="212" t="str">
        <f>IF($B$5&lt;Table_03[[#This Row],[Lp (ft)]],"Yielding Controls",IF(AND($B$5&gt;Table_03[[#This Row],[Lp (ft)]],Table_03[[#This Row],[Lr]]&gt;$B$5),"Mltb,p Controls","Mltb,r Controls"))</f>
        <v>Mltb,p Controls</v>
      </c>
      <c r="AN59" s="213">
        <f>IF(Table_03[[#This Row],[Controlling LTB]]="Yielding Controls",Table_03[[#This Row],[Mp (k-in)]],IF(Table_03[[#This Row],[Controlling LTB]]="Mltb,p Controls",Table_03[[#This Row],[Mnltbp (k-in)]],IF(Table_03[[#This Row],[Controlling LTB]]="Mltb,r Controls",Table_03[[#This Row],[Mnltbr (k-in)]],"ERROR")))</f>
        <v>72.773892523053405</v>
      </c>
      <c r="AO59" s="214">
        <f>MIN(Table_03[[#This Row],[Strength (ksi)]]*Table_03[[#This Row],[Static Parameters Plastic Section Modulus Zy (in3)]],1.6*Table_03[[#This Row],[Strength (ksi)]]*Table_03[[#This Row],[Static Parameters Elastic Section Modulus Sy (in3)3]])</f>
        <v>34.35</v>
      </c>
      <c r="AP59" s="206">
        <f>MIN(Table_03[[#This Row],[Mny (k-in)]],Table_03[[#This Row],[Mny (k-in)]]-(Table_03[[#This Row],[Mny (k-in)]]-0.7*Table_03[[#This Row],[Static Parameters Elastic Section Modulus Sy (in3)3]]*Table_03[[#This Row],[Strength (ksi)]])*((Table_03[[#This Row],[b/t]]-Table_03[[#This Row],[λpf]])/(Table_03[[#This Row],[λrf]]-Table_03[[#This Row],[λpf]])))</f>
        <v>34.35</v>
      </c>
      <c r="AQ59" s="211">
        <f>MIN(Table_03[[#This Row],[Mny (k-in)]],Table_03[[#This Row],[Fcry]]*Table_03[[#This Row],[Static Parameters Elastic Section Modulus Sy (in3)3]])</f>
        <v>34.35</v>
      </c>
      <c r="AR59" s="212" t="str">
        <f>IF(Table_03[[#This Row],[b/t]]&lt;Table_03[[#This Row],[λpf]],"Compact",IF(AND(Table_03[[#This Row],[b/t]]&gt;Table_03[[#This Row],[λpf]],Table_03[[#This Row],[λrf]]&gt;Table_03[[#This Row],[b/t]]),"Non-Compact","Slender"))</f>
        <v>Compact</v>
      </c>
      <c r="AS59" s="213">
        <f>IF(Table_03[[#This Row],[Controlling Lby]]="Compact",Table_03[[#This Row],[Mny (k-in)]],IF(Table_03[[#This Row],[Controlling Lby]]="Non-Compact",Table_03[[#This Row],[Mlby,Non-Compact (k-in)]],IF(Table_03[[#This Row],[Controlling Lby]]="Slender",Table_03[[#This Row],[Mlby,Slender (k-in)]],"ERROR")))</f>
        <v>34.35</v>
      </c>
      <c r="AT59" s="214">
        <f>MIN(Table_03[[#This Row],[LBx]],Table_03[[#This Row],[LTB]],Table_03[[#This Row],[Mp (k-in)]])</f>
        <v>72.773892523053405</v>
      </c>
      <c r="AU59" s="206">
        <f>Table_03[[#This Row],[Mp (k-in)]]</f>
        <v>116.5</v>
      </c>
      <c r="AV59" s="206">
        <f>MIN(Table_03[[#This Row],[LBy]],Table_03[[#This Row],[Mny (k-in)]])</f>
        <v>34.35</v>
      </c>
      <c r="AW59" s="215">
        <f>Table_03[[#This Row],[Mny (k-in)]]</f>
        <v>34.35</v>
      </c>
      <c r="AX59" s="169"/>
      <c r="AY59" s="165">
        <f>IF(4/SQRT((Table_03[[#This Row],[Depth h (in)]]-Table_03[[#This Row],[Flange Thickness tf (in)]]*2)/Table_03[[#This Row],[Web Thickness tw (in)]])&lt;0.35,0.35,IF(4/SQRT(Table_03[[#This Row],[Depth h (in)]]/Table_03[[#This Row],[Web Thickness tw (in)]])&gt;0.76,0.76,4/SQRT(Table_03[[#This Row],[Depth h (in)]]/Table_03[[#This Row],[Web Thickness tw (in)]])))</f>
        <v>0.58526731322772396</v>
      </c>
      <c r="AZ59" s="169"/>
    </row>
    <row r="60" spans="1:52" x14ac:dyDescent="0.3">
      <c r="A60" s="179" t="s">
        <v>158</v>
      </c>
      <c r="B60" s="180">
        <f>B59-$B$1*2</f>
        <v>5.5118</v>
      </c>
      <c r="C60" s="180">
        <f>C59-$B$1*2</f>
        <v>1.9690000000000001</v>
      </c>
      <c r="D60" s="180">
        <f>D59-$B$1*2</f>
        <v>0.11799999999999999</v>
      </c>
      <c r="E60" s="180">
        <f>E59-$B$1*2</f>
        <v>0.11799999999999999</v>
      </c>
      <c r="F60" s="181">
        <v>1.07</v>
      </c>
      <c r="G60" s="180"/>
      <c r="H60" s="180">
        <v>4.68</v>
      </c>
      <c r="I60" s="180">
        <v>0.54200000000000004</v>
      </c>
      <c r="J60" s="181">
        <v>2.04</v>
      </c>
      <c r="K60" s="181">
        <v>0.59799999999999998</v>
      </c>
      <c r="L60" s="181">
        <v>1.7</v>
      </c>
      <c r="M60" s="181">
        <v>0.40300000000000002</v>
      </c>
      <c r="N60" s="182">
        <v>50</v>
      </c>
      <c r="O60" s="181">
        <f>SQRT(Table_03[[#This Row],[Static Parameters Moment of Inertia Ix (in4)]]/Table_03[[#This Row],[Sectional Area (in2)]])</f>
        <v>2.0913707886697024</v>
      </c>
      <c r="P60" s="181">
        <f>SQRT(Table_03[[#This Row],[Static Parameters Moment of Inertia Iy (in4)]]/Table_03[[#This Row],[Sectional Area (in2)]])</f>
        <v>0.71171768003525548</v>
      </c>
      <c r="Q60" s="181">
        <f>($B$6*$B$5*12)/Table_03[[#This Row],[ry (in)2]]</f>
        <v>252.27699836135287</v>
      </c>
      <c r="R60" s="181">
        <f>(PI()^2*$B$4)/(Table_03[[#This Row],[KL/ry]]^2)</f>
        <v>4.497202394370424</v>
      </c>
      <c r="S60" s="181">
        <f>IF(Table_03[[#This Row],[Strength (ksi)]]/Table_03[[#This Row],[Fe,y]]&lt;2.25,(0.658^(Table_03[[#This Row],[Strength (ksi)]]/Table_03[[#This Row],[Fe,y]])*Table_03[[#This Row],[Strength (ksi)]]),0.877*Table_03[[#This Row],[Fe,y]])</f>
        <v>3.9440464998628619</v>
      </c>
      <c r="T60" s="181">
        <f>Table_03[[#This Row],[Fcr,y]]*Table_03[[#This Row],[Sectional Area (in2)]]</f>
        <v>4.2201297548532626</v>
      </c>
      <c r="U60" s="181">
        <f>1.76*Table_03[[#This Row],[ry (in)2]]*SQRT($B$4/Table_03[[#This Row],[Strength (ksi)]])/12</f>
        <v>2.513929955545994</v>
      </c>
      <c r="V60"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7.6313788035966326</v>
      </c>
      <c r="W60" s="181">
        <f>Table_03[[#This Row],[Depth h (in)]]-Table_03[[#This Row],[Flange Thickness tf (in)]]</f>
        <v>5.3937999999999997</v>
      </c>
      <c r="X60" s="181">
        <f>(Table_03[[#This Row],[Static Parameters Moment of Inertia Iy (in4)]]*Table_03[[#This Row],[ho]]^2)/4</f>
        <v>3.9421121286199998</v>
      </c>
      <c r="Y60" s="181">
        <f>SQRT((SQRT(Table_03[[#This Row],[Static Parameters Moment of Inertia Iy (in4)]]*Table_03[[#This Row],[Cw*]])/Table_03[[#This Row],[Static Parameters Elastic Section Modulus Sx (in3)2]]))</f>
        <v>0.9272729783998821</v>
      </c>
      <c r="Z60" s="181">
        <f>(2*Table_03[[#This Row],[Width w (in)]]*Table_03[[#This Row],[Flange Thickness tf (in)]]^3/3)+((Table_03[[#This Row],[Depth h (in)]]-Table_03[[#This Row],[Flange Thickness tf (in)]]*2)*Table_03[[#This Row],[Web Thickness tw (in)]]^3)/3</f>
        <v>5.0461894138666662E-3</v>
      </c>
      <c r="AA60" s="181">
        <f>Table_03[[#This Row],[Width w (in)]]*0.5/Table_03[[#This Row],[Flange Thickness tf (in)]]</f>
        <v>8.3432203389830519</v>
      </c>
      <c r="AB60" s="181">
        <f>0.38*SQRT($B$4/Table_03[[#This Row],[Strength (ksi)]])</f>
        <v>9.1516118798821449</v>
      </c>
      <c r="AC60" s="181">
        <f>1*SQRT($B$4/Table_03[[#This Row],[Strength (ksi)]])</f>
        <v>24.083189157584592</v>
      </c>
      <c r="AD60" s="181">
        <f>(PI()^2*$B$4/(12*$B$5/Table_03[[#This Row],[rts]])^2)*SQRT(1+0.078*(Table_03[[#This Row],[J*]]/(Table_03[[#This Row],[Static Parameters Elastic Section Modulus Sx (in3)2]]*Table_03[[#This Row],[ho]])*$B$4/(12*$B$5/Table_03[[#This Row],[rts]])^2))</f>
        <v>33.667627561771042</v>
      </c>
      <c r="AE60" s="181">
        <f>0.69*$B$4/Table_03[[#This Row],[b/t]]^2</f>
        <v>287.46148336287098</v>
      </c>
      <c r="AF60" s="183">
        <f>Table_03[[#This Row],[Strength (ksi)]]*Table_03[[#This Row],[Static Parameters Plastic Section Modulus Zx (in3)]]</f>
        <v>102</v>
      </c>
      <c r="AG60" s="181">
        <f>Table_03[[#This Row],[Mp (k-in)]]-(Table_03[[#This Row],[Mp (k-in)]]-0.7*Table_03[[#This Row],[Strength (ksi)]]*Table_03[[#This Row],[Static Parameters Elastic Section Modulus Sx (in3)2]])*((Table_03[[#This Row],[b/t]]-Table_03[[#This Row],[λpf]])/(Table_03[[#This Row],[λrf]]-Table_03[[#This Row],[λpf]]))</f>
        <v>104.30093846411771</v>
      </c>
      <c r="AH60" s="184">
        <f>0.9*$B$4*Table_03[[#This Row],[kc]]*Table_03[[#This Row],[Static Parameters Elastic Section Modulus Sx (in3)2]]/Table_03[[#This Row],[b/t]]^2</f>
        <v>373.05792657549665</v>
      </c>
      <c r="AI60" s="185" t="str">
        <f>IF(Table_03[[#This Row],[b/t]]&lt;Table_03[[#This Row],[λpf]],"Compact",IF(AND(Table_03[[#This Row],[b/t]]&gt;Table_03[[#This Row],[λpf]],Table_03[[#This Row],[λrf]]&gt;Table_03[[#This Row],[b/t]]),"Non-Compact","Slender"))</f>
        <v>Compact</v>
      </c>
      <c r="AJ60" s="186">
        <f>IF(Table_03[[#This Row],[Controlling LBx]]="Compact",Table_03[[#This Row],[Mp (k-in)]],IF(Table_03[[#This Row],[Controlling LBx]]="Non-Compact",Table_03[[#This Row],[Mnlb,Non-Compact (k-in)]],IF(Table_03[[#This Row],[Controlling LBx]]="Slender",Table_03[[#This Row],[Mnlb,slender (k-in)]],"ERROR")))</f>
        <v>102</v>
      </c>
      <c r="AK60" s="183">
        <f>Table_03[[#This Row],[Mp (k-in)]]-(Table_03[[#This Row],[Mp (k-in)]]-0.7*Table_03[[#This Row],[Strength (ksi)]]*Table_03[[#This Row],[Static Parameters Elastic Section Modulus Sx (in3)2]])*(($B$5-Table_03[[#This Row],[Lp (ft)]])/(Table_03[[#This Row],[Lr]]-Table_03[[#This Row],[Lp (ft)]]))</f>
        <v>63.705435128297331</v>
      </c>
      <c r="AL60" s="184">
        <f>Table_03[[#This Row],[Fcrx]]*Table_03[[#This Row],[Static Parameters Elastic Section Modulus Sx (in3)2]]</f>
        <v>57.234966855010768</v>
      </c>
      <c r="AM60" s="185" t="str">
        <f>IF($B$5&lt;Table_03[[#This Row],[Lp (ft)]],"Yielding Controls",IF(AND($B$5&gt;Table_03[[#This Row],[Lp (ft)]],Table_03[[#This Row],[Lr]]&gt;$B$5),"Mltb,p Controls","Mltb,r Controls"))</f>
        <v>Mltb,p Controls</v>
      </c>
      <c r="AN60" s="186">
        <f>IF(Table_03[[#This Row],[Controlling LTB]]="Yielding Controls",Table_03[[#This Row],[Mp (k-in)]],IF(Table_03[[#This Row],[Controlling LTB]]="Mltb,p Controls",Table_03[[#This Row],[Mnltbp (k-in)]],IF(Table_03[[#This Row],[Controlling LTB]]="Mltb,r Controls",Table_03[[#This Row],[Mnltbr (k-in)]],"ERROR")))</f>
        <v>63.705435128297331</v>
      </c>
      <c r="AO60" s="183">
        <f>MIN(Table_03[[#This Row],[Strength (ksi)]]*Table_03[[#This Row],[Static Parameters Plastic Section Modulus Zy (in3)]],1.6*Table_03[[#This Row],[Strength (ksi)]]*Table_03[[#This Row],[Static Parameters Elastic Section Modulus Sy (in3)3]])</f>
        <v>29.9</v>
      </c>
      <c r="AP60" s="181">
        <f>MIN(Table_03[[#This Row],[Mny (k-in)]],Table_03[[#This Row],[Mny (k-in)]]-(Table_03[[#This Row],[Mny (k-in)]]-0.7*Table_03[[#This Row],[Static Parameters Elastic Section Modulus Sy (in3)3]]*Table_03[[#This Row],[Strength (ksi)]])*((Table_03[[#This Row],[b/t]]-Table_03[[#This Row],[λpf]])/(Table_03[[#This Row],[λrf]]-Table_03[[#This Row],[λpf]])))</f>
        <v>29.9</v>
      </c>
      <c r="AQ60" s="184">
        <f>MIN(Table_03[[#This Row],[Mny (k-in)]],Table_03[[#This Row],[Fcry]]*Table_03[[#This Row],[Static Parameters Elastic Section Modulus Sy (in3)3]])</f>
        <v>29.9</v>
      </c>
      <c r="AR60" s="185" t="str">
        <f>IF(Table_03[[#This Row],[b/t]]&lt;Table_03[[#This Row],[λpf]],"Compact",IF(AND(Table_03[[#This Row],[b/t]]&gt;Table_03[[#This Row],[λpf]],Table_03[[#This Row],[λrf]]&gt;Table_03[[#This Row],[b/t]]),"Non-Compact","Slender"))</f>
        <v>Compact</v>
      </c>
      <c r="AS60" s="186">
        <f>IF(Table_03[[#This Row],[Controlling Lby]]="Compact",Table_03[[#This Row],[Mny (k-in)]],IF(Table_03[[#This Row],[Controlling Lby]]="Non-Compact",Table_03[[#This Row],[Mlby,Non-Compact (k-in)]],IF(Table_03[[#This Row],[Controlling Lby]]="Slender",Table_03[[#This Row],[Mlby,Slender (k-in)]],"ERROR")))</f>
        <v>29.9</v>
      </c>
      <c r="AT60" s="183">
        <f>MIN(Table_03[[#This Row],[LBx]],Table_03[[#This Row],[LTB]],Table_03[[#This Row],[Mp (k-in)]])</f>
        <v>63.705435128297331</v>
      </c>
      <c r="AU60" s="181">
        <f>Table_03[[#This Row],[Mp (k-in)]]</f>
        <v>102</v>
      </c>
      <c r="AV60" s="181">
        <f>MIN(Table_03[[#This Row],[LBy]],Table_03[[#This Row],[Mny (k-in)]])</f>
        <v>29.9</v>
      </c>
      <c r="AW60" s="187">
        <f>Table_03[[#This Row],[Mny (k-in)]]</f>
        <v>29.9</v>
      </c>
      <c r="AX60" s="169"/>
      <c r="AY60" s="165">
        <f>IF(4/SQRT((Table_03[[#This Row],[Depth h (in)]]-Table_03[[#This Row],[Flange Thickness tf (in)]]*2)/Table_03[[#This Row],[Web Thickness tw (in)]])&lt;0.35,0.35,IF(4/SQRT(Table_03[[#This Row],[Depth h (in)]]/Table_03[[#This Row],[Web Thickness tw (in)]])&gt;0.76,0.76,4/SQRT(Table_03[[#This Row],[Depth h (in)]]/Table_03[[#This Row],[Web Thickness tw (in)]])))</f>
        <v>0.58526731322772396</v>
      </c>
      <c r="AZ60" s="169"/>
    </row>
    <row r="61" spans="1:52" x14ac:dyDescent="0.3">
      <c r="A61" s="188" t="s">
        <v>159</v>
      </c>
      <c r="B61" s="189">
        <f>B59-$B$2*2</f>
        <v>5.5118</v>
      </c>
      <c r="C61" s="189">
        <f>C59-$B$2*2</f>
        <v>1.9690000000000001</v>
      </c>
      <c r="D61" s="189">
        <f>D59-$B$2*2</f>
        <v>0.11799999999999999</v>
      </c>
      <c r="E61" s="189">
        <f>E59-$B$2*2</f>
        <v>0.11799999999999999</v>
      </c>
      <c r="F61" s="190"/>
      <c r="G61" s="189"/>
      <c r="H61" s="190"/>
      <c r="I61" s="190"/>
      <c r="J61" s="190"/>
      <c r="K61" s="190"/>
      <c r="L61" s="190"/>
      <c r="M61" s="190"/>
      <c r="N61" s="191">
        <v>50</v>
      </c>
      <c r="O61" s="169" t="e">
        <f>SQRT(Table_03[[#This Row],[Static Parameters Moment of Inertia Ix (in4)]]/Table_03[[#This Row],[Sectional Area (in2)]])</f>
        <v>#DIV/0!</v>
      </c>
      <c r="P61" s="190" t="e">
        <f>SQRT(Table_03[[#This Row],[Static Parameters Moment of Inertia Iy (in4)]]/Table_03[[#This Row],[Sectional Area (in2)]])</f>
        <v>#DIV/0!</v>
      </c>
      <c r="Q61" s="190" t="e">
        <f>($B$6*$B$5*12)/Table_03[[#This Row],[ry (in)2]]</f>
        <v>#DIV/0!</v>
      </c>
      <c r="R61" s="190" t="e">
        <f>(PI()^2*$B$4)/(Table_03[[#This Row],[KL/ry]]^2)</f>
        <v>#DIV/0!</v>
      </c>
      <c r="S61" s="190" t="e">
        <f>IF(Table_03[[#This Row],[Strength (ksi)]]/Table_03[[#This Row],[Fe,y]]&lt;2.25,(0.658^(Table_03[[#This Row],[Strength (ksi)]]/Table_03[[#This Row],[Fe,y]])*Table_03[[#This Row],[Strength (ksi)]]),0.877*Table_03[[#This Row],[Fe,y]])</f>
        <v>#DIV/0!</v>
      </c>
      <c r="T61" s="190" t="e">
        <f>Table_03[[#This Row],[Fcr,y]]*Table_03[[#This Row],[Sectional Area (in2)]]</f>
        <v>#DIV/0!</v>
      </c>
      <c r="U61" s="190" t="e">
        <f>1.76*Table_03[[#This Row],[ry (in)2]]*SQRT($B$4/Table_03[[#This Row],[Strength (ksi)]])/12</f>
        <v>#DIV/0!</v>
      </c>
      <c r="V61" s="190"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61" s="190">
        <f>Table_03[[#This Row],[Depth h (in)]]-Table_03[[#This Row],[Flange Thickness tf (in)]]</f>
        <v>5.3937999999999997</v>
      </c>
      <c r="X61" s="190">
        <f>(Table_03[[#This Row],[Static Parameters Moment of Inertia Iy (in4)]]*Table_03[[#This Row],[ho]]^2)/4</f>
        <v>0</v>
      </c>
      <c r="Y61" s="190" t="e">
        <f>SQRT((SQRT(Table_03[[#This Row],[Static Parameters Moment of Inertia Iy (in4)]]*Table_03[[#This Row],[Cw*]])/Table_03[[#This Row],[Static Parameters Elastic Section Modulus Sx (in3)2]]))</f>
        <v>#DIV/0!</v>
      </c>
      <c r="Z61" s="190">
        <f>(2*Table_03[[#This Row],[Width w (in)]]*Table_03[[#This Row],[Flange Thickness tf (in)]]^3/3)+((Table_03[[#This Row],[Depth h (in)]]-Table_03[[#This Row],[Flange Thickness tf (in)]]*2)*Table_03[[#This Row],[Web Thickness tw (in)]]^3)/3</f>
        <v>5.0461894138666662E-3</v>
      </c>
      <c r="AA61" s="190">
        <f>Table_03[[#This Row],[Width w (in)]]*0.5/Table_03[[#This Row],[Flange Thickness tf (in)]]</f>
        <v>8.3432203389830519</v>
      </c>
      <c r="AB61" s="190">
        <f>0.38*SQRT($B$4/Table_03[[#This Row],[Strength (ksi)]])</f>
        <v>9.1516118798821449</v>
      </c>
      <c r="AC61" s="190">
        <f>1*SQRT($B$4/Table_03[[#This Row],[Strength (ksi)]])</f>
        <v>24.083189157584592</v>
      </c>
      <c r="AD61" s="190" t="e">
        <f>(PI()^2*$B$4/(12*$B$5/Table_03[[#This Row],[rts]])^2)*SQRT(1+0.078*(Table_03[[#This Row],[J*]]/(Table_03[[#This Row],[Static Parameters Elastic Section Modulus Sx (in3)2]]*Table_03[[#This Row],[ho]])*$B$4/(12*$B$5/Table_03[[#This Row],[rts]])^2))</f>
        <v>#DIV/0!</v>
      </c>
      <c r="AE61" s="190">
        <f>0.69*$B$4/Table_03[[#This Row],[b/t]]^2</f>
        <v>287.46148336287098</v>
      </c>
      <c r="AF61" s="192">
        <f>Table_03[[#This Row],[Strength (ksi)]]*Table_03[[#This Row],[Static Parameters Plastic Section Modulus Zx (in3)]]</f>
        <v>0</v>
      </c>
      <c r="AG61" s="190">
        <f>Table_03[[#This Row],[Mp (k-in)]]-(Table_03[[#This Row],[Mp (k-in)]]-0.7*Table_03[[#This Row],[Strength (ksi)]]*Table_03[[#This Row],[Static Parameters Elastic Section Modulus Sx (in3)2]])*((Table_03[[#This Row],[b/t]]-Table_03[[#This Row],[λpf]])/(Table_03[[#This Row],[λrf]]-Table_03[[#This Row],[λpf]]))</f>
        <v>0</v>
      </c>
      <c r="AH61" s="193">
        <f>0.9*$B$4*Table_03[[#This Row],[kc]]*Table_03[[#This Row],[Static Parameters Elastic Section Modulus Sx (in3)2]]/Table_03[[#This Row],[b/t]]^2</f>
        <v>0</v>
      </c>
      <c r="AI61" s="194" t="str">
        <f>IF(Table_03[[#This Row],[b/t]]&lt;Table_03[[#This Row],[λpf]],"Compact",IF(AND(Table_03[[#This Row],[b/t]]&gt;Table_03[[#This Row],[λpf]],Table_03[[#This Row],[λrf]]&gt;Table_03[[#This Row],[b/t]]),"Non-Compact","Slender"))</f>
        <v>Compact</v>
      </c>
      <c r="AJ61" s="195">
        <f>IF(Table_03[[#This Row],[Controlling LBx]]="Compact",Table_03[[#This Row],[Mp (k-in)]],IF(Table_03[[#This Row],[Controlling LBx]]="Non-Compact",Table_03[[#This Row],[Mnlb,Non-Compact (k-in)]],IF(Table_03[[#This Row],[Controlling LBx]]="Slender",Table_03[[#This Row],[Mnlb,slender (k-in)]],"ERROR")))</f>
        <v>0</v>
      </c>
      <c r="AK61" s="192" t="e">
        <f>Table_03[[#This Row],[Mp (k-in)]]-(Table_03[[#This Row],[Mp (k-in)]]-0.7*Table_03[[#This Row],[Strength (ksi)]]*Table_03[[#This Row],[Static Parameters Elastic Section Modulus Sx (in3)2]])*(($B$5-Table_03[[#This Row],[Lp (ft)]])/(Table_03[[#This Row],[Lr]]-Table_03[[#This Row],[Lp (ft)]]))</f>
        <v>#DIV/0!</v>
      </c>
      <c r="AL61" s="196" t="e">
        <f>Table_03[[#This Row],[Fcrx]]*Table_03[[#This Row],[Static Parameters Elastic Section Modulus Sx (in3)2]]</f>
        <v>#DIV/0!</v>
      </c>
      <c r="AM61" s="197" t="e">
        <f>IF($B$5&lt;Table_03[[#This Row],[Lp (ft)]],"Yielding Controls",IF(AND($B$5&gt;Table_03[[#This Row],[Lp (ft)]],Table_03[[#This Row],[Lr]]&gt;$B$5),"Mltb,p Controls","Mltb,r Controls"))</f>
        <v>#DIV/0!</v>
      </c>
      <c r="AN61" s="198" t="e">
        <f>IF(Table_03[[#This Row],[Controlling LTB]]="Yielding Controls",Table_03[[#This Row],[Mp (k-in)]],IF(Table_03[[#This Row],[Controlling LTB]]="Mltb,p Controls",Table_03[[#This Row],[Mnltbp (k-in)]],IF(Table_03[[#This Row],[Controlling LTB]]="Mltb,r Controls",Table_03[[#This Row],[Mnltbr (k-in)]],"ERROR")))</f>
        <v>#DIV/0!</v>
      </c>
      <c r="AO61" s="199">
        <f>MIN(Table_03[[#This Row],[Strength (ksi)]]*Table_03[[#This Row],[Static Parameters Plastic Section Modulus Zy (in3)]],1.6*Table_03[[#This Row],[Strength (ksi)]]*Table_03[[#This Row],[Static Parameters Elastic Section Modulus Sy (in3)3]])</f>
        <v>0</v>
      </c>
      <c r="AP61" s="169">
        <f>MIN(Table_03[[#This Row],[Mny (k-in)]],Table_03[[#This Row],[Mny (k-in)]]-(Table_03[[#This Row],[Mny (k-in)]]-0.7*Table_03[[#This Row],[Static Parameters Elastic Section Modulus Sy (in3)3]]*Table_03[[#This Row],[Strength (ksi)]])*((Table_03[[#This Row],[b/t]]-Table_03[[#This Row],[λpf]])/(Table_03[[#This Row],[λrf]]-Table_03[[#This Row],[λpf]])))</f>
        <v>0</v>
      </c>
      <c r="AQ61" s="196">
        <f>MIN(Table_03[[#This Row],[Mny (k-in)]],Table_03[[#This Row],[Fcry]]*Table_03[[#This Row],[Static Parameters Elastic Section Modulus Sy (in3)3]])</f>
        <v>0</v>
      </c>
      <c r="AR61" s="197" t="str">
        <f>IF(Table_03[[#This Row],[b/t]]&lt;Table_03[[#This Row],[λpf]],"Compact",IF(AND(Table_03[[#This Row],[b/t]]&gt;Table_03[[#This Row],[λpf]],Table_03[[#This Row],[λrf]]&gt;Table_03[[#This Row],[b/t]]),"Non-Compact","Slender"))</f>
        <v>Compact</v>
      </c>
      <c r="AS61" s="198">
        <f>IF(Table_03[[#This Row],[Controlling Lby]]="Compact",Table_03[[#This Row],[Mny (k-in)]],IF(Table_03[[#This Row],[Controlling Lby]]="Non-Compact",Table_03[[#This Row],[Mlby,Non-Compact (k-in)]],IF(Table_03[[#This Row],[Controlling Lby]]="Slender",Table_03[[#This Row],[Mlby,Slender (k-in)]],"ERROR")))</f>
        <v>0</v>
      </c>
      <c r="AT61" s="199" t="e">
        <f>MIN(Table_03[[#This Row],[LBx]],Table_03[[#This Row],[LTB]],Table_03[[#This Row],[Mp (k-in)]])</f>
        <v>#DIV/0!</v>
      </c>
      <c r="AU61" s="169">
        <f>Table_03[[#This Row],[Mp (k-in)]]</f>
        <v>0</v>
      </c>
      <c r="AV61" s="169">
        <f>MIN(Table_03[[#This Row],[LBy]],Table_03[[#This Row],[Mny (k-in)]])</f>
        <v>0</v>
      </c>
      <c r="AW61" s="200">
        <f>Table_03[[#This Row],[Mny (k-in)]]</f>
        <v>0</v>
      </c>
      <c r="AX61" s="169"/>
      <c r="AY61" s="165">
        <f>IF(4/SQRT((Table_03[[#This Row],[Depth h (in)]]-Table_03[[#This Row],[Flange Thickness tf (in)]]*2)/Table_03[[#This Row],[Web Thickness tw (in)]])&lt;0.35,0.35,IF(4/SQRT(Table_03[[#This Row],[Depth h (in)]]/Table_03[[#This Row],[Web Thickness tw (in)]])&gt;0.76,0.76,4/SQRT(Table_03[[#This Row],[Depth h (in)]]/Table_03[[#This Row],[Web Thickness tw (in)]])))</f>
        <v>0.58526731322772396</v>
      </c>
      <c r="AZ61" s="169"/>
    </row>
    <row r="62" spans="1:52" s="216" customFormat="1" ht="14.4" thickBot="1" x14ac:dyDescent="0.35">
      <c r="A62" s="201" t="s">
        <v>160</v>
      </c>
      <c r="B62" s="202">
        <v>5.5118</v>
      </c>
      <c r="C62" s="202">
        <v>1.9690000000000001</v>
      </c>
      <c r="D62" s="202">
        <v>0.157</v>
      </c>
      <c r="E62" s="202">
        <v>0.157</v>
      </c>
      <c r="F62" s="203">
        <v>1.57</v>
      </c>
      <c r="G62" s="204"/>
      <c r="H62" s="203">
        <v>6.85</v>
      </c>
      <c r="I62" s="203">
        <v>0.78</v>
      </c>
      <c r="J62" s="203">
        <v>3</v>
      </c>
      <c r="K62" s="203">
        <v>0.86799999999999999</v>
      </c>
      <c r="L62" s="203">
        <v>2.4900000000000002</v>
      </c>
      <c r="M62" s="203">
        <v>0.58099999999999996</v>
      </c>
      <c r="N62" s="205">
        <v>50</v>
      </c>
      <c r="O62" s="206">
        <f>SQRT(Table_03[[#This Row],[Static Parameters Moment of Inertia Ix (in4)]]/Table_03[[#This Row],[Sectional Area (in2)]])</f>
        <v>2.0887932700104055</v>
      </c>
      <c r="P62" s="203">
        <f>SQRT(Table_03[[#This Row],[Static Parameters Moment of Inertia Iy (in4)]]/Table_03[[#This Row],[Sectional Area (in2)]])</f>
        <v>0.70485125141706584</v>
      </c>
      <c r="Q62" s="203">
        <f>($B$6*$B$5*12)/Table_03[[#This Row],[ry (in)2]]</f>
        <v>254.73459774530343</v>
      </c>
      <c r="R62" s="203">
        <f>(PI()^2*$B$4)/(Table_03[[#This Row],[KL/ry]]^2)</f>
        <v>4.4108457921140811</v>
      </c>
      <c r="S62" s="203">
        <f>IF(Table_03[[#This Row],[Strength (ksi)]]/Table_03[[#This Row],[Fe,y]]&lt;2.25,(0.658^(Table_03[[#This Row],[Strength (ksi)]]/Table_03[[#This Row],[Fe,y]])*Table_03[[#This Row],[Strength (ksi)]]),0.877*Table_03[[#This Row],[Fe,y]])</f>
        <v>3.8683117596840493</v>
      </c>
      <c r="T62" s="203">
        <f>Table_03[[#This Row],[Fcr,y]]*Table_03[[#This Row],[Sectional Area (in2)]]</f>
        <v>6.0732494627039575</v>
      </c>
      <c r="U62" s="203">
        <f>1.76*Table_03[[#This Row],[ry (in)2]]*SQRT($B$4/Table_03[[#This Row],[Strength (ksi)]])/12</f>
        <v>2.4896763489894869</v>
      </c>
      <c r="V6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7.9376443367122498</v>
      </c>
      <c r="W62" s="203">
        <f>Table_03[[#This Row],[Depth h (in)]]-Table_03[[#This Row],[Flange Thickness tf (in)]]</f>
        <v>5.3548</v>
      </c>
      <c r="X62" s="203">
        <f>(Table_03[[#This Row],[Static Parameters Moment of Inertia Iy (in4)]]*Table_03[[#This Row],[ho]]^2)/4</f>
        <v>5.5914071928000002</v>
      </c>
      <c r="Y62" s="203">
        <f>SQRT((SQRT(Table_03[[#This Row],[Static Parameters Moment of Inertia Iy (in4)]]*Table_03[[#This Row],[Cw*]])/Table_03[[#This Row],[Static Parameters Elastic Section Modulus Sx (in3)2]]))</f>
        <v>0.91580762961324536</v>
      </c>
      <c r="Z62" s="203">
        <f>(2*Table_03[[#This Row],[Width w (in)]]*Table_03[[#This Row],[Flange Thickness tf (in)]]^3/3)+((Table_03[[#This Row],[Depth h (in)]]-Table_03[[#This Row],[Flange Thickness tf (in)]]*2)*Table_03[[#This Row],[Web Thickness tw (in)]]^3)/3</f>
        <v>1.1784856156466668E-2</v>
      </c>
      <c r="AA62" s="203">
        <f>Table_03[[#This Row],[Width w (in)]]*0.5/Table_03[[#This Row],[Flange Thickness tf (in)]]</f>
        <v>6.2707006369426752</v>
      </c>
      <c r="AB62" s="203">
        <f>0.38*SQRT($B$4/Table_03[[#This Row],[Strength (ksi)]])</f>
        <v>9.1516118798821449</v>
      </c>
      <c r="AC62" s="203">
        <f>1*SQRT($B$4/Table_03[[#This Row],[Strength (ksi)]])</f>
        <v>24.083189157584592</v>
      </c>
      <c r="AD62" s="203">
        <f>(PI()^2*$B$4/(12*$B$5/Table_03[[#This Row],[rts]])^2)*SQRT(1+0.078*(Table_03[[#This Row],[J*]]/(Table_03[[#This Row],[Static Parameters Elastic Section Modulus Sx (in3)2]]*Table_03[[#This Row],[ho]])*$B$4/(12*$B$5/Table_03[[#This Row],[rts]])^2))</f>
        <v>32.841564020111406</v>
      </c>
      <c r="AE62" s="203">
        <f>0.69*$B$4/Table_03[[#This Row],[b/t]]^2</f>
        <v>508.87949607953237</v>
      </c>
      <c r="AF62" s="207">
        <f>Table_03[[#This Row],[Strength (ksi)]]*Table_03[[#This Row],[Static Parameters Plastic Section Modulus Zx (in3)]]</f>
        <v>150</v>
      </c>
      <c r="AG62" s="203">
        <f>Table_03[[#This Row],[Mp (k-in)]]-(Table_03[[#This Row],[Mp (k-in)]]-0.7*Table_03[[#This Row],[Strength (ksi)]]*Table_03[[#This Row],[Static Parameters Elastic Section Modulus Sx (in3)2]])*((Table_03[[#This Row],[b/t]]-Table_03[[#This Row],[λpf]])/(Table_03[[#This Row],[λrf]]-Table_03[[#This Row],[λpf]]))</f>
        <v>162.12633255356977</v>
      </c>
      <c r="AH62" s="208">
        <f>0.9*$B$4*Table_03[[#This Row],[kc]]*Table_03[[#This Row],[Static Parameters Elastic Section Modulus Sx (in3)2]]/Table_03[[#This Row],[b/t]]^2</f>
        <v>1115.7600583395072</v>
      </c>
      <c r="AI62" s="209" t="str">
        <f>IF(Table_03[[#This Row],[b/t]]&lt;Table_03[[#This Row],[λpf]],"Compact",IF(AND(Table_03[[#This Row],[b/t]]&gt;Table_03[[#This Row],[λpf]],Table_03[[#This Row],[λrf]]&gt;Table_03[[#This Row],[b/t]]),"Non-Compact","Slender"))</f>
        <v>Compact</v>
      </c>
      <c r="AJ62" s="210">
        <f>IF(Table_03[[#This Row],[Controlling LBx]]="Compact",Table_03[[#This Row],[Mp (k-in)]],IF(Table_03[[#This Row],[Controlling LBx]]="Non-Compact",Table_03[[#This Row],[Mnlb,Non-Compact (k-in)]],IF(Table_03[[#This Row],[Controlling LBx]]="Slender",Table_03[[#This Row],[Mnlb,slender (k-in)]],"ERROR")))</f>
        <v>150</v>
      </c>
      <c r="AK62" s="207">
        <f>Table_03[[#This Row],[Mp (k-in)]]-(Table_03[[#This Row],[Mp (k-in)]]-0.7*Table_03[[#This Row],[Strength (ksi)]]*Table_03[[#This Row],[Static Parameters Elastic Section Modulus Sx (in3)2]])*(($B$5-Table_03[[#This Row],[Lp (ft)]])/(Table_03[[#This Row],[Lr]]-Table_03[[#This Row],[Lp (ft)]]))</f>
        <v>96.52499939013299</v>
      </c>
      <c r="AL62" s="211">
        <f>Table_03[[#This Row],[Fcrx]]*Table_03[[#This Row],[Static Parameters Elastic Section Modulus Sx (in3)2]]</f>
        <v>81.775494410077414</v>
      </c>
      <c r="AM62" s="212" t="str">
        <f>IF($B$5&lt;Table_03[[#This Row],[Lp (ft)]],"Yielding Controls",IF(AND($B$5&gt;Table_03[[#This Row],[Lp (ft)]],Table_03[[#This Row],[Lr]]&gt;$B$5),"Mltb,p Controls","Mltb,r Controls"))</f>
        <v>Mltb,p Controls</v>
      </c>
      <c r="AN62" s="213">
        <f>IF(Table_03[[#This Row],[Controlling LTB]]="Yielding Controls",Table_03[[#This Row],[Mp (k-in)]],IF(Table_03[[#This Row],[Controlling LTB]]="Mltb,p Controls",Table_03[[#This Row],[Mnltbp (k-in)]],IF(Table_03[[#This Row],[Controlling LTB]]="Mltb,r Controls",Table_03[[#This Row],[Mnltbr (k-in)]],"ERROR")))</f>
        <v>96.52499939013299</v>
      </c>
      <c r="AO62" s="214">
        <f>MIN(Table_03[[#This Row],[Strength (ksi)]]*Table_03[[#This Row],[Static Parameters Plastic Section Modulus Zy (in3)]],1.6*Table_03[[#This Row],[Strength (ksi)]]*Table_03[[#This Row],[Static Parameters Elastic Section Modulus Sy (in3)3]])</f>
        <v>43.4</v>
      </c>
      <c r="AP62" s="206">
        <f>MIN(Table_03[[#This Row],[Mny (k-in)]],Table_03[[#This Row],[Mny (k-in)]]-(Table_03[[#This Row],[Mny (k-in)]]-0.7*Table_03[[#This Row],[Static Parameters Elastic Section Modulus Sy (in3)3]]*Table_03[[#This Row],[Strength (ksi)]])*((Table_03[[#This Row],[b/t]]-Table_03[[#This Row],[λpf]])/(Table_03[[#This Row],[λrf]]-Table_03[[#This Row],[λpf]])))</f>
        <v>43.4</v>
      </c>
      <c r="AQ62" s="211">
        <f>MIN(Table_03[[#This Row],[Mny (k-in)]],Table_03[[#This Row],[Fcry]]*Table_03[[#This Row],[Static Parameters Elastic Section Modulus Sy (in3)3]])</f>
        <v>43.4</v>
      </c>
      <c r="AR62" s="212" t="str">
        <f>IF(Table_03[[#This Row],[b/t]]&lt;Table_03[[#This Row],[λpf]],"Compact",IF(AND(Table_03[[#This Row],[b/t]]&gt;Table_03[[#This Row],[λpf]],Table_03[[#This Row],[λrf]]&gt;Table_03[[#This Row],[b/t]]),"Non-Compact","Slender"))</f>
        <v>Compact</v>
      </c>
      <c r="AS62" s="213">
        <f>IF(Table_03[[#This Row],[Controlling Lby]]="Compact",Table_03[[#This Row],[Mny (k-in)]],IF(Table_03[[#This Row],[Controlling Lby]]="Non-Compact",Table_03[[#This Row],[Mlby,Non-Compact (k-in)]],IF(Table_03[[#This Row],[Controlling Lby]]="Slender",Table_03[[#This Row],[Mlby,Slender (k-in)]],"ERROR")))</f>
        <v>43.4</v>
      </c>
      <c r="AT62" s="214">
        <f>MIN(Table_03[[#This Row],[LBx]],Table_03[[#This Row],[LTB]],Table_03[[#This Row],[Mp (k-in)]])</f>
        <v>96.52499939013299</v>
      </c>
      <c r="AU62" s="206">
        <f>Table_03[[#This Row],[Mp (k-in)]]</f>
        <v>150</v>
      </c>
      <c r="AV62" s="206">
        <f>MIN(Table_03[[#This Row],[LBy]],Table_03[[#This Row],[Mny (k-in)]])</f>
        <v>43.4</v>
      </c>
      <c r="AW62" s="215">
        <f>Table_03[[#This Row],[Mny (k-in)]]</f>
        <v>43.4</v>
      </c>
      <c r="AX62" s="169"/>
      <c r="AY62" s="165">
        <f>IF(4/SQRT((Table_03[[#This Row],[Depth h (in)]]-Table_03[[#This Row],[Flange Thickness tf (in)]]*2)/Table_03[[#This Row],[Web Thickness tw (in)]])&lt;0.35,0.35,IF(4/SQRT(Table_03[[#This Row],[Depth h (in)]]/Table_03[[#This Row],[Web Thickness tw (in)]])&gt;0.76,0.76,4/SQRT(Table_03[[#This Row],[Depth h (in)]]/Table_03[[#This Row],[Web Thickness tw (in)]])))</f>
        <v>0.67509220327858721</v>
      </c>
      <c r="AZ62" s="169"/>
    </row>
    <row r="63" spans="1:52" x14ac:dyDescent="0.3">
      <c r="A63" s="179" t="s">
        <v>161</v>
      </c>
      <c r="B63" s="180">
        <f>B62-$B$1*2</f>
        <v>5.5118</v>
      </c>
      <c r="C63" s="180">
        <f>C62-$B$1*2</f>
        <v>1.9690000000000001</v>
      </c>
      <c r="D63" s="180">
        <f>D62-$B$1*2</f>
        <v>0.157</v>
      </c>
      <c r="E63" s="180">
        <f>E62-$B$1*2</f>
        <v>0.157</v>
      </c>
      <c r="F63" s="181"/>
      <c r="G63" s="180"/>
      <c r="H63" s="180"/>
      <c r="I63" s="180"/>
      <c r="J63" s="181"/>
      <c r="K63" s="181"/>
      <c r="L63" s="181"/>
      <c r="M63" s="181"/>
      <c r="N63" s="182">
        <v>50</v>
      </c>
      <c r="O63" s="181" t="e">
        <f>SQRT(Table_03[[#This Row],[Static Parameters Moment of Inertia Ix (in4)]]/Table_03[[#This Row],[Sectional Area (in2)]])</f>
        <v>#DIV/0!</v>
      </c>
      <c r="P63" s="181" t="e">
        <f>SQRT(Table_03[[#This Row],[Static Parameters Moment of Inertia Iy (in4)]]/Table_03[[#This Row],[Sectional Area (in2)]])</f>
        <v>#DIV/0!</v>
      </c>
      <c r="Q63" s="181" t="e">
        <f>($B$6*$B$5*12)/Table_03[[#This Row],[ry (in)2]]</f>
        <v>#DIV/0!</v>
      </c>
      <c r="R63" s="181" t="e">
        <f>(PI()^2*$B$4)/(Table_03[[#This Row],[KL/ry]]^2)</f>
        <v>#DIV/0!</v>
      </c>
      <c r="S63" s="181" t="e">
        <f>IF(Table_03[[#This Row],[Strength (ksi)]]/Table_03[[#This Row],[Fe,y]]&lt;2.25,(0.658^(Table_03[[#This Row],[Strength (ksi)]]/Table_03[[#This Row],[Fe,y]])*Table_03[[#This Row],[Strength (ksi)]]),0.877*Table_03[[#This Row],[Fe,y]])</f>
        <v>#DIV/0!</v>
      </c>
      <c r="T63" s="181" t="e">
        <f>Table_03[[#This Row],[Fcr,y]]*Table_03[[#This Row],[Sectional Area (in2)]]</f>
        <v>#DIV/0!</v>
      </c>
      <c r="U63" s="181" t="e">
        <f>1.76*Table_03[[#This Row],[ry (in)2]]*SQRT($B$4/Table_03[[#This Row],[Strength (ksi)]])/12</f>
        <v>#DIV/0!</v>
      </c>
      <c r="V63"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63" s="181">
        <f>Table_03[[#This Row],[Depth h (in)]]-Table_03[[#This Row],[Flange Thickness tf (in)]]</f>
        <v>5.3548</v>
      </c>
      <c r="X63" s="181">
        <f>(Table_03[[#This Row],[Static Parameters Moment of Inertia Iy (in4)]]*Table_03[[#This Row],[ho]]^2)/4</f>
        <v>0</v>
      </c>
      <c r="Y63" s="181" t="e">
        <f>SQRT((SQRT(Table_03[[#This Row],[Static Parameters Moment of Inertia Iy (in4)]]*Table_03[[#This Row],[Cw*]])/Table_03[[#This Row],[Static Parameters Elastic Section Modulus Sx (in3)2]]))</f>
        <v>#DIV/0!</v>
      </c>
      <c r="Z63" s="181">
        <f>(2*Table_03[[#This Row],[Width w (in)]]*Table_03[[#This Row],[Flange Thickness tf (in)]]^3/3)+((Table_03[[#This Row],[Depth h (in)]]-Table_03[[#This Row],[Flange Thickness tf (in)]]*2)*Table_03[[#This Row],[Web Thickness tw (in)]]^3)/3</f>
        <v>1.1784856156466668E-2</v>
      </c>
      <c r="AA63" s="181">
        <f>Table_03[[#This Row],[Width w (in)]]*0.5/Table_03[[#This Row],[Flange Thickness tf (in)]]</f>
        <v>6.2707006369426752</v>
      </c>
      <c r="AB63" s="181">
        <f>0.38*SQRT($B$4/Table_03[[#This Row],[Strength (ksi)]])</f>
        <v>9.1516118798821449</v>
      </c>
      <c r="AC63" s="181">
        <f>1*SQRT($B$4/Table_03[[#This Row],[Strength (ksi)]])</f>
        <v>24.083189157584592</v>
      </c>
      <c r="AD63" s="181" t="e">
        <f>(PI()^2*$B$4/(12*$B$5/Table_03[[#This Row],[rts]])^2)*SQRT(1+0.078*(Table_03[[#This Row],[J*]]/(Table_03[[#This Row],[Static Parameters Elastic Section Modulus Sx (in3)2]]*Table_03[[#This Row],[ho]])*$B$4/(12*$B$5/Table_03[[#This Row],[rts]])^2))</f>
        <v>#DIV/0!</v>
      </c>
      <c r="AE63" s="181">
        <f>0.69*$B$4/Table_03[[#This Row],[b/t]]^2</f>
        <v>508.87949607953237</v>
      </c>
      <c r="AF63" s="183">
        <f>Table_03[[#This Row],[Strength (ksi)]]*Table_03[[#This Row],[Static Parameters Plastic Section Modulus Zx (in3)]]</f>
        <v>0</v>
      </c>
      <c r="AG63" s="181">
        <f>Table_03[[#This Row],[Mp (k-in)]]-(Table_03[[#This Row],[Mp (k-in)]]-0.7*Table_03[[#This Row],[Strength (ksi)]]*Table_03[[#This Row],[Static Parameters Elastic Section Modulus Sx (in3)2]])*((Table_03[[#This Row],[b/t]]-Table_03[[#This Row],[λpf]])/(Table_03[[#This Row],[λrf]]-Table_03[[#This Row],[λpf]]))</f>
        <v>0</v>
      </c>
      <c r="AH63" s="184">
        <f>0.9*$B$4*Table_03[[#This Row],[kc]]*Table_03[[#This Row],[Static Parameters Elastic Section Modulus Sx (in3)2]]/Table_03[[#This Row],[b/t]]^2</f>
        <v>0</v>
      </c>
      <c r="AI63" s="185" t="str">
        <f>IF(Table_03[[#This Row],[b/t]]&lt;Table_03[[#This Row],[λpf]],"Compact",IF(AND(Table_03[[#This Row],[b/t]]&gt;Table_03[[#This Row],[λpf]],Table_03[[#This Row],[λrf]]&gt;Table_03[[#This Row],[b/t]]),"Non-Compact","Slender"))</f>
        <v>Compact</v>
      </c>
      <c r="AJ63" s="186">
        <f>IF(Table_03[[#This Row],[Controlling LBx]]="Compact",Table_03[[#This Row],[Mp (k-in)]],IF(Table_03[[#This Row],[Controlling LBx]]="Non-Compact",Table_03[[#This Row],[Mnlb,Non-Compact (k-in)]],IF(Table_03[[#This Row],[Controlling LBx]]="Slender",Table_03[[#This Row],[Mnlb,slender (k-in)]],"ERROR")))</f>
        <v>0</v>
      </c>
      <c r="AK63" s="183" t="e">
        <f>Table_03[[#This Row],[Mp (k-in)]]-(Table_03[[#This Row],[Mp (k-in)]]-0.7*Table_03[[#This Row],[Strength (ksi)]]*Table_03[[#This Row],[Static Parameters Elastic Section Modulus Sx (in3)2]])*(($B$5-Table_03[[#This Row],[Lp (ft)]])/(Table_03[[#This Row],[Lr]]-Table_03[[#This Row],[Lp (ft)]]))</f>
        <v>#DIV/0!</v>
      </c>
      <c r="AL63" s="184" t="e">
        <f>Table_03[[#This Row],[Fcrx]]*Table_03[[#This Row],[Static Parameters Elastic Section Modulus Sx (in3)2]]</f>
        <v>#DIV/0!</v>
      </c>
      <c r="AM63" s="185" t="e">
        <f>IF($B$5&lt;Table_03[[#This Row],[Lp (ft)]],"Yielding Controls",IF(AND($B$5&gt;Table_03[[#This Row],[Lp (ft)]],Table_03[[#This Row],[Lr]]&gt;$B$5),"Mltb,p Controls","Mltb,r Controls"))</f>
        <v>#DIV/0!</v>
      </c>
      <c r="AN63" s="186" t="e">
        <f>IF(Table_03[[#This Row],[Controlling LTB]]="Yielding Controls",Table_03[[#This Row],[Mp (k-in)]],IF(Table_03[[#This Row],[Controlling LTB]]="Mltb,p Controls",Table_03[[#This Row],[Mnltbp (k-in)]],IF(Table_03[[#This Row],[Controlling LTB]]="Mltb,r Controls",Table_03[[#This Row],[Mnltbr (k-in)]],"ERROR")))</f>
        <v>#DIV/0!</v>
      </c>
      <c r="AO63" s="183">
        <f>MIN(Table_03[[#This Row],[Strength (ksi)]]*Table_03[[#This Row],[Static Parameters Plastic Section Modulus Zy (in3)]],1.6*Table_03[[#This Row],[Strength (ksi)]]*Table_03[[#This Row],[Static Parameters Elastic Section Modulus Sy (in3)3]])</f>
        <v>0</v>
      </c>
      <c r="AP63" s="181">
        <f>MIN(Table_03[[#This Row],[Mny (k-in)]],Table_03[[#This Row],[Mny (k-in)]]-(Table_03[[#This Row],[Mny (k-in)]]-0.7*Table_03[[#This Row],[Static Parameters Elastic Section Modulus Sy (in3)3]]*Table_03[[#This Row],[Strength (ksi)]])*((Table_03[[#This Row],[b/t]]-Table_03[[#This Row],[λpf]])/(Table_03[[#This Row],[λrf]]-Table_03[[#This Row],[λpf]])))</f>
        <v>0</v>
      </c>
      <c r="AQ63" s="184">
        <f>MIN(Table_03[[#This Row],[Mny (k-in)]],Table_03[[#This Row],[Fcry]]*Table_03[[#This Row],[Static Parameters Elastic Section Modulus Sy (in3)3]])</f>
        <v>0</v>
      </c>
      <c r="AR63" s="185" t="str">
        <f>IF(Table_03[[#This Row],[b/t]]&lt;Table_03[[#This Row],[λpf]],"Compact",IF(AND(Table_03[[#This Row],[b/t]]&gt;Table_03[[#This Row],[λpf]],Table_03[[#This Row],[λrf]]&gt;Table_03[[#This Row],[b/t]]),"Non-Compact","Slender"))</f>
        <v>Compact</v>
      </c>
      <c r="AS63" s="186">
        <f>IF(Table_03[[#This Row],[Controlling Lby]]="Compact",Table_03[[#This Row],[Mny (k-in)]],IF(Table_03[[#This Row],[Controlling Lby]]="Non-Compact",Table_03[[#This Row],[Mlby,Non-Compact (k-in)]],IF(Table_03[[#This Row],[Controlling Lby]]="Slender",Table_03[[#This Row],[Mlby,Slender (k-in)]],"ERROR")))</f>
        <v>0</v>
      </c>
      <c r="AT63" s="183" t="e">
        <f>MIN(Table_03[[#This Row],[LBx]],Table_03[[#This Row],[LTB]],Table_03[[#This Row],[Mp (k-in)]])</f>
        <v>#DIV/0!</v>
      </c>
      <c r="AU63" s="181">
        <f>Table_03[[#This Row],[Mp (k-in)]]</f>
        <v>0</v>
      </c>
      <c r="AV63" s="181">
        <f>MIN(Table_03[[#This Row],[LBy]],Table_03[[#This Row],[Mny (k-in)]])</f>
        <v>0</v>
      </c>
      <c r="AW63" s="187">
        <f>Table_03[[#This Row],[Mny (k-in)]]</f>
        <v>0</v>
      </c>
      <c r="AX63" s="169"/>
      <c r="AY63" s="165">
        <f>IF(4/SQRT((Table_03[[#This Row],[Depth h (in)]]-Table_03[[#This Row],[Flange Thickness tf (in)]]*2)/Table_03[[#This Row],[Web Thickness tw (in)]])&lt;0.35,0.35,IF(4/SQRT(Table_03[[#This Row],[Depth h (in)]]/Table_03[[#This Row],[Web Thickness tw (in)]])&gt;0.76,0.76,4/SQRT(Table_03[[#This Row],[Depth h (in)]]/Table_03[[#This Row],[Web Thickness tw (in)]])))</f>
        <v>0.67509220327858721</v>
      </c>
      <c r="AZ63" s="169"/>
    </row>
    <row r="64" spans="1:52" x14ac:dyDescent="0.3">
      <c r="A64" s="188" t="s">
        <v>162</v>
      </c>
      <c r="B64" s="189">
        <f>B62-$B$2*2</f>
        <v>5.5118</v>
      </c>
      <c r="C64" s="189">
        <f>C62-$B$2*2</f>
        <v>1.9690000000000001</v>
      </c>
      <c r="D64" s="189">
        <f>D62-$B$2*2</f>
        <v>0.157</v>
      </c>
      <c r="E64" s="189">
        <f>E62-$B$2*2</f>
        <v>0.157</v>
      </c>
      <c r="F64" s="190">
        <v>0.96399999999999997</v>
      </c>
      <c r="G64" s="189"/>
      <c r="H64" s="190">
        <v>4.2</v>
      </c>
      <c r="I64" s="190">
        <v>0.47</v>
      </c>
      <c r="J64" s="190">
        <v>1.84</v>
      </c>
      <c r="K64" s="190">
        <v>0.52400000000000002</v>
      </c>
      <c r="L64" s="190">
        <v>1.54</v>
      </c>
      <c r="M64" s="190">
        <v>0.35599999999999998</v>
      </c>
      <c r="N64" s="191">
        <v>50</v>
      </c>
      <c r="O64" s="169">
        <f>SQRT(Table_03[[#This Row],[Static Parameters Moment of Inertia Ix (in4)]]/Table_03[[#This Row],[Sectional Area (in2)]])</f>
        <v>2.0873060324324859</v>
      </c>
      <c r="P64" s="190">
        <f>SQRT(Table_03[[#This Row],[Static Parameters Moment of Inertia Iy (in4)]]/Table_03[[#This Row],[Sectional Area (in2)]])</f>
        <v>0.69824914408820937</v>
      </c>
      <c r="Q64" s="190">
        <f>($B$6*$B$5*12)/Table_03[[#This Row],[ry (in)2]]</f>
        <v>257.14317234783113</v>
      </c>
      <c r="R64" s="190">
        <f>(PI()^2*$B$4)/(Table_03[[#This Row],[KL/ry]]^2)</f>
        <v>4.3286029231846213</v>
      </c>
      <c r="S64" s="190">
        <f>IF(Table_03[[#This Row],[Strength (ksi)]]/Table_03[[#This Row],[Fe,y]]&lt;2.25,(0.658^(Table_03[[#This Row],[Strength (ksi)]]/Table_03[[#This Row],[Fe,y]])*Table_03[[#This Row],[Strength (ksi)]]),0.877*Table_03[[#This Row],[Fe,y]])</f>
        <v>3.7961847636329127</v>
      </c>
      <c r="T64" s="190">
        <f>Table_03[[#This Row],[Fcr,y]]*Table_03[[#This Row],[Sectional Area (in2)]]</f>
        <v>3.6595221121421275</v>
      </c>
      <c r="U64" s="190">
        <f>1.76*Table_03[[#This Row],[ry (in)2]]*SQRT($B$4/Table_03[[#This Row],[Strength (ksi)]])/12</f>
        <v>2.4663563783756897</v>
      </c>
      <c r="V6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8.4998327339017496</v>
      </c>
      <c r="W64" s="190">
        <f>Table_03[[#This Row],[Depth h (in)]]-Table_03[[#This Row],[Flange Thickness tf (in)]]</f>
        <v>5.3548</v>
      </c>
      <c r="X64" s="190">
        <f>(Table_03[[#This Row],[Static Parameters Moment of Inertia Iy (in4)]]*Table_03[[#This Row],[ho]]^2)/4</f>
        <v>3.3691812571999997</v>
      </c>
      <c r="Y64" s="190">
        <f>SQRT((SQRT(Table_03[[#This Row],[Static Parameters Moment of Inertia Iy (in4)]]*Table_03[[#This Row],[Cw*]])/Table_03[[#This Row],[Static Parameters Elastic Section Modulus Sx (in3)2]]))</f>
        <v>0.90395164219584856</v>
      </c>
      <c r="Z64" s="190">
        <f>(2*Table_03[[#This Row],[Width w (in)]]*Table_03[[#This Row],[Flange Thickness tf (in)]]^3/3)+((Table_03[[#This Row],[Depth h (in)]]-Table_03[[#This Row],[Flange Thickness tf (in)]]*2)*Table_03[[#This Row],[Web Thickness tw (in)]]^3)/3</f>
        <v>1.1784856156466668E-2</v>
      </c>
      <c r="AA64" s="190">
        <f>Table_03[[#This Row],[Width w (in)]]*0.5/Table_03[[#This Row],[Flange Thickness tf (in)]]</f>
        <v>6.2707006369426752</v>
      </c>
      <c r="AB64" s="190">
        <f>0.38*SQRT($B$4/Table_03[[#This Row],[Strength (ksi)]])</f>
        <v>9.1516118798821449</v>
      </c>
      <c r="AC64" s="190">
        <f>1*SQRT($B$4/Table_03[[#This Row],[Strength (ksi)]])</f>
        <v>24.083189157584592</v>
      </c>
      <c r="AD64" s="190">
        <f>(PI()^2*$B$4/(12*$B$5/Table_03[[#This Row],[rts]])^2)*SQRT(1+0.078*(Table_03[[#This Row],[J*]]/(Table_03[[#This Row],[Static Parameters Elastic Section Modulus Sx (in3)2]]*Table_03[[#This Row],[ho]])*$B$4/(12*$B$5/Table_03[[#This Row],[rts]])^2))</f>
        <v>31.998849139123418</v>
      </c>
      <c r="AE64" s="190">
        <f>0.69*$B$4/Table_03[[#This Row],[b/t]]^2</f>
        <v>508.87949607953237</v>
      </c>
      <c r="AF64" s="192">
        <f>Table_03[[#This Row],[Strength (ksi)]]*Table_03[[#This Row],[Static Parameters Plastic Section Modulus Zx (in3)]]</f>
        <v>92</v>
      </c>
      <c r="AG64" s="190">
        <f>Table_03[[#This Row],[Mp (k-in)]]-(Table_03[[#This Row],[Mp (k-in)]]-0.7*Table_03[[#This Row],[Strength (ksi)]]*Table_03[[#This Row],[Static Parameters Elastic Section Modulus Sx (in3)2]])*((Table_03[[#This Row],[b/t]]-Table_03[[#This Row],[λpf]])/(Table_03[[#This Row],[λrf]]-Table_03[[#This Row],[λpf]]))</f>
        <v>99.35104646445518</v>
      </c>
      <c r="AH64" s="193">
        <f>0.9*$B$4*Table_03[[#This Row],[kc]]*Table_03[[#This Row],[Static Parameters Elastic Section Modulus Sx (in3)2]]/Table_03[[#This Row],[b/t]]^2</f>
        <v>690.06846981640194</v>
      </c>
      <c r="AI64" s="194" t="str">
        <f>IF(Table_03[[#This Row],[b/t]]&lt;Table_03[[#This Row],[λpf]],"Compact",IF(AND(Table_03[[#This Row],[b/t]]&gt;Table_03[[#This Row],[λpf]],Table_03[[#This Row],[λrf]]&gt;Table_03[[#This Row],[b/t]]),"Non-Compact","Slender"))</f>
        <v>Compact</v>
      </c>
      <c r="AJ64" s="195">
        <f>IF(Table_03[[#This Row],[Controlling LBx]]="Compact",Table_03[[#This Row],[Mp (k-in)]],IF(Table_03[[#This Row],[Controlling LBx]]="Non-Compact",Table_03[[#This Row],[Mnlb,Non-Compact (k-in)]],IF(Table_03[[#This Row],[Controlling LBx]]="Slender",Table_03[[#This Row],[Mnlb,slender (k-in)]],"ERROR")))</f>
        <v>92</v>
      </c>
      <c r="AK64" s="192">
        <f>Table_03[[#This Row],[Mp (k-in)]]-(Table_03[[#This Row],[Mp (k-in)]]-0.7*Table_03[[#This Row],[Strength (ksi)]]*Table_03[[#This Row],[Static Parameters Elastic Section Modulus Sx (in3)2]])*(($B$5-Table_03[[#This Row],[Lp (ft)]])/(Table_03[[#This Row],[Lr]]-Table_03[[#This Row],[Lp (ft)]]))</f>
        <v>62.58174897440027</v>
      </c>
      <c r="AL64" s="196">
        <f>Table_03[[#This Row],[Fcrx]]*Table_03[[#This Row],[Static Parameters Elastic Section Modulus Sx (in3)2]]</f>
        <v>49.278227674250068</v>
      </c>
      <c r="AM64" s="197" t="str">
        <f>IF($B$5&lt;Table_03[[#This Row],[Lp (ft)]],"Yielding Controls",IF(AND($B$5&gt;Table_03[[#This Row],[Lp (ft)]],Table_03[[#This Row],[Lr]]&gt;$B$5),"Mltb,p Controls","Mltb,r Controls"))</f>
        <v>Mltb,p Controls</v>
      </c>
      <c r="AN64" s="198">
        <f>IF(Table_03[[#This Row],[Controlling LTB]]="Yielding Controls",Table_03[[#This Row],[Mp (k-in)]],IF(Table_03[[#This Row],[Controlling LTB]]="Mltb,p Controls",Table_03[[#This Row],[Mnltbp (k-in)]],IF(Table_03[[#This Row],[Controlling LTB]]="Mltb,r Controls",Table_03[[#This Row],[Mnltbr (k-in)]],"ERROR")))</f>
        <v>62.58174897440027</v>
      </c>
      <c r="AO64" s="199">
        <f>MIN(Table_03[[#This Row],[Strength (ksi)]]*Table_03[[#This Row],[Static Parameters Plastic Section Modulus Zy (in3)]],1.6*Table_03[[#This Row],[Strength (ksi)]]*Table_03[[#This Row],[Static Parameters Elastic Section Modulus Sy (in3)3]])</f>
        <v>26.200000000000003</v>
      </c>
      <c r="AP64" s="169">
        <f>MIN(Table_03[[#This Row],[Mny (k-in)]],Table_03[[#This Row],[Mny (k-in)]]-(Table_03[[#This Row],[Mny (k-in)]]-0.7*Table_03[[#This Row],[Static Parameters Elastic Section Modulus Sy (in3)3]]*Table_03[[#This Row],[Strength (ksi)]])*((Table_03[[#This Row],[b/t]]-Table_03[[#This Row],[λpf]])/(Table_03[[#This Row],[λrf]]-Table_03[[#This Row],[λpf]])))</f>
        <v>26.200000000000003</v>
      </c>
      <c r="AQ64" s="196">
        <f>MIN(Table_03[[#This Row],[Mny (k-in)]],Table_03[[#This Row],[Fcry]]*Table_03[[#This Row],[Static Parameters Elastic Section Modulus Sy (in3)3]])</f>
        <v>26.200000000000003</v>
      </c>
      <c r="AR64" s="197" t="str">
        <f>IF(Table_03[[#This Row],[b/t]]&lt;Table_03[[#This Row],[λpf]],"Compact",IF(AND(Table_03[[#This Row],[b/t]]&gt;Table_03[[#This Row],[λpf]],Table_03[[#This Row],[λrf]]&gt;Table_03[[#This Row],[b/t]]),"Non-Compact","Slender"))</f>
        <v>Compact</v>
      </c>
      <c r="AS64" s="198">
        <f>IF(Table_03[[#This Row],[Controlling Lby]]="Compact",Table_03[[#This Row],[Mny (k-in)]],IF(Table_03[[#This Row],[Controlling Lby]]="Non-Compact",Table_03[[#This Row],[Mlby,Non-Compact (k-in)]],IF(Table_03[[#This Row],[Controlling Lby]]="Slender",Table_03[[#This Row],[Mlby,Slender (k-in)]],"ERROR")))</f>
        <v>26.200000000000003</v>
      </c>
      <c r="AT64" s="199">
        <f>MIN(Table_03[[#This Row],[LBx]],Table_03[[#This Row],[LTB]],Table_03[[#This Row],[Mp (k-in)]])</f>
        <v>62.58174897440027</v>
      </c>
      <c r="AU64" s="169">
        <f>Table_03[[#This Row],[Mp (k-in)]]</f>
        <v>92</v>
      </c>
      <c r="AV64" s="169">
        <f>MIN(Table_03[[#This Row],[LBy]],Table_03[[#This Row],[Mny (k-in)]])</f>
        <v>26.200000000000003</v>
      </c>
      <c r="AW64" s="200">
        <f>Table_03[[#This Row],[Mny (k-in)]]</f>
        <v>26.200000000000003</v>
      </c>
      <c r="AX64" s="169"/>
      <c r="AY64" s="165">
        <f>IF(4/SQRT((Table_03[[#This Row],[Depth h (in)]]-Table_03[[#This Row],[Flange Thickness tf (in)]]*2)/Table_03[[#This Row],[Web Thickness tw (in)]])&lt;0.35,0.35,IF(4/SQRT(Table_03[[#This Row],[Depth h (in)]]/Table_03[[#This Row],[Web Thickness tw (in)]])&gt;0.76,0.76,4/SQRT(Table_03[[#This Row],[Depth h (in)]]/Table_03[[#This Row],[Web Thickness tw (in)]])))</f>
        <v>0.67509220327858721</v>
      </c>
      <c r="AZ64" s="169"/>
    </row>
    <row r="65" spans="1:52" s="216" customFormat="1" ht="14.4" thickBot="1" x14ac:dyDescent="0.35">
      <c r="A65" s="201" t="s">
        <v>163</v>
      </c>
      <c r="B65" s="202">
        <v>5.5118</v>
      </c>
      <c r="C65" s="202">
        <v>2.7559999999999998</v>
      </c>
      <c r="D65" s="202">
        <v>0.157</v>
      </c>
      <c r="E65" s="202">
        <v>0.157</v>
      </c>
      <c r="F65" s="203">
        <v>1.82</v>
      </c>
      <c r="G65" s="204"/>
      <c r="H65" s="203">
        <v>8.6300000000000008</v>
      </c>
      <c r="I65" s="203">
        <v>1.8</v>
      </c>
      <c r="J65" s="203">
        <v>3.66</v>
      </c>
      <c r="K65" s="203">
        <v>1.53</v>
      </c>
      <c r="L65" s="203">
        <v>3.13</v>
      </c>
      <c r="M65" s="203">
        <v>0.98699999999999999</v>
      </c>
      <c r="N65" s="205">
        <v>50</v>
      </c>
      <c r="O65" s="206">
        <f>SQRT(Table_03[[#This Row],[Static Parameters Moment of Inertia Ix (in4)]]/Table_03[[#This Row],[Sectional Area (in2)]])</f>
        <v>2.1775578618622839</v>
      </c>
      <c r="P65" s="203">
        <f>SQRT(Table_03[[#This Row],[Static Parameters Moment of Inertia Iy (in4)]]/Table_03[[#This Row],[Sectional Area (in2)]])</f>
        <v>0.99449031619769379</v>
      </c>
      <c r="Q65" s="203">
        <f>($B$6*$B$5*12)/Table_03[[#This Row],[ry (in)2]]</f>
        <v>180.54474445411034</v>
      </c>
      <c r="R65" s="203">
        <f>(PI()^2*$B$4)/(Table_03[[#This Row],[KL/ry]]^2)</f>
        <v>8.7806778025601524</v>
      </c>
      <c r="S65" s="203">
        <f>IF(Table_03[[#This Row],[Strength (ksi)]]/Table_03[[#This Row],[Fe,y]]&lt;2.25,(0.658^(Table_03[[#This Row],[Strength (ksi)]]/Table_03[[#This Row],[Fe,y]])*Table_03[[#This Row],[Strength (ksi)]]),0.877*Table_03[[#This Row],[Fe,y]])</f>
        <v>7.700654432845254</v>
      </c>
      <c r="T65" s="203">
        <f>Table_03[[#This Row],[Fcr,y]]*Table_03[[#This Row],[Sectional Area (in2)]]</f>
        <v>14.015191067778362</v>
      </c>
      <c r="U65" s="203">
        <f>1.76*Table_03[[#This Row],[ry (in)2]]*SQRT($B$4/Table_03[[#This Row],[Strength (ksi)]])/12</f>
        <v>3.5127397653883587</v>
      </c>
      <c r="V6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10.656870814782492</v>
      </c>
      <c r="W65" s="203">
        <f>Table_03[[#This Row],[Depth h (in)]]-Table_03[[#This Row],[Flange Thickness tf (in)]]</f>
        <v>5.3548</v>
      </c>
      <c r="X65" s="203">
        <f>(Table_03[[#This Row],[Static Parameters Moment of Inertia Iy (in4)]]*Table_03[[#This Row],[ho]]^2)/4</f>
        <v>12.903247368000001</v>
      </c>
      <c r="Y65" s="203">
        <f>SQRT((SQRT(Table_03[[#This Row],[Static Parameters Moment of Inertia Iy (in4)]]*Table_03[[#This Row],[Cw*]])/Table_03[[#This Row],[Static Parameters Elastic Section Modulus Sx (in3)2]]))</f>
        <v>1.2408540808009036</v>
      </c>
      <c r="Z65" s="203">
        <f>(2*Table_03[[#This Row],[Width w (in)]]*Table_03[[#This Row],[Flange Thickness tf (in)]]^3/3)+((Table_03[[#This Row],[Depth h (in)]]-Table_03[[#This Row],[Flange Thickness tf (in)]]*2)*Table_03[[#This Row],[Web Thickness tw (in)]]^3)/3</f>
        <v>1.3815260017133332E-2</v>
      </c>
      <c r="AA65" s="203">
        <f>Table_03[[#This Row],[Width w (in)]]*0.5/Table_03[[#This Row],[Flange Thickness tf (in)]]</f>
        <v>8.777070063694266</v>
      </c>
      <c r="AB65" s="203">
        <f>0.38*SQRT($B$4/Table_03[[#This Row],[Strength (ksi)]])</f>
        <v>9.1516118798821449</v>
      </c>
      <c r="AC65" s="203">
        <f>1*SQRT($B$4/Table_03[[#This Row],[Strength (ksi)]])</f>
        <v>24.083189157584592</v>
      </c>
      <c r="AD65" s="203">
        <f>(PI()^2*$B$4/(12*$B$5/Table_03[[#This Row],[rts]])^2)*SQRT(1+0.078*(Table_03[[#This Row],[J*]]/(Table_03[[#This Row],[Static Parameters Elastic Section Modulus Sx (in3)2]]*Table_03[[#This Row],[ho]])*$B$4/(12*$B$5/Table_03[[#This Row],[rts]])^2))</f>
        <v>60.29651336272974</v>
      </c>
      <c r="AE65" s="203">
        <f>0.69*$B$4/Table_03[[#This Row],[b/t]]^2</f>
        <v>259.7454557519049</v>
      </c>
      <c r="AF65" s="207">
        <f>Table_03[[#This Row],[Strength (ksi)]]*Table_03[[#This Row],[Static Parameters Plastic Section Modulus Zx (in3)]]</f>
        <v>183</v>
      </c>
      <c r="AG65" s="203">
        <f>Table_03[[#This Row],[Mp (k-in)]]-(Table_03[[#This Row],[Mp (k-in)]]-0.7*Table_03[[#This Row],[Strength (ksi)]]*Table_03[[#This Row],[Static Parameters Elastic Section Modulus Sx (in3)2]])*((Table_03[[#This Row],[b/t]]-Table_03[[#This Row],[λpf]])/(Table_03[[#This Row],[λrf]]-Table_03[[#This Row],[λpf]]))</f>
        <v>184.84241060990126</v>
      </c>
      <c r="AH65" s="208">
        <f>0.9*$B$4*Table_03[[#This Row],[kc]]*Table_03[[#This Row],[Static Parameters Elastic Section Modulus Sx (in3)2]]/Table_03[[#This Row],[b/t]]^2</f>
        <v>715.8941389662167</v>
      </c>
      <c r="AI65" s="209" t="str">
        <f>IF(Table_03[[#This Row],[b/t]]&lt;Table_03[[#This Row],[λpf]],"Compact",IF(AND(Table_03[[#This Row],[b/t]]&gt;Table_03[[#This Row],[λpf]],Table_03[[#This Row],[λrf]]&gt;Table_03[[#This Row],[b/t]]),"Non-Compact","Slender"))</f>
        <v>Compact</v>
      </c>
      <c r="AJ65" s="210">
        <f>IF(Table_03[[#This Row],[Controlling LBx]]="Compact",Table_03[[#This Row],[Mp (k-in)]],IF(Table_03[[#This Row],[Controlling LBx]]="Non-Compact",Table_03[[#This Row],[Mnlb,Non-Compact (k-in)]],IF(Table_03[[#This Row],[Controlling LBx]]="Slender",Table_03[[#This Row],[Mnlb,slender (k-in)]],"ERROR")))</f>
        <v>183</v>
      </c>
      <c r="AK65" s="207">
        <f>Table_03[[#This Row],[Mp (k-in)]]-(Table_03[[#This Row],[Mp (k-in)]]-0.7*Table_03[[#This Row],[Strength (ksi)]]*Table_03[[#This Row],[Static Parameters Elastic Section Modulus Sx (in3)2]])*(($B$5-Table_03[[#This Row],[Lp (ft)]])/(Table_03[[#This Row],[Lr]]-Table_03[[#This Row],[Lp (ft)]]))</f>
        <v>145.86175149954369</v>
      </c>
      <c r="AL65" s="211">
        <f>Table_03[[#This Row],[Fcrx]]*Table_03[[#This Row],[Static Parameters Elastic Section Modulus Sx (in3)2]]</f>
        <v>188.72808682534409</v>
      </c>
      <c r="AM65" s="212" t="str">
        <f>IF($B$5&lt;Table_03[[#This Row],[Lp (ft)]],"Yielding Controls",IF(AND($B$5&gt;Table_03[[#This Row],[Lp (ft)]],Table_03[[#This Row],[Lr]]&gt;$B$5),"Mltb,p Controls","Mltb,r Controls"))</f>
        <v>Mltb,p Controls</v>
      </c>
      <c r="AN65" s="213">
        <f>IF(Table_03[[#This Row],[Controlling LTB]]="Yielding Controls",Table_03[[#This Row],[Mp (k-in)]],IF(Table_03[[#This Row],[Controlling LTB]]="Mltb,p Controls",Table_03[[#This Row],[Mnltbp (k-in)]],IF(Table_03[[#This Row],[Controlling LTB]]="Mltb,r Controls",Table_03[[#This Row],[Mnltbr (k-in)]],"ERROR")))</f>
        <v>145.86175149954369</v>
      </c>
      <c r="AO65" s="214">
        <f>MIN(Table_03[[#This Row],[Strength (ksi)]]*Table_03[[#This Row],[Static Parameters Plastic Section Modulus Zy (in3)]],1.6*Table_03[[#This Row],[Strength (ksi)]]*Table_03[[#This Row],[Static Parameters Elastic Section Modulus Sy (in3)3]])</f>
        <v>76.5</v>
      </c>
      <c r="AP65" s="206">
        <f>MIN(Table_03[[#This Row],[Mny (k-in)]],Table_03[[#This Row],[Mny (k-in)]]-(Table_03[[#This Row],[Mny (k-in)]]-0.7*Table_03[[#This Row],[Static Parameters Elastic Section Modulus Sy (in3)3]]*Table_03[[#This Row],[Strength (ksi)]])*((Table_03[[#This Row],[b/t]]-Table_03[[#This Row],[λpf]])/(Table_03[[#This Row],[λrf]]-Table_03[[#This Row],[λpf]])))</f>
        <v>76.5</v>
      </c>
      <c r="AQ65" s="211">
        <f>MIN(Table_03[[#This Row],[Mny (k-in)]],Table_03[[#This Row],[Fcry]]*Table_03[[#This Row],[Static Parameters Elastic Section Modulus Sy (in3)3]])</f>
        <v>76.5</v>
      </c>
      <c r="AR65" s="212" t="str">
        <f>IF(Table_03[[#This Row],[b/t]]&lt;Table_03[[#This Row],[λpf]],"Compact",IF(AND(Table_03[[#This Row],[b/t]]&gt;Table_03[[#This Row],[λpf]],Table_03[[#This Row],[λrf]]&gt;Table_03[[#This Row],[b/t]]),"Non-Compact","Slender"))</f>
        <v>Compact</v>
      </c>
      <c r="AS65" s="213">
        <f>IF(Table_03[[#This Row],[Controlling Lby]]="Compact",Table_03[[#This Row],[Mny (k-in)]],IF(Table_03[[#This Row],[Controlling Lby]]="Non-Compact",Table_03[[#This Row],[Mlby,Non-Compact (k-in)]],IF(Table_03[[#This Row],[Controlling Lby]]="Slender",Table_03[[#This Row],[Mlby,Slender (k-in)]],"ERROR")))</f>
        <v>76.5</v>
      </c>
      <c r="AT65" s="214">
        <f>MIN(Table_03[[#This Row],[LBx]],Table_03[[#This Row],[LTB]],Table_03[[#This Row],[Mp (k-in)]])</f>
        <v>145.86175149954369</v>
      </c>
      <c r="AU65" s="206">
        <f>Table_03[[#This Row],[Mp (k-in)]]</f>
        <v>183</v>
      </c>
      <c r="AV65" s="206">
        <f>MIN(Table_03[[#This Row],[LBy]],Table_03[[#This Row],[Mny (k-in)]])</f>
        <v>76.5</v>
      </c>
      <c r="AW65" s="215">
        <f>Table_03[[#This Row],[Mny (k-in)]]</f>
        <v>76.5</v>
      </c>
      <c r="AX65" s="169"/>
      <c r="AY65" s="165">
        <f>IF(4/SQRT((Table_03[[#This Row],[Depth h (in)]]-Table_03[[#This Row],[Flange Thickness tf (in)]]*2)/Table_03[[#This Row],[Web Thickness tw (in)]])&lt;0.35,0.35,IF(4/SQRT(Table_03[[#This Row],[Depth h (in)]]/Table_03[[#This Row],[Web Thickness tw (in)]])&gt;0.76,0.76,4/SQRT(Table_03[[#This Row],[Depth h (in)]]/Table_03[[#This Row],[Web Thickness tw (in)]])))</f>
        <v>0.67509220327858721</v>
      </c>
      <c r="AZ65" s="169"/>
    </row>
    <row r="66" spans="1:52" x14ac:dyDescent="0.3">
      <c r="A66" s="179" t="s">
        <v>164</v>
      </c>
      <c r="B66" s="180">
        <f>B65-$B$1*2</f>
        <v>5.5118</v>
      </c>
      <c r="C66" s="180">
        <f>C65-$B$1*2</f>
        <v>2.7559999999999998</v>
      </c>
      <c r="D66" s="180">
        <f>D65-$B$1*2</f>
        <v>0.157</v>
      </c>
      <c r="E66" s="180">
        <f>E65-$B$1*2</f>
        <v>0.157</v>
      </c>
      <c r="F66" s="181"/>
      <c r="G66" s="180"/>
      <c r="H66" s="180"/>
      <c r="I66" s="180"/>
      <c r="J66" s="181"/>
      <c r="K66" s="181"/>
      <c r="L66" s="181"/>
      <c r="M66" s="181"/>
      <c r="N66" s="182">
        <v>50</v>
      </c>
      <c r="O66" s="181" t="e">
        <f>SQRT(Table_03[[#This Row],[Static Parameters Moment of Inertia Ix (in4)]]/Table_03[[#This Row],[Sectional Area (in2)]])</f>
        <v>#DIV/0!</v>
      </c>
      <c r="P66" s="181" t="e">
        <f>SQRT(Table_03[[#This Row],[Static Parameters Moment of Inertia Iy (in4)]]/Table_03[[#This Row],[Sectional Area (in2)]])</f>
        <v>#DIV/0!</v>
      </c>
      <c r="Q66" s="181" t="e">
        <f>($B$6*$B$5*12)/Table_03[[#This Row],[ry (in)2]]</f>
        <v>#DIV/0!</v>
      </c>
      <c r="R66" s="181" t="e">
        <f>(PI()^2*$B$4)/(Table_03[[#This Row],[KL/ry]]^2)</f>
        <v>#DIV/0!</v>
      </c>
      <c r="S66" s="181" t="e">
        <f>IF(Table_03[[#This Row],[Strength (ksi)]]/Table_03[[#This Row],[Fe,y]]&lt;2.25,(0.658^(Table_03[[#This Row],[Strength (ksi)]]/Table_03[[#This Row],[Fe,y]])*Table_03[[#This Row],[Strength (ksi)]]),0.877*Table_03[[#This Row],[Fe,y]])</f>
        <v>#DIV/0!</v>
      </c>
      <c r="T66" s="181" t="e">
        <f>Table_03[[#This Row],[Fcr,y]]*Table_03[[#This Row],[Sectional Area (in2)]]</f>
        <v>#DIV/0!</v>
      </c>
      <c r="U66" s="181" t="e">
        <f>1.76*Table_03[[#This Row],[ry (in)2]]*SQRT($B$4/Table_03[[#This Row],[Strength (ksi)]])/12</f>
        <v>#DIV/0!</v>
      </c>
      <c r="V66"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66" s="181">
        <f>Table_03[[#This Row],[Depth h (in)]]-Table_03[[#This Row],[Flange Thickness tf (in)]]</f>
        <v>5.3548</v>
      </c>
      <c r="X66" s="181">
        <f>(Table_03[[#This Row],[Static Parameters Moment of Inertia Iy (in4)]]*Table_03[[#This Row],[ho]]^2)/4</f>
        <v>0</v>
      </c>
      <c r="Y66" s="181" t="e">
        <f>SQRT((SQRT(Table_03[[#This Row],[Static Parameters Moment of Inertia Iy (in4)]]*Table_03[[#This Row],[Cw*]])/Table_03[[#This Row],[Static Parameters Elastic Section Modulus Sx (in3)2]]))</f>
        <v>#DIV/0!</v>
      </c>
      <c r="Z66" s="181">
        <f>(2*Table_03[[#This Row],[Width w (in)]]*Table_03[[#This Row],[Flange Thickness tf (in)]]^3/3)+((Table_03[[#This Row],[Depth h (in)]]-Table_03[[#This Row],[Flange Thickness tf (in)]]*2)*Table_03[[#This Row],[Web Thickness tw (in)]]^3)/3</f>
        <v>1.3815260017133332E-2</v>
      </c>
      <c r="AA66" s="181">
        <f>Table_03[[#This Row],[Width w (in)]]*0.5/Table_03[[#This Row],[Flange Thickness tf (in)]]</f>
        <v>8.777070063694266</v>
      </c>
      <c r="AB66" s="181">
        <f>0.38*SQRT($B$4/Table_03[[#This Row],[Strength (ksi)]])</f>
        <v>9.1516118798821449</v>
      </c>
      <c r="AC66" s="181">
        <f>1*SQRT($B$4/Table_03[[#This Row],[Strength (ksi)]])</f>
        <v>24.083189157584592</v>
      </c>
      <c r="AD66" s="181" t="e">
        <f>(PI()^2*$B$4/(12*$B$5/Table_03[[#This Row],[rts]])^2)*SQRT(1+0.078*(Table_03[[#This Row],[J*]]/(Table_03[[#This Row],[Static Parameters Elastic Section Modulus Sx (in3)2]]*Table_03[[#This Row],[ho]])*$B$4/(12*$B$5/Table_03[[#This Row],[rts]])^2))</f>
        <v>#DIV/0!</v>
      </c>
      <c r="AE66" s="181">
        <f>0.69*$B$4/Table_03[[#This Row],[b/t]]^2</f>
        <v>259.7454557519049</v>
      </c>
      <c r="AF66" s="183">
        <f>Table_03[[#This Row],[Strength (ksi)]]*Table_03[[#This Row],[Static Parameters Plastic Section Modulus Zx (in3)]]</f>
        <v>0</v>
      </c>
      <c r="AG66" s="181">
        <f>Table_03[[#This Row],[Mp (k-in)]]-(Table_03[[#This Row],[Mp (k-in)]]-0.7*Table_03[[#This Row],[Strength (ksi)]]*Table_03[[#This Row],[Static Parameters Elastic Section Modulus Sx (in3)2]])*((Table_03[[#This Row],[b/t]]-Table_03[[#This Row],[λpf]])/(Table_03[[#This Row],[λrf]]-Table_03[[#This Row],[λpf]]))</f>
        <v>0</v>
      </c>
      <c r="AH66" s="184">
        <f>0.9*$B$4*Table_03[[#This Row],[kc]]*Table_03[[#This Row],[Static Parameters Elastic Section Modulus Sx (in3)2]]/Table_03[[#This Row],[b/t]]^2</f>
        <v>0</v>
      </c>
      <c r="AI66" s="185" t="str">
        <f>IF(Table_03[[#This Row],[b/t]]&lt;Table_03[[#This Row],[λpf]],"Compact",IF(AND(Table_03[[#This Row],[b/t]]&gt;Table_03[[#This Row],[λpf]],Table_03[[#This Row],[λrf]]&gt;Table_03[[#This Row],[b/t]]),"Non-Compact","Slender"))</f>
        <v>Compact</v>
      </c>
      <c r="AJ66" s="186">
        <f>IF(Table_03[[#This Row],[Controlling LBx]]="Compact",Table_03[[#This Row],[Mp (k-in)]],IF(Table_03[[#This Row],[Controlling LBx]]="Non-Compact",Table_03[[#This Row],[Mnlb,Non-Compact (k-in)]],IF(Table_03[[#This Row],[Controlling LBx]]="Slender",Table_03[[#This Row],[Mnlb,slender (k-in)]],"ERROR")))</f>
        <v>0</v>
      </c>
      <c r="AK66" s="183" t="e">
        <f>Table_03[[#This Row],[Mp (k-in)]]-(Table_03[[#This Row],[Mp (k-in)]]-0.7*Table_03[[#This Row],[Strength (ksi)]]*Table_03[[#This Row],[Static Parameters Elastic Section Modulus Sx (in3)2]])*(($B$5-Table_03[[#This Row],[Lp (ft)]])/(Table_03[[#This Row],[Lr]]-Table_03[[#This Row],[Lp (ft)]]))</f>
        <v>#DIV/0!</v>
      </c>
      <c r="AL66" s="184" t="e">
        <f>Table_03[[#This Row],[Fcrx]]*Table_03[[#This Row],[Static Parameters Elastic Section Modulus Sx (in3)2]]</f>
        <v>#DIV/0!</v>
      </c>
      <c r="AM66" s="185" t="e">
        <f>IF($B$5&lt;Table_03[[#This Row],[Lp (ft)]],"Yielding Controls",IF(AND($B$5&gt;Table_03[[#This Row],[Lp (ft)]],Table_03[[#This Row],[Lr]]&gt;$B$5),"Mltb,p Controls","Mltb,r Controls"))</f>
        <v>#DIV/0!</v>
      </c>
      <c r="AN66" s="186" t="e">
        <f>IF(Table_03[[#This Row],[Controlling LTB]]="Yielding Controls",Table_03[[#This Row],[Mp (k-in)]],IF(Table_03[[#This Row],[Controlling LTB]]="Mltb,p Controls",Table_03[[#This Row],[Mnltbp (k-in)]],IF(Table_03[[#This Row],[Controlling LTB]]="Mltb,r Controls",Table_03[[#This Row],[Mnltbr (k-in)]],"ERROR")))</f>
        <v>#DIV/0!</v>
      </c>
      <c r="AO66" s="183">
        <f>MIN(Table_03[[#This Row],[Strength (ksi)]]*Table_03[[#This Row],[Static Parameters Plastic Section Modulus Zy (in3)]],1.6*Table_03[[#This Row],[Strength (ksi)]]*Table_03[[#This Row],[Static Parameters Elastic Section Modulus Sy (in3)3]])</f>
        <v>0</v>
      </c>
      <c r="AP66" s="181">
        <f>MIN(Table_03[[#This Row],[Mny (k-in)]],Table_03[[#This Row],[Mny (k-in)]]-(Table_03[[#This Row],[Mny (k-in)]]-0.7*Table_03[[#This Row],[Static Parameters Elastic Section Modulus Sy (in3)3]]*Table_03[[#This Row],[Strength (ksi)]])*((Table_03[[#This Row],[b/t]]-Table_03[[#This Row],[λpf]])/(Table_03[[#This Row],[λrf]]-Table_03[[#This Row],[λpf]])))</f>
        <v>0</v>
      </c>
      <c r="AQ66" s="184">
        <f>MIN(Table_03[[#This Row],[Mny (k-in)]],Table_03[[#This Row],[Fcry]]*Table_03[[#This Row],[Static Parameters Elastic Section Modulus Sy (in3)3]])</f>
        <v>0</v>
      </c>
      <c r="AR66" s="185" t="str">
        <f>IF(Table_03[[#This Row],[b/t]]&lt;Table_03[[#This Row],[λpf]],"Compact",IF(AND(Table_03[[#This Row],[b/t]]&gt;Table_03[[#This Row],[λpf]],Table_03[[#This Row],[λrf]]&gt;Table_03[[#This Row],[b/t]]),"Non-Compact","Slender"))</f>
        <v>Compact</v>
      </c>
      <c r="AS66" s="186">
        <f>IF(Table_03[[#This Row],[Controlling Lby]]="Compact",Table_03[[#This Row],[Mny (k-in)]],IF(Table_03[[#This Row],[Controlling Lby]]="Non-Compact",Table_03[[#This Row],[Mlby,Non-Compact (k-in)]],IF(Table_03[[#This Row],[Controlling Lby]]="Slender",Table_03[[#This Row],[Mlby,Slender (k-in)]],"ERROR")))</f>
        <v>0</v>
      </c>
      <c r="AT66" s="183" t="e">
        <f>MIN(Table_03[[#This Row],[LBx]],Table_03[[#This Row],[LTB]],Table_03[[#This Row],[Mp (k-in)]])</f>
        <v>#DIV/0!</v>
      </c>
      <c r="AU66" s="181">
        <f>Table_03[[#This Row],[Mp (k-in)]]</f>
        <v>0</v>
      </c>
      <c r="AV66" s="181">
        <f>MIN(Table_03[[#This Row],[LBy]],Table_03[[#This Row],[Mny (k-in)]])</f>
        <v>0</v>
      </c>
      <c r="AW66" s="187">
        <f>Table_03[[#This Row],[Mny (k-in)]]</f>
        <v>0</v>
      </c>
      <c r="AX66" s="169"/>
      <c r="AY66" s="165">
        <f>IF(4/SQRT((Table_03[[#This Row],[Depth h (in)]]-Table_03[[#This Row],[Flange Thickness tf (in)]]*2)/Table_03[[#This Row],[Web Thickness tw (in)]])&lt;0.35,0.35,IF(4/SQRT(Table_03[[#This Row],[Depth h (in)]]/Table_03[[#This Row],[Web Thickness tw (in)]])&gt;0.76,0.76,4/SQRT(Table_03[[#This Row],[Depth h (in)]]/Table_03[[#This Row],[Web Thickness tw (in)]])))</f>
        <v>0.67509220327858721</v>
      </c>
      <c r="AZ66" s="169"/>
    </row>
    <row r="67" spans="1:52" x14ac:dyDescent="0.3">
      <c r="A67" s="188" t="s">
        <v>165</v>
      </c>
      <c r="B67" s="189">
        <f>B65-$B$2*2</f>
        <v>5.5118</v>
      </c>
      <c r="C67" s="189">
        <f>C65-$B$2*2</f>
        <v>2.7559999999999998</v>
      </c>
      <c r="D67" s="189">
        <f>D65-$B$2*2</f>
        <v>0.157</v>
      </c>
      <c r="E67" s="189">
        <f>E65-$B$2*2</f>
        <v>0.157</v>
      </c>
      <c r="F67" s="190">
        <v>1.1200000000000001</v>
      </c>
      <c r="G67" s="189"/>
      <c r="H67" s="190">
        <v>5.3</v>
      </c>
      <c r="I67" s="190">
        <v>1.0900000000000001</v>
      </c>
      <c r="J67" s="190">
        <v>2.25</v>
      </c>
      <c r="K67" s="190">
        <v>0.92900000000000005</v>
      </c>
      <c r="L67" s="190">
        <v>1.94</v>
      </c>
      <c r="M67" s="190">
        <v>0.60499999999999998</v>
      </c>
      <c r="N67" s="191">
        <v>50</v>
      </c>
      <c r="O67" s="169">
        <f>SQRT(Table_03[[#This Row],[Static Parameters Moment of Inertia Ix (in4)]]/Table_03[[#This Row],[Sectional Area (in2)]])</f>
        <v>2.1753489046915799</v>
      </c>
      <c r="P67" s="190">
        <f>SQRT(Table_03[[#This Row],[Static Parameters Moment of Inertia Iy (in4)]]/Table_03[[#This Row],[Sectional Area (in2)]])</f>
        <v>0.9865162369237952</v>
      </c>
      <c r="Q67" s="190">
        <f>($B$6*$B$5*12)/Table_03[[#This Row],[ry (in)2]]</f>
        <v>182.00410016552988</v>
      </c>
      <c r="R67" s="190">
        <f>(PI()^2*$B$4)/(Table_03[[#This Row],[KL/ry]]^2)</f>
        <v>8.6404308654359259</v>
      </c>
      <c r="S67" s="190">
        <f>IF(Table_03[[#This Row],[Strength (ksi)]]/Table_03[[#This Row],[Fe,y]]&lt;2.25,(0.658^(Table_03[[#This Row],[Strength (ksi)]]/Table_03[[#This Row],[Fe,y]])*Table_03[[#This Row],[Strength (ksi)]]),0.877*Table_03[[#This Row],[Fe,y]])</f>
        <v>7.5776578689873073</v>
      </c>
      <c r="T67" s="190">
        <f>Table_03[[#This Row],[Fcr,y]]*Table_03[[#This Row],[Sectional Area (in2)]]</f>
        <v>8.4869768132657857</v>
      </c>
      <c r="U67" s="190">
        <f>1.76*Table_03[[#This Row],[ry (in)2]]*SQRT($B$4/Table_03[[#This Row],[Strength (ksi)]])/12</f>
        <v>3.4845737139934303</v>
      </c>
      <c r="V6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11.367097173374232</v>
      </c>
      <c r="W67" s="190">
        <f>Table_03[[#This Row],[Depth h (in)]]-Table_03[[#This Row],[Flange Thickness tf (in)]]</f>
        <v>5.3548</v>
      </c>
      <c r="X67" s="190">
        <f>(Table_03[[#This Row],[Static Parameters Moment of Inertia Iy (in4)]]*Table_03[[#This Row],[ho]]^2)/4</f>
        <v>7.8136331284000002</v>
      </c>
      <c r="Y67" s="190">
        <f>SQRT((SQRT(Table_03[[#This Row],[Static Parameters Moment of Inertia Iy (in4)]]*Table_03[[#This Row],[Cw*]])/Table_03[[#This Row],[Static Parameters Elastic Section Modulus Sx (in3)2]]))</f>
        <v>1.2265041260158975</v>
      </c>
      <c r="Z67" s="190">
        <f>(2*Table_03[[#This Row],[Width w (in)]]*Table_03[[#This Row],[Flange Thickness tf (in)]]^3/3)+((Table_03[[#This Row],[Depth h (in)]]-Table_03[[#This Row],[Flange Thickness tf (in)]]*2)*Table_03[[#This Row],[Web Thickness tw (in)]]^3)/3</f>
        <v>1.3815260017133332E-2</v>
      </c>
      <c r="AA67" s="190">
        <f>Table_03[[#This Row],[Width w (in)]]*0.5/Table_03[[#This Row],[Flange Thickness tf (in)]]</f>
        <v>8.777070063694266</v>
      </c>
      <c r="AB67" s="190">
        <f>0.38*SQRT($B$4/Table_03[[#This Row],[Strength (ksi)]])</f>
        <v>9.1516118798821449</v>
      </c>
      <c r="AC67" s="190">
        <f>1*SQRT($B$4/Table_03[[#This Row],[Strength (ksi)]])</f>
        <v>24.083189157584592</v>
      </c>
      <c r="AD67" s="190">
        <f>(PI()^2*$B$4/(12*$B$5/Table_03[[#This Row],[rts]])^2)*SQRT(1+0.078*(Table_03[[#This Row],[J*]]/(Table_03[[#This Row],[Static Parameters Elastic Section Modulus Sx (in3)2]]*Table_03[[#This Row],[ho]])*$B$4/(12*$B$5/Table_03[[#This Row],[rts]])^2))</f>
        <v>58.916633084437827</v>
      </c>
      <c r="AE67" s="190">
        <f>0.69*$B$4/Table_03[[#This Row],[b/t]]^2</f>
        <v>259.7454557519049</v>
      </c>
      <c r="AF67" s="192">
        <f>Table_03[[#This Row],[Strength (ksi)]]*Table_03[[#This Row],[Static Parameters Plastic Section Modulus Zx (in3)]]</f>
        <v>112.5</v>
      </c>
      <c r="AG67" s="190">
        <f>Table_03[[#This Row],[Mp (k-in)]]-(Table_03[[#This Row],[Mp (k-in)]]-0.7*Table_03[[#This Row],[Strength (ksi)]]*Table_03[[#This Row],[Static Parameters Elastic Section Modulus Sx (in3)2]])*((Table_03[[#This Row],[b/t]]-Table_03[[#This Row],[λpf]])/(Table_03[[#This Row],[λrf]]-Table_03[[#This Row],[λpf]]))</f>
        <v>113.61874081962691</v>
      </c>
      <c r="AH67" s="193">
        <f>0.9*$B$4*Table_03[[#This Row],[kc]]*Table_03[[#This Row],[Static Parameters Elastic Section Modulus Sx (in3)2]]/Table_03[[#This Row],[b/t]]^2</f>
        <v>443.71713405573814</v>
      </c>
      <c r="AI67" s="194" t="str">
        <f>IF(Table_03[[#This Row],[b/t]]&lt;Table_03[[#This Row],[λpf]],"Compact",IF(AND(Table_03[[#This Row],[b/t]]&gt;Table_03[[#This Row],[λpf]],Table_03[[#This Row],[λrf]]&gt;Table_03[[#This Row],[b/t]]),"Non-Compact","Slender"))</f>
        <v>Compact</v>
      </c>
      <c r="AJ67" s="195">
        <f>IF(Table_03[[#This Row],[Controlling LBx]]="Compact",Table_03[[#This Row],[Mp (k-in)]],IF(Table_03[[#This Row],[Controlling LBx]]="Non-Compact",Table_03[[#This Row],[Mnlb,Non-Compact (k-in)]],IF(Table_03[[#This Row],[Controlling LBx]]="Slender",Table_03[[#This Row],[Mnlb,slender (k-in)]],"ERROR")))</f>
        <v>112.5</v>
      </c>
      <c r="AK67" s="192">
        <f>Table_03[[#This Row],[Mp (k-in)]]-(Table_03[[#This Row],[Mp (k-in)]]-0.7*Table_03[[#This Row],[Strength (ksi)]]*Table_03[[#This Row],[Static Parameters Elastic Section Modulus Sx (in3)2]])*(($B$5-Table_03[[#This Row],[Lp (ft)]])/(Table_03[[#This Row],[Lr]]-Table_03[[#This Row],[Lp (ft)]]))</f>
        <v>91.902152978984319</v>
      </c>
      <c r="AL67" s="196">
        <f>Table_03[[#This Row],[Fcrx]]*Table_03[[#This Row],[Static Parameters Elastic Section Modulus Sx (in3)2]]</f>
        <v>114.29826818380938</v>
      </c>
      <c r="AM67" s="197" t="str">
        <f>IF($B$5&lt;Table_03[[#This Row],[Lp (ft)]],"Yielding Controls",IF(AND($B$5&gt;Table_03[[#This Row],[Lp (ft)]],Table_03[[#This Row],[Lr]]&gt;$B$5),"Mltb,p Controls","Mltb,r Controls"))</f>
        <v>Mltb,p Controls</v>
      </c>
      <c r="AN67" s="198">
        <f>IF(Table_03[[#This Row],[Controlling LTB]]="Yielding Controls",Table_03[[#This Row],[Mp (k-in)]],IF(Table_03[[#This Row],[Controlling LTB]]="Mltb,p Controls",Table_03[[#This Row],[Mnltbp (k-in)]],IF(Table_03[[#This Row],[Controlling LTB]]="Mltb,r Controls",Table_03[[#This Row],[Mnltbr (k-in)]],"ERROR")))</f>
        <v>91.902152978984319</v>
      </c>
      <c r="AO67" s="199">
        <f>MIN(Table_03[[#This Row],[Strength (ksi)]]*Table_03[[#This Row],[Static Parameters Plastic Section Modulus Zy (in3)]],1.6*Table_03[[#This Row],[Strength (ksi)]]*Table_03[[#This Row],[Static Parameters Elastic Section Modulus Sy (in3)3]])</f>
        <v>46.45</v>
      </c>
      <c r="AP67" s="169">
        <f>MIN(Table_03[[#This Row],[Mny (k-in)]],Table_03[[#This Row],[Mny (k-in)]]-(Table_03[[#This Row],[Mny (k-in)]]-0.7*Table_03[[#This Row],[Static Parameters Elastic Section Modulus Sy (in3)3]]*Table_03[[#This Row],[Strength (ksi)]])*((Table_03[[#This Row],[b/t]]-Table_03[[#This Row],[λpf]])/(Table_03[[#This Row],[λrf]]-Table_03[[#This Row],[λpf]])))</f>
        <v>46.45</v>
      </c>
      <c r="AQ67" s="196">
        <f>MIN(Table_03[[#This Row],[Mny (k-in)]],Table_03[[#This Row],[Fcry]]*Table_03[[#This Row],[Static Parameters Elastic Section Modulus Sy (in3)3]])</f>
        <v>46.45</v>
      </c>
      <c r="AR67" s="197" t="str">
        <f>IF(Table_03[[#This Row],[b/t]]&lt;Table_03[[#This Row],[λpf]],"Compact",IF(AND(Table_03[[#This Row],[b/t]]&gt;Table_03[[#This Row],[λpf]],Table_03[[#This Row],[λrf]]&gt;Table_03[[#This Row],[b/t]]),"Non-Compact","Slender"))</f>
        <v>Compact</v>
      </c>
      <c r="AS67" s="198">
        <f>IF(Table_03[[#This Row],[Controlling Lby]]="Compact",Table_03[[#This Row],[Mny (k-in)]],IF(Table_03[[#This Row],[Controlling Lby]]="Non-Compact",Table_03[[#This Row],[Mlby,Non-Compact (k-in)]],IF(Table_03[[#This Row],[Controlling Lby]]="Slender",Table_03[[#This Row],[Mlby,Slender (k-in)]],"ERROR")))</f>
        <v>46.45</v>
      </c>
      <c r="AT67" s="199">
        <f>MIN(Table_03[[#This Row],[LBx]],Table_03[[#This Row],[LTB]],Table_03[[#This Row],[Mp (k-in)]])</f>
        <v>91.902152978984319</v>
      </c>
      <c r="AU67" s="169">
        <f>Table_03[[#This Row],[Mp (k-in)]]</f>
        <v>112.5</v>
      </c>
      <c r="AV67" s="169">
        <f>MIN(Table_03[[#This Row],[LBy]],Table_03[[#This Row],[Mny (k-in)]])</f>
        <v>46.45</v>
      </c>
      <c r="AW67" s="200">
        <f>Table_03[[#This Row],[Mny (k-in)]]</f>
        <v>46.45</v>
      </c>
      <c r="AX67" s="169"/>
      <c r="AY67" s="165">
        <f>IF(4/SQRT((Table_03[[#This Row],[Depth h (in)]]-Table_03[[#This Row],[Flange Thickness tf (in)]]*2)/Table_03[[#This Row],[Web Thickness tw (in)]])&lt;0.35,0.35,IF(4/SQRT(Table_03[[#This Row],[Depth h (in)]]/Table_03[[#This Row],[Web Thickness tw (in)]])&gt;0.76,0.76,4/SQRT(Table_03[[#This Row],[Depth h (in)]]/Table_03[[#This Row],[Web Thickness tw (in)]])))</f>
        <v>0.67509220327858721</v>
      </c>
      <c r="AZ67" s="169"/>
    </row>
    <row r="68" spans="1:52" s="216" customFormat="1" ht="14.4" thickBot="1" x14ac:dyDescent="0.35">
      <c r="A68" s="201" t="s">
        <v>166</v>
      </c>
      <c r="B68" s="202">
        <v>5.9059999999999997</v>
      </c>
      <c r="C68" s="202">
        <v>1.9690000000000001</v>
      </c>
      <c r="D68" s="202">
        <v>0.105</v>
      </c>
      <c r="E68" s="202">
        <v>0.105</v>
      </c>
      <c r="F68" s="203">
        <v>1.07</v>
      </c>
      <c r="G68" s="204"/>
      <c r="H68" s="203">
        <v>5.36</v>
      </c>
      <c r="I68" s="203">
        <v>0.47599999999999998</v>
      </c>
      <c r="J68" s="203">
        <v>2.16</v>
      </c>
      <c r="K68" s="203">
        <v>0.51400000000000001</v>
      </c>
      <c r="L68" s="203">
        <v>1.82</v>
      </c>
      <c r="M68" s="203">
        <v>0.33200000000000002</v>
      </c>
      <c r="N68" s="205">
        <v>50</v>
      </c>
      <c r="O68" s="206">
        <f>SQRT(Table_03[[#This Row],[Static Parameters Moment of Inertia Ix (in4)]]/Table_03[[#This Row],[Sectional Area (in2)]])</f>
        <v>2.2381567850337301</v>
      </c>
      <c r="P68" s="203">
        <f>SQRT(Table_03[[#This Row],[Static Parameters Moment of Inertia Iy (in4)]]/Table_03[[#This Row],[Sectional Area (in2)]])</f>
        <v>0.66697812039384929</v>
      </c>
      <c r="Q68" s="203">
        <f>($B$6*$B$5*12)/Table_03[[#This Row],[ry (in)2]]</f>
        <v>269.19923534219697</v>
      </c>
      <c r="R68" s="203">
        <f>(PI()^2*$B$4)/(Table_03[[#This Row],[KL/ry]]^2)</f>
        <v>3.949572582509818</v>
      </c>
      <c r="S68" s="203">
        <f>IF(Table_03[[#This Row],[Strength (ksi)]]/Table_03[[#This Row],[Fe,y]]&lt;2.25,(0.658^(Table_03[[#This Row],[Strength (ksi)]]/Table_03[[#This Row],[Fe,y]])*Table_03[[#This Row],[Strength (ksi)]]),0.877*Table_03[[#This Row],[Fe,y]])</f>
        <v>3.4637751548611102</v>
      </c>
      <c r="T68" s="203">
        <f>Table_03[[#This Row],[Fcr,y]]*Table_03[[#This Row],[Sectional Area (in2)]]</f>
        <v>3.706239415701388</v>
      </c>
      <c r="U68" s="203">
        <f>1.76*Table_03[[#This Row],[ry (in)2]]*SQRT($B$4/Table_03[[#This Row],[Strength (ksi)]])/12</f>
        <v>2.3559008348209107</v>
      </c>
      <c r="V6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6.9474384420505073</v>
      </c>
      <c r="W68" s="203">
        <f>Table_03[[#This Row],[Depth h (in)]]-Table_03[[#This Row],[Flange Thickness tf (in)]]</f>
        <v>5.8009999999999993</v>
      </c>
      <c r="X68" s="203">
        <f>(Table_03[[#This Row],[Static Parameters Moment of Inertia Iy (in4)]]*Table_03[[#This Row],[ho]]^2)/4</f>
        <v>4.004540518999999</v>
      </c>
      <c r="Y68" s="203">
        <f>SQRT((SQRT(Table_03[[#This Row],[Static Parameters Moment of Inertia Iy (in4)]]*Table_03[[#This Row],[Cw*]])/Table_03[[#This Row],[Static Parameters Elastic Section Modulus Sx (in3)2]]))</f>
        <v>0.87097204759527591</v>
      </c>
      <c r="Z68" s="203">
        <f>(2*Table_03[[#This Row],[Width w (in)]]*Table_03[[#This Row],[Flange Thickness tf (in)]]^3/3)+((Table_03[[#This Row],[Depth h (in)]]-Table_03[[#This Row],[Flange Thickness tf (in)]]*2)*Table_03[[#This Row],[Web Thickness tw (in)]]^3)/3</f>
        <v>3.7175197499999995E-3</v>
      </c>
      <c r="AA68" s="203">
        <f>Table_03[[#This Row],[Width w (in)]]*0.5/Table_03[[#This Row],[Flange Thickness tf (in)]]</f>
        <v>9.3761904761904766</v>
      </c>
      <c r="AB68" s="203">
        <f>0.38*SQRT($B$4/Table_03[[#This Row],[Strength (ksi)]])</f>
        <v>9.1516118798821449</v>
      </c>
      <c r="AC68" s="203">
        <f>1*SQRT($B$4/Table_03[[#This Row],[Strength (ksi)]])</f>
        <v>24.083189157584592</v>
      </c>
      <c r="AD68" s="203">
        <f>(PI()^2*$B$4/(12*$B$5/Table_03[[#This Row],[rts]])^2)*SQRT(1+0.078*(Table_03[[#This Row],[J*]]/(Table_03[[#This Row],[Static Parameters Elastic Section Modulus Sx (in3)2]]*Table_03[[#This Row],[ho]])*$B$4/(12*$B$5/Table_03[[#This Row],[rts]])^2))</f>
        <v>29.702424118594205</v>
      </c>
      <c r="AE68" s="203">
        <f>0.69*$B$4/Table_03[[#This Row],[b/t]]^2</f>
        <v>227.61152356188262</v>
      </c>
      <c r="AF68" s="207">
        <f>Table_03[[#This Row],[Strength (ksi)]]*Table_03[[#This Row],[Static Parameters Plastic Section Modulus Zx (in3)]]</f>
        <v>108</v>
      </c>
      <c r="AG68" s="203">
        <f>Table_03[[#This Row],[Mp (k-in)]]-(Table_03[[#This Row],[Mp (k-in)]]-0.7*Table_03[[#This Row],[Strength (ksi)]]*Table_03[[#This Row],[Static Parameters Elastic Section Modulus Sx (in3)2]])*((Table_03[[#This Row],[b/t]]-Table_03[[#This Row],[λpf]])/(Table_03[[#This Row],[λrf]]-Table_03[[#This Row],[λpf]]))</f>
        <v>107.33370523211128</v>
      </c>
      <c r="AH68" s="208">
        <f>0.9*$B$4*Table_03[[#This Row],[kc]]*Table_03[[#This Row],[Static Parameters Elastic Section Modulus Sx (in3)2]]/Table_03[[#This Row],[b/t]]^2</f>
        <v>288.18208029192851</v>
      </c>
      <c r="AI68" s="209" t="str">
        <f>IF(Table_03[[#This Row],[b/t]]&lt;Table_03[[#This Row],[λpf]],"Compact",IF(AND(Table_03[[#This Row],[b/t]]&gt;Table_03[[#This Row],[λpf]],Table_03[[#This Row],[λrf]]&gt;Table_03[[#This Row],[b/t]]),"Non-Compact","Slender"))</f>
        <v>Non-Compact</v>
      </c>
      <c r="AJ68" s="210">
        <f>IF(Table_03[[#This Row],[Controlling LBx]]="Compact",Table_03[[#This Row],[Mp (k-in)]],IF(Table_03[[#This Row],[Controlling LBx]]="Non-Compact",Table_03[[#This Row],[Mnlb,Non-Compact (k-in)]],IF(Table_03[[#This Row],[Controlling LBx]]="Slender",Table_03[[#This Row],[Mnlb,slender (k-in)]],"ERROR")))</f>
        <v>107.33370523211128</v>
      </c>
      <c r="AK68" s="207">
        <f>Table_03[[#This Row],[Mp (k-in)]]-(Table_03[[#This Row],[Mp (k-in)]]-0.7*Table_03[[#This Row],[Strength (ksi)]]*Table_03[[#This Row],[Static Parameters Elastic Section Modulus Sx (in3)2]])*(($B$5-Table_03[[#This Row],[Lp (ft)]])/(Table_03[[#This Row],[Lr]]-Table_03[[#This Row],[Lp (ft)]]))</f>
        <v>61.986853405103965</v>
      </c>
      <c r="AL68" s="211">
        <f>Table_03[[#This Row],[Fcrx]]*Table_03[[#This Row],[Static Parameters Elastic Section Modulus Sx (in3)2]]</f>
        <v>54.058411895841452</v>
      </c>
      <c r="AM68" s="212" t="str">
        <f>IF($B$5&lt;Table_03[[#This Row],[Lp (ft)]],"Yielding Controls",IF(AND($B$5&gt;Table_03[[#This Row],[Lp (ft)]],Table_03[[#This Row],[Lr]]&gt;$B$5),"Mltb,p Controls","Mltb,r Controls"))</f>
        <v>Mltb,r Controls</v>
      </c>
      <c r="AN68" s="213">
        <f>IF(Table_03[[#This Row],[Controlling LTB]]="Yielding Controls",Table_03[[#This Row],[Mp (k-in)]],IF(Table_03[[#This Row],[Controlling LTB]]="Mltb,p Controls",Table_03[[#This Row],[Mnltbp (k-in)]],IF(Table_03[[#This Row],[Controlling LTB]]="Mltb,r Controls",Table_03[[#This Row],[Mnltbr (k-in)]],"ERROR")))</f>
        <v>54.058411895841452</v>
      </c>
      <c r="AO68" s="214">
        <f>MIN(Table_03[[#This Row],[Strength (ksi)]]*Table_03[[#This Row],[Static Parameters Plastic Section Modulus Zy (in3)]],1.6*Table_03[[#This Row],[Strength (ksi)]]*Table_03[[#This Row],[Static Parameters Elastic Section Modulus Sy (in3)3]])</f>
        <v>25.7</v>
      </c>
      <c r="AP68" s="206">
        <f>MIN(Table_03[[#This Row],[Mny (k-in)]],Table_03[[#This Row],[Mny (k-in)]]-(Table_03[[#This Row],[Mny (k-in)]]-0.7*Table_03[[#This Row],[Static Parameters Elastic Section Modulus Sy (in3)3]]*Table_03[[#This Row],[Strength (ksi)]])*((Table_03[[#This Row],[b/t]]-Table_03[[#This Row],[λpf]])/(Table_03[[#This Row],[λrf]]-Table_03[[#This Row],[λpf]])))</f>
        <v>25.488229563614603</v>
      </c>
      <c r="AQ68" s="211">
        <f>MIN(Table_03[[#This Row],[Mny (k-in)]],Table_03[[#This Row],[Fcry]]*Table_03[[#This Row],[Static Parameters Elastic Section Modulus Sy (in3)3]])</f>
        <v>25.7</v>
      </c>
      <c r="AR68" s="212" t="str">
        <f>IF(Table_03[[#This Row],[b/t]]&lt;Table_03[[#This Row],[λpf]],"Compact",IF(AND(Table_03[[#This Row],[b/t]]&gt;Table_03[[#This Row],[λpf]],Table_03[[#This Row],[λrf]]&gt;Table_03[[#This Row],[b/t]]),"Non-Compact","Slender"))</f>
        <v>Non-Compact</v>
      </c>
      <c r="AS68" s="213">
        <f>IF(Table_03[[#This Row],[Controlling Lby]]="Compact",Table_03[[#This Row],[Mny (k-in)]],IF(Table_03[[#This Row],[Controlling Lby]]="Non-Compact",Table_03[[#This Row],[Mlby,Non-Compact (k-in)]],IF(Table_03[[#This Row],[Controlling Lby]]="Slender",Table_03[[#This Row],[Mlby,Slender (k-in)]],"ERROR")))</f>
        <v>25.488229563614603</v>
      </c>
      <c r="AT68" s="214">
        <f>MIN(Table_03[[#This Row],[LBx]],Table_03[[#This Row],[LTB]],Table_03[[#This Row],[Mp (k-in)]])</f>
        <v>54.058411895841452</v>
      </c>
      <c r="AU68" s="206">
        <f>Table_03[[#This Row],[Mp (k-in)]]</f>
        <v>108</v>
      </c>
      <c r="AV68" s="206">
        <f>MIN(Table_03[[#This Row],[LBy]],Table_03[[#This Row],[Mny (k-in)]])</f>
        <v>25.488229563614603</v>
      </c>
      <c r="AW68" s="215">
        <f>Table_03[[#This Row],[Mny (k-in)]]</f>
        <v>25.7</v>
      </c>
      <c r="AX68" s="169"/>
      <c r="AY68" s="165">
        <f>IF(4/SQRT((Table_03[[#This Row],[Depth h (in)]]-Table_03[[#This Row],[Flange Thickness tf (in)]]*2)/Table_03[[#This Row],[Web Thickness tw (in)]])&lt;0.35,0.35,IF(4/SQRT(Table_03[[#This Row],[Depth h (in)]]/Table_03[[#This Row],[Web Thickness tw (in)]])&gt;0.76,0.76,4/SQRT(Table_03[[#This Row],[Depth h (in)]]/Table_03[[#This Row],[Web Thickness tw (in)]])))</f>
        <v>0.53334462116963277</v>
      </c>
      <c r="AZ68" s="169"/>
    </row>
    <row r="69" spans="1:52" x14ac:dyDescent="0.3">
      <c r="A69" s="179" t="s">
        <v>167</v>
      </c>
      <c r="B69" s="180">
        <f>B68-$B$1*2</f>
        <v>5.9059999999999997</v>
      </c>
      <c r="C69" s="180">
        <f>C68-$B$1*2</f>
        <v>1.9690000000000001</v>
      </c>
      <c r="D69" s="180">
        <f>D68-$B$1*2</f>
        <v>0.105</v>
      </c>
      <c r="E69" s="180">
        <f>E68-$B$1*2</f>
        <v>0.105</v>
      </c>
      <c r="F69" s="181"/>
      <c r="G69" s="180"/>
      <c r="H69" s="180"/>
      <c r="I69" s="180"/>
      <c r="J69" s="181"/>
      <c r="K69" s="181"/>
      <c r="L69" s="181"/>
      <c r="M69" s="181"/>
      <c r="N69" s="182">
        <v>50</v>
      </c>
      <c r="O69" s="181" t="e">
        <f>SQRT(Table_03[[#This Row],[Static Parameters Moment of Inertia Ix (in4)]]/Table_03[[#This Row],[Sectional Area (in2)]])</f>
        <v>#DIV/0!</v>
      </c>
      <c r="P69" s="181" t="e">
        <f>SQRT(Table_03[[#This Row],[Static Parameters Moment of Inertia Iy (in4)]]/Table_03[[#This Row],[Sectional Area (in2)]])</f>
        <v>#DIV/0!</v>
      </c>
      <c r="Q69" s="181" t="e">
        <f>($B$6*$B$5*12)/Table_03[[#This Row],[ry (in)2]]</f>
        <v>#DIV/0!</v>
      </c>
      <c r="R69" s="181" t="e">
        <f>(PI()^2*$B$4)/(Table_03[[#This Row],[KL/ry]]^2)</f>
        <v>#DIV/0!</v>
      </c>
      <c r="S69" s="181" t="e">
        <f>IF(Table_03[[#This Row],[Strength (ksi)]]/Table_03[[#This Row],[Fe,y]]&lt;2.25,(0.658^(Table_03[[#This Row],[Strength (ksi)]]/Table_03[[#This Row],[Fe,y]])*Table_03[[#This Row],[Strength (ksi)]]),0.877*Table_03[[#This Row],[Fe,y]])</f>
        <v>#DIV/0!</v>
      </c>
      <c r="T69" s="181" t="e">
        <f>Table_03[[#This Row],[Fcr,y]]*Table_03[[#This Row],[Sectional Area (in2)]]</f>
        <v>#DIV/0!</v>
      </c>
      <c r="U69" s="181" t="e">
        <f>1.76*Table_03[[#This Row],[ry (in)2]]*SQRT($B$4/Table_03[[#This Row],[Strength (ksi)]])/12</f>
        <v>#DIV/0!</v>
      </c>
      <c r="V69"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69" s="181">
        <f>Table_03[[#This Row],[Depth h (in)]]-Table_03[[#This Row],[Flange Thickness tf (in)]]</f>
        <v>5.8009999999999993</v>
      </c>
      <c r="X69" s="181">
        <f>(Table_03[[#This Row],[Static Parameters Moment of Inertia Iy (in4)]]*Table_03[[#This Row],[ho]]^2)/4</f>
        <v>0</v>
      </c>
      <c r="Y69" s="181" t="e">
        <f>SQRT((SQRT(Table_03[[#This Row],[Static Parameters Moment of Inertia Iy (in4)]]*Table_03[[#This Row],[Cw*]])/Table_03[[#This Row],[Static Parameters Elastic Section Modulus Sx (in3)2]]))</f>
        <v>#DIV/0!</v>
      </c>
      <c r="Z69" s="181">
        <f>(2*Table_03[[#This Row],[Width w (in)]]*Table_03[[#This Row],[Flange Thickness tf (in)]]^3/3)+((Table_03[[#This Row],[Depth h (in)]]-Table_03[[#This Row],[Flange Thickness tf (in)]]*2)*Table_03[[#This Row],[Web Thickness tw (in)]]^3)/3</f>
        <v>3.7175197499999995E-3</v>
      </c>
      <c r="AA69" s="181">
        <f>Table_03[[#This Row],[Width w (in)]]*0.5/Table_03[[#This Row],[Flange Thickness tf (in)]]</f>
        <v>9.3761904761904766</v>
      </c>
      <c r="AB69" s="181">
        <f>0.38*SQRT($B$4/Table_03[[#This Row],[Strength (ksi)]])</f>
        <v>9.1516118798821449</v>
      </c>
      <c r="AC69" s="181">
        <f>1*SQRT($B$4/Table_03[[#This Row],[Strength (ksi)]])</f>
        <v>24.083189157584592</v>
      </c>
      <c r="AD69" s="181" t="e">
        <f>(PI()^2*$B$4/(12*$B$5/Table_03[[#This Row],[rts]])^2)*SQRT(1+0.078*(Table_03[[#This Row],[J*]]/(Table_03[[#This Row],[Static Parameters Elastic Section Modulus Sx (in3)2]]*Table_03[[#This Row],[ho]])*$B$4/(12*$B$5/Table_03[[#This Row],[rts]])^2))</f>
        <v>#DIV/0!</v>
      </c>
      <c r="AE69" s="181">
        <f>0.69*$B$4/Table_03[[#This Row],[b/t]]^2</f>
        <v>227.61152356188262</v>
      </c>
      <c r="AF69" s="183">
        <f>Table_03[[#This Row],[Strength (ksi)]]*Table_03[[#This Row],[Static Parameters Plastic Section Modulus Zx (in3)]]</f>
        <v>0</v>
      </c>
      <c r="AG69" s="181">
        <f>Table_03[[#This Row],[Mp (k-in)]]-(Table_03[[#This Row],[Mp (k-in)]]-0.7*Table_03[[#This Row],[Strength (ksi)]]*Table_03[[#This Row],[Static Parameters Elastic Section Modulus Sx (in3)2]])*((Table_03[[#This Row],[b/t]]-Table_03[[#This Row],[λpf]])/(Table_03[[#This Row],[λrf]]-Table_03[[#This Row],[λpf]]))</f>
        <v>0</v>
      </c>
      <c r="AH69" s="184">
        <f>0.9*$B$4*Table_03[[#This Row],[kc]]*Table_03[[#This Row],[Static Parameters Elastic Section Modulus Sx (in3)2]]/Table_03[[#This Row],[b/t]]^2</f>
        <v>0</v>
      </c>
      <c r="AI69" s="185" t="str">
        <f>IF(Table_03[[#This Row],[b/t]]&lt;Table_03[[#This Row],[λpf]],"Compact",IF(AND(Table_03[[#This Row],[b/t]]&gt;Table_03[[#This Row],[λpf]],Table_03[[#This Row],[λrf]]&gt;Table_03[[#This Row],[b/t]]),"Non-Compact","Slender"))</f>
        <v>Non-Compact</v>
      </c>
      <c r="AJ69" s="186">
        <f>IF(Table_03[[#This Row],[Controlling LBx]]="Compact",Table_03[[#This Row],[Mp (k-in)]],IF(Table_03[[#This Row],[Controlling LBx]]="Non-Compact",Table_03[[#This Row],[Mnlb,Non-Compact (k-in)]],IF(Table_03[[#This Row],[Controlling LBx]]="Slender",Table_03[[#This Row],[Mnlb,slender (k-in)]],"ERROR")))</f>
        <v>0</v>
      </c>
      <c r="AK69" s="183" t="e">
        <f>Table_03[[#This Row],[Mp (k-in)]]-(Table_03[[#This Row],[Mp (k-in)]]-0.7*Table_03[[#This Row],[Strength (ksi)]]*Table_03[[#This Row],[Static Parameters Elastic Section Modulus Sx (in3)2]])*(($B$5-Table_03[[#This Row],[Lp (ft)]])/(Table_03[[#This Row],[Lr]]-Table_03[[#This Row],[Lp (ft)]]))</f>
        <v>#DIV/0!</v>
      </c>
      <c r="AL69" s="184" t="e">
        <f>Table_03[[#This Row],[Fcrx]]*Table_03[[#This Row],[Static Parameters Elastic Section Modulus Sx (in3)2]]</f>
        <v>#DIV/0!</v>
      </c>
      <c r="AM69" s="185" t="e">
        <f>IF($B$5&lt;Table_03[[#This Row],[Lp (ft)]],"Yielding Controls",IF(AND($B$5&gt;Table_03[[#This Row],[Lp (ft)]],Table_03[[#This Row],[Lr]]&gt;$B$5),"Mltb,p Controls","Mltb,r Controls"))</f>
        <v>#DIV/0!</v>
      </c>
      <c r="AN69" s="186" t="e">
        <f>IF(Table_03[[#This Row],[Controlling LTB]]="Yielding Controls",Table_03[[#This Row],[Mp (k-in)]],IF(Table_03[[#This Row],[Controlling LTB]]="Mltb,p Controls",Table_03[[#This Row],[Mnltbp (k-in)]],IF(Table_03[[#This Row],[Controlling LTB]]="Mltb,r Controls",Table_03[[#This Row],[Mnltbr (k-in)]],"ERROR")))</f>
        <v>#DIV/0!</v>
      </c>
      <c r="AO69" s="183">
        <f>MIN(Table_03[[#This Row],[Strength (ksi)]]*Table_03[[#This Row],[Static Parameters Plastic Section Modulus Zy (in3)]],1.6*Table_03[[#This Row],[Strength (ksi)]]*Table_03[[#This Row],[Static Parameters Elastic Section Modulus Sy (in3)3]])</f>
        <v>0</v>
      </c>
      <c r="AP69" s="181">
        <f>MIN(Table_03[[#This Row],[Mny (k-in)]],Table_03[[#This Row],[Mny (k-in)]]-(Table_03[[#This Row],[Mny (k-in)]]-0.7*Table_03[[#This Row],[Static Parameters Elastic Section Modulus Sy (in3)3]]*Table_03[[#This Row],[Strength (ksi)]])*((Table_03[[#This Row],[b/t]]-Table_03[[#This Row],[λpf]])/(Table_03[[#This Row],[λrf]]-Table_03[[#This Row],[λpf]])))</f>
        <v>0</v>
      </c>
      <c r="AQ69" s="184">
        <f>MIN(Table_03[[#This Row],[Mny (k-in)]],Table_03[[#This Row],[Fcry]]*Table_03[[#This Row],[Static Parameters Elastic Section Modulus Sy (in3)3]])</f>
        <v>0</v>
      </c>
      <c r="AR69" s="185" t="str">
        <f>IF(Table_03[[#This Row],[b/t]]&lt;Table_03[[#This Row],[λpf]],"Compact",IF(AND(Table_03[[#This Row],[b/t]]&gt;Table_03[[#This Row],[λpf]],Table_03[[#This Row],[λrf]]&gt;Table_03[[#This Row],[b/t]]),"Non-Compact","Slender"))</f>
        <v>Non-Compact</v>
      </c>
      <c r="AS69" s="186">
        <f>IF(Table_03[[#This Row],[Controlling Lby]]="Compact",Table_03[[#This Row],[Mny (k-in)]],IF(Table_03[[#This Row],[Controlling Lby]]="Non-Compact",Table_03[[#This Row],[Mlby,Non-Compact (k-in)]],IF(Table_03[[#This Row],[Controlling Lby]]="Slender",Table_03[[#This Row],[Mlby,Slender (k-in)]],"ERROR")))</f>
        <v>0</v>
      </c>
      <c r="AT69" s="183" t="e">
        <f>MIN(Table_03[[#This Row],[LBx]],Table_03[[#This Row],[LTB]],Table_03[[#This Row],[Mp (k-in)]])</f>
        <v>#DIV/0!</v>
      </c>
      <c r="AU69" s="181">
        <f>Table_03[[#This Row],[Mp (k-in)]]</f>
        <v>0</v>
      </c>
      <c r="AV69" s="181">
        <f>MIN(Table_03[[#This Row],[LBy]],Table_03[[#This Row],[Mny (k-in)]])</f>
        <v>0</v>
      </c>
      <c r="AW69" s="187">
        <f>Table_03[[#This Row],[Mny (k-in)]]</f>
        <v>0</v>
      </c>
      <c r="AX69" s="169"/>
      <c r="AY69" s="165">
        <f>IF(4/SQRT((Table_03[[#This Row],[Depth h (in)]]-Table_03[[#This Row],[Flange Thickness tf (in)]]*2)/Table_03[[#This Row],[Web Thickness tw (in)]])&lt;0.35,0.35,IF(4/SQRT(Table_03[[#This Row],[Depth h (in)]]/Table_03[[#This Row],[Web Thickness tw (in)]])&gt;0.76,0.76,4/SQRT(Table_03[[#This Row],[Depth h (in)]]/Table_03[[#This Row],[Web Thickness tw (in)]])))</f>
        <v>0.53334462116963277</v>
      </c>
      <c r="AZ69" s="169"/>
    </row>
    <row r="70" spans="1:52" x14ac:dyDescent="0.3">
      <c r="A70" s="188" t="s">
        <v>168</v>
      </c>
      <c r="B70" s="189">
        <f>B68-$B$2*2</f>
        <v>5.9059999999999997</v>
      </c>
      <c r="C70" s="189">
        <f>C68-$B$2*2</f>
        <v>1.9690000000000001</v>
      </c>
      <c r="D70" s="189">
        <f>D68-$B$2*2</f>
        <v>0.105</v>
      </c>
      <c r="E70" s="189">
        <f>E68-$B$2*2</f>
        <v>0.105</v>
      </c>
      <c r="F70" s="190"/>
      <c r="G70" s="189"/>
      <c r="H70" s="190"/>
      <c r="I70" s="190"/>
      <c r="J70" s="190"/>
      <c r="K70" s="190"/>
      <c r="L70" s="190"/>
      <c r="M70" s="190"/>
      <c r="N70" s="191">
        <v>50</v>
      </c>
      <c r="O70" s="169" t="e">
        <f>SQRT(Table_03[[#This Row],[Static Parameters Moment of Inertia Ix (in4)]]/Table_03[[#This Row],[Sectional Area (in2)]])</f>
        <v>#DIV/0!</v>
      </c>
      <c r="P70" s="190" t="e">
        <f>SQRT(Table_03[[#This Row],[Static Parameters Moment of Inertia Iy (in4)]]/Table_03[[#This Row],[Sectional Area (in2)]])</f>
        <v>#DIV/0!</v>
      </c>
      <c r="Q70" s="190" t="e">
        <f>($B$6*$B$5*12)/Table_03[[#This Row],[ry (in)2]]</f>
        <v>#DIV/0!</v>
      </c>
      <c r="R70" s="190" t="e">
        <f>(PI()^2*$B$4)/(Table_03[[#This Row],[KL/ry]]^2)</f>
        <v>#DIV/0!</v>
      </c>
      <c r="S70" s="190" t="e">
        <f>IF(Table_03[[#This Row],[Strength (ksi)]]/Table_03[[#This Row],[Fe,y]]&lt;2.25,(0.658^(Table_03[[#This Row],[Strength (ksi)]]/Table_03[[#This Row],[Fe,y]])*Table_03[[#This Row],[Strength (ksi)]]),0.877*Table_03[[#This Row],[Fe,y]])</f>
        <v>#DIV/0!</v>
      </c>
      <c r="T70" s="190" t="e">
        <f>Table_03[[#This Row],[Fcr,y]]*Table_03[[#This Row],[Sectional Area (in2)]]</f>
        <v>#DIV/0!</v>
      </c>
      <c r="U70" s="190" t="e">
        <f>1.76*Table_03[[#This Row],[ry (in)2]]*SQRT($B$4/Table_03[[#This Row],[Strength (ksi)]])/12</f>
        <v>#DIV/0!</v>
      </c>
      <c r="V70" s="190"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70" s="190">
        <f>Table_03[[#This Row],[Depth h (in)]]-Table_03[[#This Row],[Flange Thickness tf (in)]]</f>
        <v>5.8009999999999993</v>
      </c>
      <c r="X70" s="190">
        <f>(Table_03[[#This Row],[Static Parameters Moment of Inertia Iy (in4)]]*Table_03[[#This Row],[ho]]^2)/4</f>
        <v>0</v>
      </c>
      <c r="Y70" s="190" t="e">
        <f>SQRT((SQRT(Table_03[[#This Row],[Static Parameters Moment of Inertia Iy (in4)]]*Table_03[[#This Row],[Cw*]])/Table_03[[#This Row],[Static Parameters Elastic Section Modulus Sx (in3)2]]))</f>
        <v>#DIV/0!</v>
      </c>
      <c r="Z70" s="190">
        <f>(2*Table_03[[#This Row],[Width w (in)]]*Table_03[[#This Row],[Flange Thickness tf (in)]]^3/3)+((Table_03[[#This Row],[Depth h (in)]]-Table_03[[#This Row],[Flange Thickness tf (in)]]*2)*Table_03[[#This Row],[Web Thickness tw (in)]]^3)/3</f>
        <v>3.7175197499999995E-3</v>
      </c>
      <c r="AA70" s="190">
        <f>Table_03[[#This Row],[Width w (in)]]*0.5/Table_03[[#This Row],[Flange Thickness tf (in)]]</f>
        <v>9.3761904761904766</v>
      </c>
      <c r="AB70" s="190">
        <f>0.38*SQRT($B$4/Table_03[[#This Row],[Strength (ksi)]])</f>
        <v>9.1516118798821449</v>
      </c>
      <c r="AC70" s="190">
        <f>1*SQRT($B$4/Table_03[[#This Row],[Strength (ksi)]])</f>
        <v>24.083189157584592</v>
      </c>
      <c r="AD70" s="190" t="e">
        <f>(PI()^2*$B$4/(12*$B$5/Table_03[[#This Row],[rts]])^2)*SQRT(1+0.078*(Table_03[[#This Row],[J*]]/(Table_03[[#This Row],[Static Parameters Elastic Section Modulus Sx (in3)2]]*Table_03[[#This Row],[ho]])*$B$4/(12*$B$5/Table_03[[#This Row],[rts]])^2))</f>
        <v>#DIV/0!</v>
      </c>
      <c r="AE70" s="190">
        <f>0.69*$B$4/Table_03[[#This Row],[b/t]]^2</f>
        <v>227.61152356188262</v>
      </c>
      <c r="AF70" s="192">
        <f>Table_03[[#This Row],[Strength (ksi)]]*Table_03[[#This Row],[Static Parameters Plastic Section Modulus Zx (in3)]]</f>
        <v>0</v>
      </c>
      <c r="AG70" s="190">
        <f>Table_03[[#This Row],[Mp (k-in)]]-(Table_03[[#This Row],[Mp (k-in)]]-0.7*Table_03[[#This Row],[Strength (ksi)]]*Table_03[[#This Row],[Static Parameters Elastic Section Modulus Sx (in3)2]])*((Table_03[[#This Row],[b/t]]-Table_03[[#This Row],[λpf]])/(Table_03[[#This Row],[λrf]]-Table_03[[#This Row],[λpf]]))</f>
        <v>0</v>
      </c>
      <c r="AH70" s="193">
        <f>0.9*$B$4*Table_03[[#This Row],[kc]]*Table_03[[#This Row],[Static Parameters Elastic Section Modulus Sx (in3)2]]/Table_03[[#This Row],[b/t]]^2</f>
        <v>0</v>
      </c>
      <c r="AI70" s="194" t="str">
        <f>IF(Table_03[[#This Row],[b/t]]&lt;Table_03[[#This Row],[λpf]],"Compact",IF(AND(Table_03[[#This Row],[b/t]]&gt;Table_03[[#This Row],[λpf]],Table_03[[#This Row],[λrf]]&gt;Table_03[[#This Row],[b/t]]),"Non-Compact","Slender"))</f>
        <v>Non-Compact</v>
      </c>
      <c r="AJ70" s="195">
        <f>IF(Table_03[[#This Row],[Controlling LBx]]="Compact",Table_03[[#This Row],[Mp (k-in)]],IF(Table_03[[#This Row],[Controlling LBx]]="Non-Compact",Table_03[[#This Row],[Mnlb,Non-Compact (k-in)]],IF(Table_03[[#This Row],[Controlling LBx]]="Slender",Table_03[[#This Row],[Mnlb,slender (k-in)]],"ERROR")))</f>
        <v>0</v>
      </c>
      <c r="AK70" s="192" t="e">
        <f>Table_03[[#This Row],[Mp (k-in)]]-(Table_03[[#This Row],[Mp (k-in)]]-0.7*Table_03[[#This Row],[Strength (ksi)]]*Table_03[[#This Row],[Static Parameters Elastic Section Modulus Sx (in3)2]])*(($B$5-Table_03[[#This Row],[Lp (ft)]])/(Table_03[[#This Row],[Lr]]-Table_03[[#This Row],[Lp (ft)]]))</f>
        <v>#DIV/0!</v>
      </c>
      <c r="AL70" s="196" t="e">
        <f>Table_03[[#This Row],[Fcrx]]*Table_03[[#This Row],[Static Parameters Elastic Section Modulus Sx (in3)2]]</f>
        <v>#DIV/0!</v>
      </c>
      <c r="AM70" s="197" t="e">
        <f>IF($B$5&lt;Table_03[[#This Row],[Lp (ft)]],"Yielding Controls",IF(AND($B$5&gt;Table_03[[#This Row],[Lp (ft)]],Table_03[[#This Row],[Lr]]&gt;$B$5),"Mltb,p Controls","Mltb,r Controls"))</f>
        <v>#DIV/0!</v>
      </c>
      <c r="AN70" s="198" t="e">
        <f>IF(Table_03[[#This Row],[Controlling LTB]]="Yielding Controls",Table_03[[#This Row],[Mp (k-in)]],IF(Table_03[[#This Row],[Controlling LTB]]="Mltb,p Controls",Table_03[[#This Row],[Mnltbp (k-in)]],IF(Table_03[[#This Row],[Controlling LTB]]="Mltb,r Controls",Table_03[[#This Row],[Mnltbr (k-in)]],"ERROR")))</f>
        <v>#DIV/0!</v>
      </c>
      <c r="AO70" s="199">
        <f>MIN(Table_03[[#This Row],[Strength (ksi)]]*Table_03[[#This Row],[Static Parameters Plastic Section Modulus Zy (in3)]],1.6*Table_03[[#This Row],[Strength (ksi)]]*Table_03[[#This Row],[Static Parameters Elastic Section Modulus Sy (in3)3]])</f>
        <v>0</v>
      </c>
      <c r="AP70" s="169">
        <f>MIN(Table_03[[#This Row],[Mny (k-in)]],Table_03[[#This Row],[Mny (k-in)]]-(Table_03[[#This Row],[Mny (k-in)]]-0.7*Table_03[[#This Row],[Static Parameters Elastic Section Modulus Sy (in3)3]]*Table_03[[#This Row],[Strength (ksi)]])*((Table_03[[#This Row],[b/t]]-Table_03[[#This Row],[λpf]])/(Table_03[[#This Row],[λrf]]-Table_03[[#This Row],[λpf]])))</f>
        <v>0</v>
      </c>
      <c r="AQ70" s="196">
        <f>MIN(Table_03[[#This Row],[Mny (k-in)]],Table_03[[#This Row],[Fcry]]*Table_03[[#This Row],[Static Parameters Elastic Section Modulus Sy (in3)3]])</f>
        <v>0</v>
      </c>
      <c r="AR70" s="197" t="str">
        <f>IF(Table_03[[#This Row],[b/t]]&lt;Table_03[[#This Row],[λpf]],"Compact",IF(AND(Table_03[[#This Row],[b/t]]&gt;Table_03[[#This Row],[λpf]],Table_03[[#This Row],[λrf]]&gt;Table_03[[#This Row],[b/t]]),"Non-Compact","Slender"))</f>
        <v>Non-Compact</v>
      </c>
      <c r="AS70" s="198">
        <f>IF(Table_03[[#This Row],[Controlling Lby]]="Compact",Table_03[[#This Row],[Mny (k-in)]],IF(Table_03[[#This Row],[Controlling Lby]]="Non-Compact",Table_03[[#This Row],[Mlby,Non-Compact (k-in)]],IF(Table_03[[#This Row],[Controlling Lby]]="Slender",Table_03[[#This Row],[Mlby,Slender (k-in)]],"ERROR")))</f>
        <v>0</v>
      </c>
      <c r="AT70" s="199" t="e">
        <f>MIN(Table_03[[#This Row],[LBx]],Table_03[[#This Row],[LTB]],Table_03[[#This Row],[Mp (k-in)]])</f>
        <v>#DIV/0!</v>
      </c>
      <c r="AU70" s="169">
        <f>Table_03[[#This Row],[Mp (k-in)]]</f>
        <v>0</v>
      </c>
      <c r="AV70" s="169">
        <f>MIN(Table_03[[#This Row],[LBy]],Table_03[[#This Row],[Mny (k-in)]])</f>
        <v>0</v>
      </c>
      <c r="AW70" s="200">
        <f>Table_03[[#This Row],[Mny (k-in)]]</f>
        <v>0</v>
      </c>
      <c r="AX70" s="169"/>
      <c r="AY70" s="165">
        <f>IF(4/SQRT((Table_03[[#This Row],[Depth h (in)]]-Table_03[[#This Row],[Flange Thickness tf (in)]]*2)/Table_03[[#This Row],[Web Thickness tw (in)]])&lt;0.35,0.35,IF(4/SQRT(Table_03[[#This Row],[Depth h (in)]]/Table_03[[#This Row],[Web Thickness tw (in)]])&gt;0.76,0.76,4/SQRT(Table_03[[#This Row],[Depth h (in)]]/Table_03[[#This Row],[Web Thickness tw (in)]])))</f>
        <v>0.53334462116963277</v>
      </c>
      <c r="AZ70" s="169"/>
    </row>
    <row r="71" spans="1:52" s="216" customFormat="1" ht="14.4" thickBot="1" x14ac:dyDescent="0.35">
      <c r="A71" s="201" t="s">
        <v>169</v>
      </c>
      <c r="B71" s="202">
        <v>6.6929999999999996</v>
      </c>
      <c r="C71" s="202">
        <v>1.9690000000000001</v>
      </c>
      <c r="D71" s="202">
        <v>0.11799999999999999</v>
      </c>
      <c r="E71" s="202">
        <v>0.11799999999999999</v>
      </c>
      <c r="F71" s="203">
        <v>1.35</v>
      </c>
      <c r="G71" s="204"/>
      <c r="H71" s="203">
        <v>8.61</v>
      </c>
      <c r="I71" s="203">
        <v>0.67</v>
      </c>
      <c r="J71" s="203">
        <v>3.08</v>
      </c>
      <c r="K71" s="203">
        <v>0.69399999999999995</v>
      </c>
      <c r="L71" s="203">
        <v>2.56</v>
      </c>
      <c r="M71" s="203">
        <v>0.47799999999999998</v>
      </c>
      <c r="N71" s="205">
        <v>50</v>
      </c>
      <c r="O71" s="206">
        <f>SQRT(Table_03[[#This Row],[Static Parameters Moment of Inertia Ix (in4)]]/Table_03[[#This Row],[Sectional Area (in2)]])</f>
        <v>2.5254262566501082</v>
      </c>
      <c r="P71" s="203">
        <f>SQRT(Table_03[[#This Row],[Static Parameters Moment of Inertia Iy (in4)]]/Table_03[[#This Row],[Sectional Area (in2)]])</f>
        <v>0.70448299929543812</v>
      </c>
      <c r="Q71" s="203">
        <f>($B$6*$B$5*12)/Table_03[[#This Row],[ry (in)2]]</f>
        <v>254.86775433838733</v>
      </c>
      <c r="R71" s="203">
        <f>(PI()^2*$B$4)/(Table_03[[#This Row],[KL/ry]]^2)</f>
        <v>4.4062380709637239</v>
      </c>
      <c r="S71" s="203">
        <f>IF(Table_03[[#This Row],[Strength (ksi)]]/Table_03[[#This Row],[Fe,y]]&lt;2.25,(0.658^(Table_03[[#This Row],[Strength (ksi)]]/Table_03[[#This Row],[Fe,y]])*Table_03[[#This Row],[Strength (ksi)]]),0.877*Table_03[[#This Row],[Fe,y]])</f>
        <v>3.8642707882351859</v>
      </c>
      <c r="T71" s="203">
        <f>Table_03[[#This Row],[Fcr,y]]*Table_03[[#This Row],[Sectional Area (in2)]]</f>
        <v>5.2167655641175017</v>
      </c>
      <c r="U71" s="203">
        <f>1.76*Table_03[[#This Row],[ry (in)2]]*SQRT($B$4/Table_03[[#This Row],[Strength (ksi)]])/12</f>
        <v>2.4883756084490702</v>
      </c>
      <c r="V7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7.3827146137329231</v>
      </c>
      <c r="W71" s="203">
        <f>Table_03[[#This Row],[Depth h (in)]]-Table_03[[#This Row],[Flange Thickness tf (in)]]</f>
        <v>6.5749999999999993</v>
      </c>
      <c r="X71" s="203">
        <f>(Table_03[[#This Row],[Static Parameters Moment of Inertia Iy (in4)]]*Table_03[[#This Row],[ho]]^2)/4</f>
        <v>7.2411296874999982</v>
      </c>
      <c r="Y71" s="203">
        <f>SQRT((SQRT(Table_03[[#This Row],[Static Parameters Moment of Inertia Iy (in4)]]*Table_03[[#This Row],[Cw*]])/Table_03[[#This Row],[Static Parameters Elastic Section Modulus Sx (in3)2]]))</f>
        <v>0.92757770058631739</v>
      </c>
      <c r="Z71" s="203">
        <f>(2*Table_03[[#This Row],[Width w (in)]]*Table_03[[#This Row],[Flange Thickness tf (in)]]^3/3)+((Table_03[[#This Row],[Depth h (in)]]-Table_03[[#This Row],[Flange Thickness tf (in)]]*2)*Table_03[[#This Row],[Web Thickness tw (in)]]^3)/3</f>
        <v>5.6931058799999995E-3</v>
      </c>
      <c r="AA71" s="203">
        <f>Table_03[[#This Row],[Width w (in)]]*0.5/Table_03[[#This Row],[Flange Thickness tf (in)]]</f>
        <v>8.3432203389830519</v>
      </c>
      <c r="AB71" s="203">
        <f>0.38*SQRT($B$4/Table_03[[#This Row],[Strength (ksi)]])</f>
        <v>9.1516118798821449</v>
      </c>
      <c r="AC71" s="203">
        <f>1*SQRT($B$4/Table_03[[#This Row],[Strength (ksi)]])</f>
        <v>24.083189157584592</v>
      </c>
      <c r="AD71" s="203">
        <f>(PI()^2*$B$4/(12*$B$5/Table_03[[#This Row],[rts]])^2)*SQRT(1+0.078*(Table_03[[#This Row],[J*]]/(Table_03[[#This Row],[Static Parameters Elastic Section Modulus Sx (in3)2]]*Table_03[[#This Row],[ho]])*$B$4/(12*$B$5/Table_03[[#This Row],[rts]])^2))</f>
        <v>33.688809611734065</v>
      </c>
      <c r="AE71" s="203">
        <f>0.69*$B$4/Table_03[[#This Row],[b/t]]^2</f>
        <v>287.46148336287098</v>
      </c>
      <c r="AF71" s="207">
        <f>Table_03[[#This Row],[Strength (ksi)]]*Table_03[[#This Row],[Static Parameters Plastic Section Modulus Zx (in3)]]</f>
        <v>154</v>
      </c>
      <c r="AG71" s="203">
        <f>Table_03[[#This Row],[Mp (k-in)]]-(Table_03[[#This Row],[Mp (k-in)]]-0.7*Table_03[[#This Row],[Strength (ksi)]]*Table_03[[#This Row],[Static Parameters Elastic Section Modulus Sx (in3)2]])*((Table_03[[#This Row],[b/t]]-Table_03[[#This Row],[λpf]])/(Table_03[[#This Row],[λrf]]-Table_03[[#This Row],[λpf]]))</f>
        <v>157.4865985197454</v>
      </c>
      <c r="AH71" s="208">
        <f>0.9*$B$4*Table_03[[#This Row],[kc]]*Table_03[[#This Row],[Static Parameters Elastic Section Modulus Sx (in3)2]]/Table_03[[#This Row],[b/t]]^2</f>
        <v>509.80445793276579</v>
      </c>
      <c r="AI71" s="209" t="str">
        <f>IF(Table_03[[#This Row],[b/t]]&lt;Table_03[[#This Row],[λpf]],"Compact",IF(AND(Table_03[[#This Row],[b/t]]&gt;Table_03[[#This Row],[λpf]],Table_03[[#This Row],[λrf]]&gt;Table_03[[#This Row],[b/t]]),"Non-Compact","Slender"))</f>
        <v>Compact</v>
      </c>
      <c r="AJ71" s="210">
        <f>IF(Table_03[[#This Row],[Controlling LBx]]="Compact",Table_03[[#This Row],[Mp (k-in)]],IF(Table_03[[#This Row],[Controlling LBx]]="Non-Compact",Table_03[[#This Row],[Mnlb,Non-Compact (k-in)]],IF(Table_03[[#This Row],[Controlling LBx]]="Slender",Table_03[[#This Row],[Mnlb,slender (k-in)]],"ERROR")))</f>
        <v>154</v>
      </c>
      <c r="AK71" s="207">
        <f>Table_03[[#This Row],[Mp (k-in)]]-(Table_03[[#This Row],[Mp (k-in)]]-0.7*Table_03[[#This Row],[Strength (ksi)]]*Table_03[[#This Row],[Static Parameters Elastic Section Modulus Sx (in3)2]])*(($B$5-Table_03[[#This Row],[Lp (ft)]])/(Table_03[[#This Row],[Lr]]-Table_03[[#This Row],[Lp (ft)]]))</f>
        <v>92.99102401907237</v>
      </c>
      <c r="AL71" s="211">
        <f>Table_03[[#This Row],[Fcrx]]*Table_03[[#This Row],[Static Parameters Elastic Section Modulus Sx (in3)2]]</f>
        <v>86.24335260603921</v>
      </c>
      <c r="AM71" s="212" t="str">
        <f>IF($B$5&lt;Table_03[[#This Row],[Lp (ft)]],"Yielding Controls",IF(AND($B$5&gt;Table_03[[#This Row],[Lp (ft)]],Table_03[[#This Row],[Lr]]&gt;$B$5),"Mltb,p Controls","Mltb,r Controls"))</f>
        <v>Mltb,p Controls</v>
      </c>
      <c r="AN71" s="213">
        <f>IF(Table_03[[#This Row],[Controlling LTB]]="Yielding Controls",Table_03[[#This Row],[Mp (k-in)]],IF(Table_03[[#This Row],[Controlling LTB]]="Mltb,p Controls",Table_03[[#This Row],[Mnltbp (k-in)]],IF(Table_03[[#This Row],[Controlling LTB]]="Mltb,r Controls",Table_03[[#This Row],[Mnltbr (k-in)]],"ERROR")))</f>
        <v>92.99102401907237</v>
      </c>
      <c r="AO71" s="214">
        <f>MIN(Table_03[[#This Row],[Strength (ksi)]]*Table_03[[#This Row],[Static Parameters Plastic Section Modulus Zy (in3)]],1.6*Table_03[[#This Row],[Strength (ksi)]]*Table_03[[#This Row],[Static Parameters Elastic Section Modulus Sy (in3)3]])</f>
        <v>34.699999999999996</v>
      </c>
      <c r="AP71" s="206">
        <f>MIN(Table_03[[#This Row],[Mny (k-in)]],Table_03[[#This Row],[Mny (k-in)]]-(Table_03[[#This Row],[Mny (k-in)]]-0.7*Table_03[[#This Row],[Static Parameters Elastic Section Modulus Sy (in3)3]]*Table_03[[#This Row],[Strength (ksi)]])*((Table_03[[#This Row],[b/t]]-Table_03[[#This Row],[λpf]])/(Table_03[[#This Row],[λrf]]-Table_03[[#This Row],[λpf]])))</f>
        <v>34.699999999999996</v>
      </c>
      <c r="AQ71" s="211">
        <f>MIN(Table_03[[#This Row],[Mny (k-in)]],Table_03[[#This Row],[Fcry]]*Table_03[[#This Row],[Static Parameters Elastic Section Modulus Sy (in3)3]])</f>
        <v>34.699999999999996</v>
      </c>
      <c r="AR71" s="212" t="str">
        <f>IF(Table_03[[#This Row],[b/t]]&lt;Table_03[[#This Row],[λpf]],"Compact",IF(AND(Table_03[[#This Row],[b/t]]&gt;Table_03[[#This Row],[λpf]],Table_03[[#This Row],[λrf]]&gt;Table_03[[#This Row],[b/t]]),"Non-Compact","Slender"))</f>
        <v>Compact</v>
      </c>
      <c r="AS71" s="213">
        <f>IF(Table_03[[#This Row],[Controlling Lby]]="Compact",Table_03[[#This Row],[Mny (k-in)]],IF(Table_03[[#This Row],[Controlling Lby]]="Non-Compact",Table_03[[#This Row],[Mlby,Non-Compact (k-in)]],IF(Table_03[[#This Row],[Controlling Lby]]="Slender",Table_03[[#This Row],[Mlby,Slender (k-in)]],"ERROR")))</f>
        <v>34.699999999999996</v>
      </c>
      <c r="AT71" s="214">
        <f>MIN(Table_03[[#This Row],[LBx]],Table_03[[#This Row],[LTB]],Table_03[[#This Row],[Mp (k-in)]])</f>
        <v>92.99102401907237</v>
      </c>
      <c r="AU71" s="206">
        <f>Table_03[[#This Row],[Mp (k-in)]]</f>
        <v>154</v>
      </c>
      <c r="AV71" s="206">
        <f>MIN(Table_03[[#This Row],[LBy]],Table_03[[#This Row],[Mny (k-in)]])</f>
        <v>34.699999999999996</v>
      </c>
      <c r="AW71" s="215">
        <f>Table_03[[#This Row],[Mny (k-in)]]</f>
        <v>34.699999999999996</v>
      </c>
      <c r="AX71" s="169"/>
      <c r="AY71" s="165">
        <f>IF(4/SQRT((Table_03[[#This Row],[Depth h (in)]]-Table_03[[#This Row],[Flange Thickness tf (in)]]*2)/Table_03[[#This Row],[Web Thickness tw (in)]])&lt;0.35,0.35,IF(4/SQRT(Table_03[[#This Row],[Depth h (in)]]/Table_03[[#This Row],[Web Thickness tw (in)]])&gt;0.76,0.76,4/SQRT(Table_03[[#This Row],[Depth h (in)]]/Table_03[[#This Row],[Web Thickness tw (in)]])))</f>
        <v>0.53111746463761644</v>
      </c>
      <c r="AZ71" s="169"/>
    </row>
    <row r="72" spans="1:52" x14ac:dyDescent="0.3">
      <c r="A72" s="179" t="s">
        <v>170</v>
      </c>
      <c r="B72" s="180">
        <f>B71-$B$1*2</f>
        <v>6.6929999999999996</v>
      </c>
      <c r="C72" s="180">
        <f>C71-$B$1*2</f>
        <v>1.9690000000000001</v>
      </c>
      <c r="D72" s="180">
        <f>D71-$B$1*2</f>
        <v>0.11799999999999999</v>
      </c>
      <c r="E72" s="180">
        <f>E71-$B$1*2</f>
        <v>0.11799999999999999</v>
      </c>
      <c r="F72" s="181"/>
      <c r="G72" s="180"/>
      <c r="H72" s="180"/>
      <c r="I72" s="180"/>
      <c r="J72" s="181"/>
      <c r="K72" s="181"/>
      <c r="L72" s="181"/>
      <c r="M72" s="181"/>
      <c r="N72" s="182">
        <v>50</v>
      </c>
      <c r="O72" s="181" t="e">
        <f>SQRT(Table_03[[#This Row],[Static Parameters Moment of Inertia Ix (in4)]]/Table_03[[#This Row],[Sectional Area (in2)]])</f>
        <v>#DIV/0!</v>
      </c>
      <c r="P72" s="181" t="e">
        <f>SQRT(Table_03[[#This Row],[Static Parameters Moment of Inertia Iy (in4)]]/Table_03[[#This Row],[Sectional Area (in2)]])</f>
        <v>#DIV/0!</v>
      </c>
      <c r="Q72" s="181" t="e">
        <f>($B$6*$B$5*12)/Table_03[[#This Row],[ry (in)2]]</f>
        <v>#DIV/0!</v>
      </c>
      <c r="R72" s="181" t="e">
        <f>(PI()^2*$B$4)/(Table_03[[#This Row],[KL/ry]]^2)</f>
        <v>#DIV/0!</v>
      </c>
      <c r="S72" s="181" t="e">
        <f>IF(Table_03[[#This Row],[Strength (ksi)]]/Table_03[[#This Row],[Fe,y]]&lt;2.25,(0.658^(Table_03[[#This Row],[Strength (ksi)]]/Table_03[[#This Row],[Fe,y]])*Table_03[[#This Row],[Strength (ksi)]]),0.877*Table_03[[#This Row],[Fe,y]])</f>
        <v>#DIV/0!</v>
      </c>
      <c r="T72" s="181" t="e">
        <f>Table_03[[#This Row],[Fcr,y]]*Table_03[[#This Row],[Sectional Area (in2)]]</f>
        <v>#DIV/0!</v>
      </c>
      <c r="U72" s="181" t="e">
        <f>1.76*Table_03[[#This Row],[ry (in)2]]*SQRT($B$4/Table_03[[#This Row],[Strength (ksi)]])/12</f>
        <v>#DIV/0!</v>
      </c>
      <c r="V72"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72" s="181">
        <f>Table_03[[#This Row],[Depth h (in)]]-Table_03[[#This Row],[Flange Thickness tf (in)]]</f>
        <v>6.5749999999999993</v>
      </c>
      <c r="X72" s="181">
        <f>(Table_03[[#This Row],[Static Parameters Moment of Inertia Iy (in4)]]*Table_03[[#This Row],[ho]]^2)/4</f>
        <v>0</v>
      </c>
      <c r="Y72" s="181" t="e">
        <f>SQRT((SQRT(Table_03[[#This Row],[Static Parameters Moment of Inertia Iy (in4)]]*Table_03[[#This Row],[Cw*]])/Table_03[[#This Row],[Static Parameters Elastic Section Modulus Sx (in3)2]]))</f>
        <v>#DIV/0!</v>
      </c>
      <c r="Z72" s="181">
        <f>(2*Table_03[[#This Row],[Width w (in)]]*Table_03[[#This Row],[Flange Thickness tf (in)]]^3/3)+((Table_03[[#This Row],[Depth h (in)]]-Table_03[[#This Row],[Flange Thickness tf (in)]]*2)*Table_03[[#This Row],[Web Thickness tw (in)]]^3)/3</f>
        <v>5.6931058799999995E-3</v>
      </c>
      <c r="AA72" s="181">
        <f>Table_03[[#This Row],[Width w (in)]]*0.5/Table_03[[#This Row],[Flange Thickness tf (in)]]</f>
        <v>8.3432203389830519</v>
      </c>
      <c r="AB72" s="181">
        <f>0.38*SQRT($B$4/Table_03[[#This Row],[Strength (ksi)]])</f>
        <v>9.1516118798821449</v>
      </c>
      <c r="AC72" s="181">
        <f>1*SQRT($B$4/Table_03[[#This Row],[Strength (ksi)]])</f>
        <v>24.083189157584592</v>
      </c>
      <c r="AD72" s="181" t="e">
        <f>(PI()^2*$B$4/(12*$B$5/Table_03[[#This Row],[rts]])^2)*SQRT(1+0.078*(Table_03[[#This Row],[J*]]/(Table_03[[#This Row],[Static Parameters Elastic Section Modulus Sx (in3)2]]*Table_03[[#This Row],[ho]])*$B$4/(12*$B$5/Table_03[[#This Row],[rts]])^2))</f>
        <v>#DIV/0!</v>
      </c>
      <c r="AE72" s="181">
        <f>0.69*$B$4/Table_03[[#This Row],[b/t]]^2</f>
        <v>287.46148336287098</v>
      </c>
      <c r="AF72" s="183">
        <f>Table_03[[#This Row],[Strength (ksi)]]*Table_03[[#This Row],[Static Parameters Plastic Section Modulus Zx (in3)]]</f>
        <v>0</v>
      </c>
      <c r="AG72" s="181">
        <f>Table_03[[#This Row],[Mp (k-in)]]-(Table_03[[#This Row],[Mp (k-in)]]-0.7*Table_03[[#This Row],[Strength (ksi)]]*Table_03[[#This Row],[Static Parameters Elastic Section Modulus Sx (in3)2]])*((Table_03[[#This Row],[b/t]]-Table_03[[#This Row],[λpf]])/(Table_03[[#This Row],[λrf]]-Table_03[[#This Row],[λpf]]))</f>
        <v>0</v>
      </c>
      <c r="AH72" s="184">
        <f>0.9*$B$4*Table_03[[#This Row],[kc]]*Table_03[[#This Row],[Static Parameters Elastic Section Modulus Sx (in3)2]]/Table_03[[#This Row],[b/t]]^2</f>
        <v>0</v>
      </c>
      <c r="AI72" s="185" t="str">
        <f>IF(Table_03[[#This Row],[b/t]]&lt;Table_03[[#This Row],[λpf]],"Compact",IF(AND(Table_03[[#This Row],[b/t]]&gt;Table_03[[#This Row],[λpf]],Table_03[[#This Row],[λrf]]&gt;Table_03[[#This Row],[b/t]]),"Non-Compact","Slender"))</f>
        <v>Compact</v>
      </c>
      <c r="AJ72" s="186">
        <f>IF(Table_03[[#This Row],[Controlling LBx]]="Compact",Table_03[[#This Row],[Mp (k-in)]],IF(Table_03[[#This Row],[Controlling LBx]]="Non-Compact",Table_03[[#This Row],[Mnlb,Non-Compact (k-in)]],IF(Table_03[[#This Row],[Controlling LBx]]="Slender",Table_03[[#This Row],[Mnlb,slender (k-in)]],"ERROR")))</f>
        <v>0</v>
      </c>
      <c r="AK72" s="183" t="e">
        <f>Table_03[[#This Row],[Mp (k-in)]]-(Table_03[[#This Row],[Mp (k-in)]]-0.7*Table_03[[#This Row],[Strength (ksi)]]*Table_03[[#This Row],[Static Parameters Elastic Section Modulus Sx (in3)2]])*(($B$5-Table_03[[#This Row],[Lp (ft)]])/(Table_03[[#This Row],[Lr]]-Table_03[[#This Row],[Lp (ft)]]))</f>
        <v>#DIV/0!</v>
      </c>
      <c r="AL72" s="184" t="e">
        <f>Table_03[[#This Row],[Fcrx]]*Table_03[[#This Row],[Static Parameters Elastic Section Modulus Sx (in3)2]]</f>
        <v>#DIV/0!</v>
      </c>
      <c r="AM72" s="185" t="e">
        <f>IF($B$5&lt;Table_03[[#This Row],[Lp (ft)]],"Yielding Controls",IF(AND($B$5&gt;Table_03[[#This Row],[Lp (ft)]],Table_03[[#This Row],[Lr]]&gt;$B$5),"Mltb,p Controls","Mltb,r Controls"))</f>
        <v>#DIV/0!</v>
      </c>
      <c r="AN72" s="186" t="e">
        <f>IF(Table_03[[#This Row],[Controlling LTB]]="Yielding Controls",Table_03[[#This Row],[Mp (k-in)]],IF(Table_03[[#This Row],[Controlling LTB]]="Mltb,p Controls",Table_03[[#This Row],[Mnltbp (k-in)]],IF(Table_03[[#This Row],[Controlling LTB]]="Mltb,r Controls",Table_03[[#This Row],[Mnltbr (k-in)]],"ERROR")))</f>
        <v>#DIV/0!</v>
      </c>
      <c r="AO72" s="183">
        <f>MIN(Table_03[[#This Row],[Strength (ksi)]]*Table_03[[#This Row],[Static Parameters Plastic Section Modulus Zy (in3)]],1.6*Table_03[[#This Row],[Strength (ksi)]]*Table_03[[#This Row],[Static Parameters Elastic Section Modulus Sy (in3)3]])</f>
        <v>0</v>
      </c>
      <c r="AP72" s="181">
        <f>MIN(Table_03[[#This Row],[Mny (k-in)]],Table_03[[#This Row],[Mny (k-in)]]-(Table_03[[#This Row],[Mny (k-in)]]-0.7*Table_03[[#This Row],[Static Parameters Elastic Section Modulus Sy (in3)3]]*Table_03[[#This Row],[Strength (ksi)]])*((Table_03[[#This Row],[b/t]]-Table_03[[#This Row],[λpf]])/(Table_03[[#This Row],[λrf]]-Table_03[[#This Row],[λpf]])))</f>
        <v>0</v>
      </c>
      <c r="AQ72" s="184">
        <f>MIN(Table_03[[#This Row],[Mny (k-in)]],Table_03[[#This Row],[Fcry]]*Table_03[[#This Row],[Static Parameters Elastic Section Modulus Sy (in3)3]])</f>
        <v>0</v>
      </c>
      <c r="AR72" s="185" t="str">
        <f>IF(Table_03[[#This Row],[b/t]]&lt;Table_03[[#This Row],[λpf]],"Compact",IF(AND(Table_03[[#This Row],[b/t]]&gt;Table_03[[#This Row],[λpf]],Table_03[[#This Row],[λrf]]&gt;Table_03[[#This Row],[b/t]]),"Non-Compact","Slender"))</f>
        <v>Compact</v>
      </c>
      <c r="AS72" s="186">
        <f>IF(Table_03[[#This Row],[Controlling Lby]]="Compact",Table_03[[#This Row],[Mny (k-in)]],IF(Table_03[[#This Row],[Controlling Lby]]="Non-Compact",Table_03[[#This Row],[Mlby,Non-Compact (k-in)]],IF(Table_03[[#This Row],[Controlling Lby]]="Slender",Table_03[[#This Row],[Mlby,Slender (k-in)]],"ERROR")))</f>
        <v>0</v>
      </c>
      <c r="AT72" s="183" t="e">
        <f>MIN(Table_03[[#This Row],[LBx]],Table_03[[#This Row],[LTB]],Table_03[[#This Row],[Mp (k-in)]])</f>
        <v>#DIV/0!</v>
      </c>
      <c r="AU72" s="181">
        <f>Table_03[[#This Row],[Mp (k-in)]]</f>
        <v>0</v>
      </c>
      <c r="AV72" s="181">
        <f>MIN(Table_03[[#This Row],[LBy]],Table_03[[#This Row],[Mny (k-in)]])</f>
        <v>0</v>
      </c>
      <c r="AW72" s="187">
        <f>Table_03[[#This Row],[Mny (k-in)]]</f>
        <v>0</v>
      </c>
      <c r="AX72" s="169"/>
      <c r="AY72" s="165">
        <f>IF(4/SQRT((Table_03[[#This Row],[Depth h (in)]]-Table_03[[#This Row],[Flange Thickness tf (in)]]*2)/Table_03[[#This Row],[Web Thickness tw (in)]])&lt;0.35,0.35,IF(4/SQRT(Table_03[[#This Row],[Depth h (in)]]/Table_03[[#This Row],[Web Thickness tw (in)]])&gt;0.76,0.76,4/SQRT(Table_03[[#This Row],[Depth h (in)]]/Table_03[[#This Row],[Web Thickness tw (in)]])))</f>
        <v>0.53111746463761644</v>
      </c>
      <c r="AZ72" s="169"/>
    </row>
    <row r="73" spans="1:52" x14ac:dyDescent="0.3">
      <c r="A73" s="188" t="s">
        <v>171</v>
      </c>
      <c r="B73" s="189">
        <f>B71-$B$2*2</f>
        <v>6.6929999999999996</v>
      </c>
      <c r="C73" s="189">
        <f>C71-$B$2*2</f>
        <v>1.9690000000000001</v>
      </c>
      <c r="D73" s="189">
        <f>D71-$B$2*2</f>
        <v>0.11799999999999999</v>
      </c>
      <c r="E73" s="189">
        <f>E71-$B$2*2</f>
        <v>0.11799999999999999</v>
      </c>
      <c r="F73" s="190">
        <v>0.65700000000000003</v>
      </c>
      <c r="G73" s="189"/>
      <c r="H73" s="190">
        <v>4.18</v>
      </c>
      <c r="I73" s="190">
        <v>0.32200000000000001</v>
      </c>
      <c r="J73" s="190">
        <v>1.5</v>
      </c>
      <c r="K73" s="190">
        <v>0.33200000000000002</v>
      </c>
      <c r="L73" s="190">
        <v>1.26</v>
      </c>
      <c r="M73" s="190">
        <v>0.23400000000000001</v>
      </c>
      <c r="N73" s="191">
        <v>50</v>
      </c>
      <c r="O73" s="169">
        <f>SQRT(Table_03[[#This Row],[Static Parameters Moment of Inertia Ix (in4)]]/Table_03[[#This Row],[Sectional Area (in2)]])</f>
        <v>2.5223506226578665</v>
      </c>
      <c r="P73" s="190">
        <f>SQRT(Table_03[[#This Row],[Static Parameters Moment of Inertia Iy (in4)]]/Table_03[[#This Row],[Sectional Area (in2)]])</f>
        <v>0.70007609936425153</v>
      </c>
      <c r="Q73" s="190">
        <f>($B$6*$B$5*12)/Table_03[[#This Row],[ry (in)2]]</f>
        <v>256.47211804981168</v>
      </c>
      <c r="R73" s="190">
        <f>(PI()^2*$B$4)/(Table_03[[#This Row],[KL/ry]]^2)</f>
        <v>4.3512839670322609</v>
      </c>
      <c r="S73" s="190">
        <f>IF(Table_03[[#This Row],[Strength (ksi)]]/Table_03[[#This Row],[Fe,y]]&lt;2.25,(0.658^(Table_03[[#This Row],[Strength (ksi)]]/Table_03[[#This Row],[Fe,y]])*Table_03[[#This Row],[Strength (ksi)]]),0.877*Table_03[[#This Row],[Fe,y]])</f>
        <v>3.8160760390872928</v>
      </c>
      <c r="T73" s="190">
        <f>Table_03[[#This Row],[Fcr,y]]*Table_03[[#This Row],[Sectional Area (in2)]]</f>
        <v>2.5071619576803514</v>
      </c>
      <c r="U73" s="190">
        <f>1.76*Table_03[[#This Row],[ry (in)2]]*SQRT($B$4/Table_03[[#This Row],[Strength (ksi)]])/12</f>
        <v>2.4728095517683442</v>
      </c>
      <c r="V7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7.7066061307825686</v>
      </c>
      <c r="W73" s="190">
        <f>Table_03[[#This Row],[Depth h (in)]]-Table_03[[#This Row],[Flange Thickness tf (in)]]</f>
        <v>6.5749999999999993</v>
      </c>
      <c r="X73" s="190">
        <f>(Table_03[[#This Row],[Static Parameters Moment of Inertia Iy (in4)]]*Table_03[[#This Row],[ho]]^2)/4</f>
        <v>3.4800653124999994</v>
      </c>
      <c r="Y73" s="190">
        <f>SQRT((SQRT(Table_03[[#This Row],[Static Parameters Moment of Inertia Iy (in4)]]*Table_03[[#This Row],[Cw*]])/Table_03[[#This Row],[Static Parameters Elastic Section Modulus Sx (in3)2]]))</f>
        <v>0.91659090596017201</v>
      </c>
      <c r="Z73" s="190">
        <f>(2*Table_03[[#This Row],[Width w (in)]]*Table_03[[#This Row],[Flange Thickness tf (in)]]^3/3)+((Table_03[[#This Row],[Depth h (in)]]-Table_03[[#This Row],[Flange Thickness tf (in)]]*2)*Table_03[[#This Row],[Web Thickness tw (in)]]^3)/3</f>
        <v>5.6931058799999995E-3</v>
      </c>
      <c r="AA73" s="190">
        <f>Table_03[[#This Row],[Width w (in)]]*0.5/Table_03[[#This Row],[Flange Thickness tf (in)]]</f>
        <v>8.3432203389830519</v>
      </c>
      <c r="AB73" s="190">
        <f>0.38*SQRT($B$4/Table_03[[#This Row],[Strength (ksi)]])</f>
        <v>9.1516118798821449</v>
      </c>
      <c r="AC73" s="190">
        <f>1*SQRT($B$4/Table_03[[#This Row],[Strength (ksi)]])</f>
        <v>24.083189157584592</v>
      </c>
      <c r="AD73" s="190">
        <f>(PI()^2*$B$4/(12*$B$5/Table_03[[#This Row],[rts]])^2)*SQRT(1+0.078*(Table_03[[#This Row],[J*]]/(Table_03[[#This Row],[Static Parameters Elastic Section Modulus Sx (in3)2]]*Table_03[[#This Row],[ho]])*$B$4/(12*$B$5/Table_03[[#This Row],[rts]])^2))</f>
        <v>32.896931539253892</v>
      </c>
      <c r="AE73" s="190">
        <f>0.69*$B$4/Table_03[[#This Row],[b/t]]^2</f>
        <v>287.46148336287098</v>
      </c>
      <c r="AF73" s="192">
        <f>Table_03[[#This Row],[Strength (ksi)]]*Table_03[[#This Row],[Static Parameters Plastic Section Modulus Zx (in3)]]</f>
        <v>75</v>
      </c>
      <c r="AG73" s="190">
        <f>Table_03[[#This Row],[Mp (k-in)]]-(Table_03[[#This Row],[Mp (k-in)]]-0.7*Table_03[[#This Row],[Strength (ksi)]]*Table_03[[#This Row],[Static Parameters Elastic Section Modulus Sx (in3)2]])*((Table_03[[#This Row],[b/t]]-Table_03[[#This Row],[λpf]])/(Table_03[[#This Row],[λrf]]-Table_03[[#This Row],[λpf]]))</f>
        <v>76.672917612734992</v>
      </c>
      <c r="AH73" s="193">
        <f>0.9*$B$4*Table_03[[#This Row],[kc]]*Table_03[[#This Row],[Static Parameters Elastic Section Modulus Sx (in3)2]]/Table_03[[#This Row],[b/t]]^2</f>
        <v>250.91938163878314</v>
      </c>
      <c r="AI73" s="194" t="str">
        <f>IF(Table_03[[#This Row],[b/t]]&lt;Table_03[[#This Row],[λpf]],"Compact",IF(AND(Table_03[[#This Row],[b/t]]&gt;Table_03[[#This Row],[λpf]],Table_03[[#This Row],[λrf]]&gt;Table_03[[#This Row],[b/t]]),"Non-Compact","Slender"))</f>
        <v>Compact</v>
      </c>
      <c r="AJ73" s="195">
        <f>IF(Table_03[[#This Row],[Controlling LBx]]="Compact",Table_03[[#This Row],[Mp (k-in)]],IF(Table_03[[#This Row],[Controlling LBx]]="Non-Compact",Table_03[[#This Row],[Mnlb,Non-Compact (k-in)]],IF(Table_03[[#This Row],[Controlling LBx]]="Slender",Table_03[[#This Row],[Mnlb,slender (k-in)]],"ERROR")))</f>
        <v>75</v>
      </c>
      <c r="AK73" s="192">
        <f>Table_03[[#This Row],[Mp (k-in)]]-(Table_03[[#This Row],[Mp (k-in)]]-0.7*Table_03[[#This Row],[Strength (ksi)]]*Table_03[[#This Row],[Static Parameters Elastic Section Modulus Sx (in3)2]])*(($B$5-Table_03[[#This Row],[Lp (ft)]])/(Table_03[[#This Row],[Lr]]-Table_03[[#This Row],[Lp (ft)]]))</f>
        <v>47.533765368956381</v>
      </c>
      <c r="AL73" s="196">
        <f>Table_03[[#This Row],[Fcrx]]*Table_03[[#This Row],[Static Parameters Elastic Section Modulus Sx (in3)2]]</f>
        <v>41.450133739459901</v>
      </c>
      <c r="AM73" s="197" t="str">
        <f>IF($B$5&lt;Table_03[[#This Row],[Lp (ft)]],"Yielding Controls",IF(AND($B$5&gt;Table_03[[#This Row],[Lp (ft)]],Table_03[[#This Row],[Lr]]&gt;$B$5),"Mltb,p Controls","Mltb,r Controls"))</f>
        <v>Mltb,p Controls</v>
      </c>
      <c r="AN73" s="198">
        <f>IF(Table_03[[#This Row],[Controlling LTB]]="Yielding Controls",Table_03[[#This Row],[Mp (k-in)]],IF(Table_03[[#This Row],[Controlling LTB]]="Mltb,p Controls",Table_03[[#This Row],[Mnltbp (k-in)]],IF(Table_03[[#This Row],[Controlling LTB]]="Mltb,r Controls",Table_03[[#This Row],[Mnltbr (k-in)]],"ERROR")))</f>
        <v>47.533765368956381</v>
      </c>
      <c r="AO73" s="199">
        <f>MIN(Table_03[[#This Row],[Strength (ksi)]]*Table_03[[#This Row],[Static Parameters Plastic Section Modulus Zy (in3)]],1.6*Table_03[[#This Row],[Strength (ksi)]]*Table_03[[#This Row],[Static Parameters Elastic Section Modulus Sy (in3)3]])</f>
        <v>16.600000000000001</v>
      </c>
      <c r="AP73" s="169">
        <f>MIN(Table_03[[#This Row],[Mny (k-in)]],Table_03[[#This Row],[Mny (k-in)]]-(Table_03[[#This Row],[Mny (k-in)]]-0.7*Table_03[[#This Row],[Static Parameters Elastic Section Modulus Sy (in3)3]]*Table_03[[#This Row],[Strength (ksi)]])*((Table_03[[#This Row],[b/t]]-Table_03[[#This Row],[λpf]])/(Table_03[[#This Row],[λrf]]-Table_03[[#This Row],[λpf]])))</f>
        <v>16.600000000000001</v>
      </c>
      <c r="AQ73" s="196">
        <f>MIN(Table_03[[#This Row],[Mny (k-in)]],Table_03[[#This Row],[Fcry]]*Table_03[[#This Row],[Static Parameters Elastic Section Modulus Sy (in3)3]])</f>
        <v>16.600000000000001</v>
      </c>
      <c r="AR73" s="197" t="str">
        <f>IF(Table_03[[#This Row],[b/t]]&lt;Table_03[[#This Row],[λpf]],"Compact",IF(AND(Table_03[[#This Row],[b/t]]&gt;Table_03[[#This Row],[λpf]],Table_03[[#This Row],[λrf]]&gt;Table_03[[#This Row],[b/t]]),"Non-Compact","Slender"))</f>
        <v>Compact</v>
      </c>
      <c r="AS73" s="198">
        <f>IF(Table_03[[#This Row],[Controlling Lby]]="Compact",Table_03[[#This Row],[Mny (k-in)]],IF(Table_03[[#This Row],[Controlling Lby]]="Non-Compact",Table_03[[#This Row],[Mlby,Non-Compact (k-in)]],IF(Table_03[[#This Row],[Controlling Lby]]="Slender",Table_03[[#This Row],[Mlby,Slender (k-in)]],"ERROR")))</f>
        <v>16.600000000000001</v>
      </c>
      <c r="AT73" s="199">
        <f>MIN(Table_03[[#This Row],[LBx]],Table_03[[#This Row],[LTB]],Table_03[[#This Row],[Mp (k-in)]])</f>
        <v>47.533765368956381</v>
      </c>
      <c r="AU73" s="169">
        <f>Table_03[[#This Row],[Mp (k-in)]]</f>
        <v>75</v>
      </c>
      <c r="AV73" s="169">
        <f>MIN(Table_03[[#This Row],[LBy]],Table_03[[#This Row],[Mny (k-in)]])</f>
        <v>16.600000000000001</v>
      </c>
      <c r="AW73" s="200">
        <f>Table_03[[#This Row],[Mny (k-in)]]</f>
        <v>16.600000000000001</v>
      </c>
      <c r="AX73" s="169"/>
      <c r="AY73" s="165">
        <f>IF(4/SQRT((Table_03[[#This Row],[Depth h (in)]]-Table_03[[#This Row],[Flange Thickness tf (in)]]*2)/Table_03[[#This Row],[Web Thickness tw (in)]])&lt;0.35,0.35,IF(4/SQRT(Table_03[[#This Row],[Depth h (in)]]/Table_03[[#This Row],[Web Thickness tw (in)]])&gt;0.76,0.76,4/SQRT(Table_03[[#This Row],[Depth h (in)]]/Table_03[[#This Row],[Web Thickness tw (in)]])))</f>
        <v>0.53111746463761644</v>
      </c>
      <c r="AZ73" s="169"/>
    </row>
    <row r="74" spans="1:52" s="216" customFormat="1" ht="14.4" thickBot="1" x14ac:dyDescent="0.35">
      <c r="A74" s="201" t="s">
        <v>172</v>
      </c>
      <c r="B74" s="202">
        <v>6.6929999999999996</v>
      </c>
      <c r="C74" s="202">
        <v>1.9690000000000001</v>
      </c>
      <c r="D74" s="202">
        <v>0.157</v>
      </c>
      <c r="E74" s="202">
        <v>0.157</v>
      </c>
      <c r="F74" s="203">
        <v>1.76</v>
      </c>
      <c r="G74" s="204"/>
      <c r="H74" s="203">
        <v>10.97</v>
      </c>
      <c r="I74" s="203">
        <v>0.83</v>
      </c>
      <c r="J74" s="203">
        <v>4.03</v>
      </c>
      <c r="K74" s="203">
        <v>0.89300000000000002</v>
      </c>
      <c r="L74" s="203">
        <v>3.32</v>
      </c>
      <c r="M74" s="203">
        <v>0.60499999999999998</v>
      </c>
      <c r="N74" s="205">
        <v>50</v>
      </c>
      <c r="O74" s="206">
        <f>SQRT(Table_03[[#This Row],[Static Parameters Moment of Inertia Ix (in4)]]/Table_03[[#This Row],[Sectional Area (in2)]])</f>
        <v>2.4965885815357214</v>
      </c>
      <c r="P74" s="203">
        <f>SQRT(Table_03[[#This Row],[Static Parameters Moment of Inertia Iy (in4)]]/Table_03[[#This Row],[Sectional Area (in2)]])</f>
        <v>0.68672476953355122</v>
      </c>
      <c r="Q74" s="203">
        <f>($B$6*$B$5*12)/Table_03[[#This Row],[ry (in)2]]</f>
        <v>261.45845900091382</v>
      </c>
      <c r="R74" s="203">
        <f>(PI()^2*$B$4)/(Table_03[[#This Row],[KL/ry]]^2)</f>
        <v>4.1868976920919723</v>
      </c>
      <c r="S74" s="203">
        <f>IF(Table_03[[#This Row],[Strength (ksi)]]/Table_03[[#This Row],[Fe,y]]&lt;2.25,(0.658^(Table_03[[#This Row],[Strength (ksi)]]/Table_03[[#This Row],[Fe,y]])*Table_03[[#This Row],[Strength (ksi)]]),0.877*Table_03[[#This Row],[Fe,y]])</f>
        <v>3.6719092759646599</v>
      </c>
      <c r="T74" s="203">
        <f>Table_03[[#This Row],[Fcr,y]]*Table_03[[#This Row],[Sectional Area (in2)]]</f>
        <v>6.462560325697801</v>
      </c>
      <c r="U74" s="203">
        <f>1.76*Table_03[[#This Row],[ry (in)2]]*SQRT($B$4/Table_03[[#This Row],[Strength (ksi)]])/12</f>
        <v>2.425649970168362</v>
      </c>
      <c r="V7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7.5126297384045531</v>
      </c>
      <c r="W74" s="203">
        <f>Table_03[[#This Row],[Depth h (in)]]-Table_03[[#This Row],[Flange Thickness tf (in)]]</f>
        <v>6.5359999999999996</v>
      </c>
      <c r="X74" s="203">
        <f>(Table_03[[#This Row],[Static Parameters Moment of Inertia Iy (in4)]]*Table_03[[#This Row],[ho]]^2)/4</f>
        <v>8.8642539199999977</v>
      </c>
      <c r="Y74" s="203">
        <f>SQRT((SQRT(Table_03[[#This Row],[Static Parameters Moment of Inertia Iy (in4)]]*Table_03[[#This Row],[Cw*]])/Table_03[[#This Row],[Static Parameters Elastic Section Modulus Sx (in3)2]]))</f>
        <v>0.90388052307813338</v>
      </c>
      <c r="Z74" s="203">
        <f>(2*Table_03[[#This Row],[Width w (in)]]*Table_03[[#This Row],[Flange Thickness tf (in)]]^3/3)+((Table_03[[#This Row],[Depth h (in)]]-Table_03[[#This Row],[Flange Thickness tf (in)]]*2)*Table_03[[#This Row],[Web Thickness tw (in)]]^3)/3</f>
        <v>1.3308562026999999E-2</v>
      </c>
      <c r="AA74" s="203">
        <f>Table_03[[#This Row],[Width w (in)]]*0.5/Table_03[[#This Row],[Flange Thickness tf (in)]]</f>
        <v>6.2707006369426752</v>
      </c>
      <c r="AB74" s="203">
        <f>0.38*SQRT($B$4/Table_03[[#This Row],[Strength (ksi)]])</f>
        <v>9.1516118798821449</v>
      </c>
      <c r="AC74" s="203">
        <f>1*SQRT($B$4/Table_03[[#This Row],[Strength (ksi)]])</f>
        <v>24.083189157584592</v>
      </c>
      <c r="AD74" s="203">
        <f>(PI()^2*$B$4/(12*$B$5/Table_03[[#This Row],[rts]])^2)*SQRT(1+0.078*(Table_03[[#This Row],[J*]]/(Table_03[[#This Row],[Static Parameters Elastic Section Modulus Sx (in3)2]]*Table_03[[#This Row],[ho]])*$B$4/(12*$B$5/Table_03[[#This Row],[rts]])^2))</f>
        <v>31.990515305497937</v>
      </c>
      <c r="AE74" s="203">
        <f>0.69*$B$4/Table_03[[#This Row],[b/t]]^2</f>
        <v>508.87949607953237</v>
      </c>
      <c r="AF74" s="207">
        <f>Table_03[[#This Row],[Strength (ksi)]]*Table_03[[#This Row],[Static Parameters Plastic Section Modulus Zx (in3)]]</f>
        <v>201.5</v>
      </c>
      <c r="AG74" s="203">
        <f>Table_03[[#This Row],[Mp (k-in)]]-(Table_03[[#This Row],[Mp (k-in)]]-0.7*Table_03[[#This Row],[Strength (ksi)]]*Table_03[[#This Row],[Static Parameters Elastic Section Modulus Sx (in3)2]])*((Table_03[[#This Row],[b/t]]-Table_03[[#This Row],[λpf]])/(Table_03[[#This Row],[λrf]]-Table_03[[#This Row],[λpf]]))</f>
        <v>217.95785468288784</v>
      </c>
      <c r="AH74" s="208">
        <f>0.9*$B$4*Table_03[[#This Row],[kc]]*Table_03[[#This Row],[Static Parameters Elastic Section Modulus Sx (in3)2]]/Table_03[[#This Row],[b/t]]^2</f>
        <v>1350.0375866679597</v>
      </c>
      <c r="AI74" s="209" t="str">
        <f>IF(Table_03[[#This Row],[b/t]]&lt;Table_03[[#This Row],[λpf]],"Compact",IF(AND(Table_03[[#This Row],[b/t]]&gt;Table_03[[#This Row],[λpf]],Table_03[[#This Row],[λrf]]&gt;Table_03[[#This Row],[b/t]]),"Non-Compact","Slender"))</f>
        <v>Compact</v>
      </c>
      <c r="AJ74" s="210">
        <f>IF(Table_03[[#This Row],[Controlling LBx]]="Compact",Table_03[[#This Row],[Mp (k-in)]],IF(Table_03[[#This Row],[Controlling LBx]]="Non-Compact",Table_03[[#This Row],[Mnlb,Non-Compact (k-in)]],IF(Table_03[[#This Row],[Controlling LBx]]="Slender",Table_03[[#This Row],[Mnlb,slender (k-in)]],"ERROR")))</f>
        <v>201.5</v>
      </c>
      <c r="AK74" s="207">
        <f>Table_03[[#This Row],[Mp (k-in)]]-(Table_03[[#This Row],[Mp (k-in)]]-0.7*Table_03[[#This Row],[Strength (ksi)]]*Table_03[[#This Row],[Static Parameters Elastic Section Modulus Sx (in3)2]])*(($B$5-Table_03[[#This Row],[Lp (ft)]])/(Table_03[[#This Row],[Lr]]-Table_03[[#This Row],[Lp (ft)]]))</f>
        <v>122.69989152549211</v>
      </c>
      <c r="AL74" s="211">
        <f>Table_03[[#This Row],[Fcrx]]*Table_03[[#This Row],[Static Parameters Elastic Section Modulus Sx (in3)2]]</f>
        <v>106.20851081425315</v>
      </c>
      <c r="AM74" s="212" t="str">
        <f>IF($B$5&lt;Table_03[[#This Row],[Lp (ft)]],"Yielding Controls",IF(AND($B$5&gt;Table_03[[#This Row],[Lp (ft)]],Table_03[[#This Row],[Lr]]&gt;$B$5),"Mltb,p Controls","Mltb,r Controls"))</f>
        <v>Mltb,p Controls</v>
      </c>
      <c r="AN74" s="213">
        <f>IF(Table_03[[#This Row],[Controlling LTB]]="Yielding Controls",Table_03[[#This Row],[Mp (k-in)]],IF(Table_03[[#This Row],[Controlling LTB]]="Mltb,p Controls",Table_03[[#This Row],[Mnltbp (k-in)]],IF(Table_03[[#This Row],[Controlling LTB]]="Mltb,r Controls",Table_03[[#This Row],[Mnltbr (k-in)]],"ERROR")))</f>
        <v>122.69989152549211</v>
      </c>
      <c r="AO74" s="214">
        <f>MIN(Table_03[[#This Row],[Strength (ksi)]]*Table_03[[#This Row],[Static Parameters Plastic Section Modulus Zy (in3)]],1.6*Table_03[[#This Row],[Strength (ksi)]]*Table_03[[#This Row],[Static Parameters Elastic Section Modulus Sy (in3)3]])</f>
        <v>44.65</v>
      </c>
      <c r="AP74" s="206">
        <f>MIN(Table_03[[#This Row],[Mny (k-in)]],Table_03[[#This Row],[Mny (k-in)]]-(Table_03[[#This Row],[Mny (k-in)]]-0.7*Table_03[[#This Row],[Static Parameters Elastic Section Modulus Sy (in3)3]]*Table_03[[#This Row],[Strength (ksi)]])*((Table_03[[#This Row],[b/t]]-Table_03[[#This Row],[λpf]])/(Table_03[[#This Row],[λrf]]-Table_03[[#This Row],[λpf]])))</f>
        <v>44.65</v>
      </c>
      <c r="AQ74" s="211">
        <f>MIN(Table_03[[#This Row],[Mny (k-in)]],Table_03[[#This Row],[Fcry]]*Table_03[[#This Row],[Static Parameters Elastic Section Modulus Sy (in3)3]])</f>
        <v>44.65</v>
      </c>
      <c r="AR74" s="212" t="str">
        <f>IF(Table_03[[#This Row],[b/t]]&lt;Table_03[[#This Row],[λpf]],"Compact",IF(AND(Table_03[[#This Row],[b/t]]&gt;Table_03[[#This Row],[λpf]],Table_03[[#This Row],[λrf]]&gt;Table_03[[#This Row],[b/t]]),"Non-Compact","Slender"))</f>
        <v>Compact</v>
      </c>
      <c r="AS74" s="213">
        <f>IF(Table_03[[#This Row],[Controlling Lby]]="Compact",Table_03[[#This Row],[Mny (k-in)]],IF(Table_03[[#This Row],[Controlling Lby]]="Non-Compact",Table_03[[#This Row],[Mlby,Non-Compact (k-in)]],IF(Table_03[[#This Row],[Controlling Lby]]="Slender",Table_03[[#This Row],[Mlby,Slender (k-in)]],"ERROR")))</f>
        <v>44.65</v>
      </c>
      <c r="AT74" s="214">
        <f>MIN(Table_03[[#This Row],[LBx]],Table_03[[#This Row],[LTB]],Table_03[[#This Row],[Mp (k-in)]])</f>
        <v>122.69989152549211</v>
      </c>
      <c r="AU74" s="206">
        <f>Table_03[[#This Row],[Mp (k-in)]]</f>
        <v>201.5</v>
      </c>
      <c r="AV74" s="206">
        <f>MIN(Table_03[[#This Row],[LBy]],Table_03[[#This Row],[Mny (k-in)]])</f>
        <v>44.65</v>
      </c>
      <c r="AW74" s="215">
        <f>Table_03[[#This Row],[Mny (k-in)]]</f>
        <v>44.65</v>
      </c>
      <c r="AX74" s="169"/>
      <c r="AY74" s="165">
        <f>IF(4/SQRT((Table_03[[#This Row],[Depth h (in)]]-Table_03[[#This Row],[Flange Thickness tf (in)]]*2)/Table_03[[#This Row],[Web Thickness tw (in)]])&lt;0.35,0.35,IF(4/SQRT(Table_03[[#This Row],[Depth h (in)]]/Table_03[[#This Row],[Web Thickness tw (in)]])&gt;0.76,0.76,4/SQRT(Table_03[[#This Row],[Depth h (in)]]/Table_03[[#This Row],[Web Thickness tw (in)]])))</f>
        <v>0.61263161515810594</v>
      </c>
      <c r="AZ74" s="169"/>
    </row>
    <row r="75" spans="1:52" x14ac:dyDescent="0.3">
      <c r="A75" s="179" t="s">
        <v>173</v>
      </c>
      <c r="B75" s="180">
        <f>B74-$B$1*2</f>
        <v>6.6929999999999996</v>
      </c>
      <c r="C75" s="180">
        <f>C74-$B$1*2</f>
        <v>1.9690000000000001</v>
      </c>
      <c r="D75" s="180">
        <f>D74-$B$1*2</f>
        <v>0.157</v>
      </c>
      <c r="E75" s="180">
        <f>E74-$B$1*2</f>
        <v>0.157</v>
      </c>
      <c r="F75" s="181">
        <v>1.61</v>
      </c>
      <c r="G75" s="180"/>
      <c r="H75" s="180">
        <v>9.9700000000000006</v>
      </c>
      <c r="I75" s="180">
        <v>0.746</v>
      </c>
      <c r="J75" s="181">
        <v>3.63</v>
      </c>
      <c r="K75" s="181">
        <v>0.79600000000000004</v>
      </c>
      <c r="L75" s="181">
        <v>2.98</v>
      </c>
      <c r="M75" s="181">
        <v>0.53300000000000003</v>
      </c>
      <c r="N75" s="182">
        <v>50</v>
      </c>
      <c r="O75" s="181">
        <f>SQRT(Table_03[[#This Row],[Static Parameters Moment of Inertia Ix (in4)]]/Table_03[[#This Row],[Sectional Area (in2)]])</f>
        <v>2.4884827875335871</v>
      </c>
      <c r="P75" s="181">
        <f>SQRT(Table_03[[#This Row],[Static Parameters Moment of Inertia Iy (in4)]]/Table_03[[#This Row],[Sectional Area (in2)]])</f>
        <v>0.68070113652548037</v>
      </c>
      <c r="Q75" s="181">
        <f>($B$6*$B$5*12)/Table_03[[#This Row],[ry (in)2]]</f>
        <v>263.77214663762942</v>
      </c>
      <c r="R75" s="181">
        <f>(PI()^2*$B$4)/(Table_03[[#This Row],[KL/ry]]^2)</f>
        <v>4.1137687598661037</v>
      </c>
      <c r="S75" s="181">
        <f>IF(Table_03[[#This Row],[Strength (ksi)]]/Table_03[[#This Row],[Fe,y]]&lt;2.25,(0.658^(Table_03[[#This Row],[Strength (ksi)]]/Table_03[[#This Row],[Fe,y]])*Table_03[[#This Row],[Strength (ksi)]]),0.877*Table_03[[#This Row],[Fe,y]])</f>
        <v>3.6077752024025731</v>
      </c>
      <c r="T75" s="181">
        <f>Table_03[[#This Row],[Fcr,y]]*Table_03[[#This Row],[Sectional Area (in2)]]</f>
        <v>5.8085180758681432</v>
      </c>
      <c r="U75" s="181">
        <f>1.76*Table_03[[#This Row],[ry (in)2]]*SQRT($B$4/Table_03[[#This Row],[Strength (ksi)]])/12</f>
        <v>2.4043732871731405</v>
      </c>
      <c r="V7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7.6002059712953418</v>
      </c>
      <c r="W75" s="181">
        <f>Table_03[[#This Row],[Depth h (in)]]-Table_03[[#This Row],[Flange Thickness tf (in)]]</f>
        <v>6.5359999999999996</v>
      </c>
      <c r="X75" s="181">
        <f>(Table_03[[#This Row],[Static Parameters Moment of Inertia Iy (in4)]]*Table_03[[#This Row],[ho]]^2)/4</f>
        <v>7.9671487039999986</v>
      </c>
      <c r="Y75" s="181">
        <f>SQRT((SQRT(Table_03[[#This Row],[Static Parameters Moment of Inertia Iy (in4)]]*Table_03[[#This Row],[Cw*]])/Table_03[[#This Row],[Static Parameters Elastic Section Modulus Sx (in3)2]]))</f>
        <v>0.904486950870659</v>
      </c>
      <c r="Z75" s="181">
        <f>(2*Table_03[[#This Row],[Width w (in)]]*Table_03[[#This Row],[Flange Thickness tf (in)]]^3/3)+((Table_03[[#This Row],[Depth h (in)]]-Table_03[[#This Row],[Flange Thickness tf (in)]]*2)*Table_03[[#This Row],[Web Thickness tw (in)]]^3)/3</f>
        <v>1.3308562026999999E-2</v>
      </c>
      <c r="AA75" s="181">
        <f>Table_03[[#This Row],[Width w (in)]]*0.5/Table_03[[#This Row],[Flange Thickness tf (in)]]</f>
        <v>6.2707006369426752</v>
      </c>
      <c r="AB75" s="181">
        <f>0.38*SQRT($B$4/Table_03[[#This Row],[Strength (ksi)]])</f>
        <v>9.1516118798821449</v>
      </c>
      <c r="AC75" s="181">
        <f>1*SQRT($B$4/Table_03[[#This Row],[Strength (ksi)]])</f>
        <v>24.083189157584592</v>
      </c>
      <c r="AD75" s="181">
        <f>(PI()^2*$B$4/(12*$B$5/Table_03[[#This Row],[rts]])^2)*SQRT(1+0.078*(Table_03[[#This Row],[J*]]/(Table_03[[#This Row],[Static Parameters Elastic Section Modulus Sx (in3)2]]*Table_03[[#This Row],[ho]])*$B$4/(12*$B$5/Table_03[[#This Row],[rts]])^2))</f>
        <v>32.033742597154571</v>
      </c>
      <c r="AE75" s="181">
        <f>0.69*$B$4/Table_03[[#This Row],[b/t]]^2</f>
        <v>508.87949607953237</v>
      </c>
      <c r="AF75" s="183">
        <f>Table_03[[#This Row],[Strength (ksi)]]*Table_03[[#This Row],[Static Parameters Plastic Section Modulus Zx (in3)]]</f>
        <v>181.5</v>
      </c>
      <c r="AG75" s="181">
        <f>Table_03[[#This Row],[Mp (k-in)]]-(Table_03[[#This Row],[Mp (k-in)]]-0.7*Table_03[[#This Row],[Strength (ksi)]]*Table_03[[#This Row],[Static Parameters Elastic Section Modulus Sx (in3)2]])*((Table_03[[#This Row],[b/t]]-Table_03[[#This Row],[λpf]])/(Table_03[[#This Row],[λrf]]-Table_03[[#This Row],[λpf]]))</f>
        <v>196.39503378099579</v>
      </c>
      <c r="AH75" s="184">
        <f>0.9*$B$4*Table_03[[#This Row],[kc]]*Table_03[[#This Row],[Static Parameters Elastic Section Modulus Sx (in3)2]]/Table_03[[#This Row],[b/t]]^2</f>
        <v>1211.7807253826868</v>
      </c>
      <c r="AI75" s="185" t="str">
        <f>IF(Table_03[[#This Row],[b/t]]&lt;Table_03[[#This Row],[λpf]],"Compact",IF(AND(Table_03[[#This Row],[b/t]]&gt;Table_03[[#This Row],[λpf]],Table_03[[#This Row],[λrf]]&gt;Table_03[[#This Row],[b/t]]),"Non-Compact","Slender"))</f>
        <v>Compact</v>
      </c>
      <c r="AJ75" s="186">
        <f>IF(Table_03[[#This Row],[Controlling LBx]]="Compact",Table_03[[#This Row],[Mp (k-in)]],IF(Table_03[[#This Row],[Controlling LBx]]="Non-Compact",Table_03[[#This Row],[Mnlb,Non-Compact (k-in)]],IF(Table_03[[#This Row],[Controlling LBx]]="Slender",Table_03[[#This Row],[Mnlb,slender (k-in)]],"ERROR")))</f>
        <v>181.5</v>
      </c>
      <c r="AK75" s="183">
        <f>Table_03[[#This Row],[Mp (k-in)]]-(Table_03[[#This Row],[Mp (k-in)]]-0.7*Table_03[[#This Row],[Strength (ksi)]]*Table_03[[#This Row],[Static Parameters Elastic Section Modulus Sx (in3)2]])*(($B$5-Table_03[[#This Row],[Lp (ft)]])/(Table_03[[#This Row],[Lr]]-Table_03[[#This Row],[Lp (ft)]]))</f>
        <v>111.36063940359507</v>
      </c>
      <c r="AL75" s="184">
        <f>Table_03[[#This Row],[Fcrx]]*Table_03[[#This Row],[Static Parameters Elastic Section Modulus Sx (in3)2]]</f>
        <v>95.460552939520625</v>
      </c>
      <c r="AM75" s="185" t="str">
        <f>IF($B$5&lt;Table_03[[#This Row],[Lp (ft)]],"Yielding Controls",IF(AND($B$5&gt;Table_03[[#This Row],[Lp (ft)]],Table_03[[#This Row],[Lr]]&gt;$B$5),"Mltb,p Controls","Mltb,r Controls"))</f>
        <v>Mltb,p Controls</v>
      </c>
      <c r="AN75" s="186">
        <f>IF(Table_03[[#This Row],[Controlling LTB]]="Yielding Controls",Table_03[[#This Row],[Mp (k-in)]],IF(Table_03[[#This Row],[Controlling LTB]]="Mltb,p Controls",Table_03[[#This Row],[Mnltbp (k-in)]],IF(Table_03[[#This Row],[Controlling LTB]]="Mltb,r Controls",Table_03[[#This Row],[Mnltbr (k-in)]],"ERROR")))</f>
        <v>111.36063940359507</v>
      </c>
      <c r="AO75" s="183">
        <f>MIN(Table_03[[#This Row],[Strength (ksi)]]*Table_03[[#This Row],[Static Parameters Plastic Section Modulus Zy (in3)]],1.6*Table_03[[#This Row],[Strength (ksi)]]*Table_03[[#This Row],[Static Parameters Elastic Section Modulus Sy (in3)3]])</f>
        <v>39.800000000000004</v>
      </c>
      <c r="AP75" s="181">
        <f>MIN(Table_03[[#This Row],[Mny (k-in)]],Table_03[[#This Row],[Mny (k-in)]]-(Table_03[[#This Row],[Mny (k-in)]]-0.7*Table_03[[#This Row],[Static Parameters Elastic Section Modulus Sy (in3)3]]*Table_03[[#This Row],[Strength (ksi)]])*((Table_03[[#This Row],[b/t]]-Table_03[[#This Row],[λpf]])/(Table_03[[#This Row],[λrf]]-Table_03[[#This Row],[λpf]])))</f>
        <v>39.800000000000004</v>
      </c>
      <c r="AQ75" s="184">
        <f>MIN(Table_03[[#This Row],[Mny (k-in)]],Table_03[[#This Row],[Fcry]]*Table_03[[#This Row],[Static Parameters Elastic Section Modulus Sy (in3)3]])</f>
        <v>39.800000000000004</v>
      </c>
      <c r="AR75" s="185" t="str">
        <f>IF(Table_03[[#This Row],[b/t]]&lt;Table_03[[#This Row],[λpf]],"Compact",IF(AND(Table_03[[#This Row],[b/t]]&gt;Table_03[[#This Row],[λpf]],Table_03[[#This Row],[λrf]]&gt;Table_03[[#This Row],[b/t]]),"Non-Compact","Slender"))</f>
        <v>Compact</v>
      </c>
      <c r="AS75" s="186">
        <f>IF(Table_03[[#This Row],[Controlling Lby]]="Compact",Table_03[[#This Row],[Mny (k-in)]],IF(Table_03[[#This Row],[Controlling Lby]]="Non-Compact",Table_03[[#This Row],[Mlby,Non-Compact (k-in)]],IF(Table_03[[#This Row],[Controlling Lby]]="Slender",Table_03[[#This Row],[Mlby,Slender (k-in)]],"ERROR")))</f>
        <v>39.800000000000004</v>
      </c>
      <c r="AT75" s="183">
        <f>MIN(Table_03[[#This Row],[LBx]],Table_03[[#This Row],[LTB]],Table_03[[#This Row],[Mp (k-in)]])</f>
        <v>111.36063940359507</v>
      </c>
      <c r="AU75" s="181">
        <f>Table_03[[#This Row],[Mp (k-in)]]</f>
        <v>181.5</v>
      </c>
      <c r="AV75" s="181">
        <f>MIN(Table_03[[#This Row],[LBy]],Table_03[[#This Row],[Mny (k-in)]])</f>
        <v>39.800000000000004</v>
      </c>
      <c r="AW75" s="187">
        <f>Table_03[[#This Row],[Mny (k-in)]]</f>
        <v>39.800000000000004</v>
      </c>
      <c r="AX75" s="169"/>
      <c r="AY75" s="165">
        <f>IF(4/SQRT((Table_03[[#This Row],[Depth h (in)]]-Table_03[[#This Row],[Flange Thickness tf (in)]]*2)/Table_03[[#This Row],[Web Thickness tw (in)]])&lt;0.35,0.35,IF(4/SQRT(Table_03[[#This Row],[Depth h (in)]]/Table_03[[#This Row],[Web Thickness tw (in)]])&gt;0.76,0.76,4/SQRT(Table_03[[#This Row],[Depth h (in)]]/Table_03[[#This Row],[Web Thickness tw (in)]])))</f>
        <v>0.61263161515810594</v>
      </c>
      <c r="AZ75" s="169"/>
    </row>
    <row r="76" spans="1:52" x14ac:dyDescent="0.3">
      <c r="A76" s="188" t="s">
        <v>174</v>
      </c>
      <c r="B76" s="189">
        <f>B74-$B$2*2</f>
        <v>6.6929999999999996</v>
      </c>
      <c r="C76" s="189">
        <f>C74-$B$2*2</f>
        <v>1.9690000000000001</v>
      </c>
      <c r="D76" s="189">
        <f>D74-$B$2*2</f>
        <v>0.157</v>
      </c>
      <c r="E76" s="189">
        <f>E74-$B$2*2</f>
        <v>0.157</v>
      </c>
      <c r="F76" s="190"/>
      <c r="G76" s="189"/>
      <c r="H76" s="190"/>
      <c r="I76" s="190"/>
      <c r="J76" s="190"/>
      <c r="K76" s="190"/>
      <c r="L76" s="190"/>
      <c r="M76" s="190"/>
      <c r="N76" s="191">
        <v>50</v>
      </c>
      <c r="O76" s="169" t="e">
        <f>SQRT(Table_03[[#This Row],[Static Parameters Moment of Inertia Ix (in4)]]/Table_03[[#This Row],[Sectional Area (in2)]])</f>
        <v>#DIV/0!</v>
      </c>
      <c r="P76" s="190" t="e">
        <f>SQRT(Table_03[[#This Row],[Static Parameters Moment of Inertia Iy (in4)]]/Table_03[[#This Row],[Sectional Area (in2)]])</f>
        <v>#DIV/0!</v>
      </c>
      <c r="Q76" s="190" t="e">
        <f>($B$6*$B$5*12)/Table_03[[#This Row],[ry (in)2]]</f>
        <v>#DIV/0!</v>
      </c>
      <c r="R76" s="190" t="e">
        <f>(PI()^2*$B$4)/(Table_03[[#This Row],[KL/ry]]^2)</f>
        <v>#DIV/0!</v>
      </c>
      <c r="S76" s="190" t="e">
        <f>IF(Table_03[[#This Row],[Strength (ksi)]]/Table_03[[#This Row],[Fe,y]]&lt;2.25,(0.658^(Table_03[[#This Row],[Strength (ksi)]]/Table_03[[#This Row],[Fe,y]])*Table_03[[#This Row],[Strength (ksi)]]),0.877*Table_03[[#This Row],[Fe,y]])</f>
        <v>#DIV/0!</v>
      </c>
      <c r="T76" s="190" t="e">
        <f>Table_03[[#This Row],[Fcr,y]]*Table_03[[#This Row],[Sectional Area (in2)]]</f>
        <v>#DIV/0!</v>
      </c>
      <c r="U76" s="190" t="e">
        <f>1.76*Table_03[[#This Row],[ry (in)2]]*SQRT($B$4/Table_03[[#This Row],[Strength (ksi)]])/12</f>
        <v>#DIV/0!</v>
      </c>
      <c r="V76" s="190"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76" s="190">
        <f>Table_03[[#This Row],[Depth h (in)]]-Table_03[[#This Row],[Flange Thickness tf (in)]]</f>
        <v>6.5359999999999996</v>
      </c>
      <c r="X76" s="190">
        <f>(Table_03[[#This Row],[Static Parameters Moment of Inertia Iy (in4)]]*Table_03[[#This Row],[ho]]^2)/4</f>
        <v>0</v>
      </c>
      <c r="Y76" s="190" t="e">
        <f>SQRT((SQRT(Table_03[[#This Row],[Static Parameters Moment of Inertia Iy (in4)]]*Table_03[[#This Row],[Cw*]])/Table_03[[#This Row],[Static Parameters Elastic Section Modulus Sx (in3)2]]))</f>
        <v>#DIV/0!</v>
      </c>
      <c r="Z76" s="190">
        <f>(2*Table_03[[#This Row],[Width w (in)]]*Table_03[[#This Row],[Flange Thickness tf (in)]]^3/3)+((Table_03[[#This Row],[Depth h (in)]]-Table_03[[#This Row],[Flange Thickness tf (in)]]*2)*Table_03[[#This Row],[Web Thickness tw (in)]]^3)/3</f>
        <v>1.3308562026999999E-2</v>
      </c>
      <c r="AA76" s="190">
        <f>Table_03[[#This Row],[Width w (in)]]*0.5/Table_03[[#This Row],[Flange Thickness tf (in)]]</f>
        <v>6.2707006369426752</v>
      </c>
      <c r="AB76" s="190">
        <f>0.38*SQRT($B$4/Table_03[[#This Row],[Strength (ksi)]])</f>
        <v>9.1516118798821449</v>
      </c>
      <c r="AC76" s="190">
        <f>1*SQRT($B$4/Table_03[[#This Row],[Strength (ksi)]])</f>
        <v>24.083189157584592</v>
      </c>
      <c r="AD76" s="190" t="e">
        <f>(PI()^2*$B$4/(12*$B$5/Table_03[[#This Row],[rts]])^2)*SQRT(1+0.078*(Table_03[[#This Row],[J*]]/(Table_03[[#This Row],[Static Parameters Elastic Section Modulus Sx (in3)2]]*Table_03[[#This Row],[ho]])*$B$4/(12*$B$5/Table_03[[#This Row],[rts]])^2))</f>
        <v>#DIV/0!</v>
      </c>
      <c r="AE76" s="190">
        <f>0.69*$B$4/Table_03[[#This Row],[b/t]]^2</f>
        <v>508.87949607953237</v>
      </c>
      <c r="AF76" s="192">
        <f>Table_03[[#This Row],[Strength (ksi)]]*Table_03[[#This Row],[Static Parameters Plastic Section Modulus Zx (in3)]]</f>
        <v>0</v>
      </c>
      <c r="AG76" s="190">
        <f>Table_03[[#This Row],[Mp (k-in)]]-(Table_03[[#This Row],[Mp (k-in)]]-0.7*Table_03[[#This Row],[Strength (ksi)]]*Table_03[[#This Row],[Static Parameters Elastic Section Modulus Sx (in3)2]])*((Table_03[[#This Row],[b/t]]-Table_03[[#This Row],[λpf]])/(Table_03[[#This Row],[λrf]]-Table_03[[#This Row],[λpf]]))</f>
        <v>0</v>
      </c>
      <c r="AH76" s="193">
        <f>0.9*$B$4*Table_03[[#This Row],[kc]]*Table_03[[#This Row],[Static Parameters Elastic Section Modulus Sx (in3)2]]/Table_03[[#This Row],[b/t]]^2</f>
        <v>0</v>
      </c>
      <c r="AI76" s="194" t="str">
        <f>IF(Table_03[[#This Row],[b/t]]&lt;Table_03[[#This Row],[λpf]],"Compact",IF(AND(Table_03[[#This Row],[b/t]]&gt;Table_03[[#This Row],[λpf]],Table_03[[#This Row],[λrf]]&gt;Table_03[[#This Row],[b/t]]),"Non-Compact","Slender"))</f>
        <v>Compact</v>
      </c>
      <c r="AJ76" s="195">
        <f>IF(Table_03[[#This Row],[Controlling LBx]]="Compact",Table_03[[#This Row],[Mp (k-in)]],IF(Table_03[[#This Row],[Controlling LBx]]="Non-Compact",Table_03[[#This Row],[Mnlb,Non-Compact (k-in)]],IF(Table_03[[#This Row],[Controlling LBx]]="Slender",Table_03[[#This Row],[Mnlb,slender (k-in)]],"ERROR")))</f>
        <v>0</v>
      </c>
      <c r="AK76" s="192" t="e">
        <f>Table_03[[#This Row],[Mp (k-in)]]-(Table_03[[#This Row],[Mp (k-in)]]-0.7*Table_03[[#This Row],[Strength (ksi)]]*Table_03[[#This Row],[Static Parameters Elastic Section Modulus Sx (in3)2]])*(($B$5-Table_03[[#This Row],[Lp (ft)]])/(Table_03[[#This Row],[Lr]]-Table_03[[#This Row],[Lp (ft)]]))</f>
        <v>#DIV/0!</v>
      </c>
      <c r="AL76" s="196" t="e">
        <f>Table_03[[#This Row],[Fcrx]]*Table_03[[#This Row],[Static Parameters Elastic Section Modulus Sx (in3)2]]</f>
        <v>#DIV/0!</v>
      </c>
      <c r="AM76" s="197" t="e">
        <f>IF($B$5&lt;Table_03[[#This Row],[Lp (ft)]],"Yielding Controls",IF(AND($B$5&gt;Table_03[[#This Row],[Lp (ft)]],Table_03[[#This Row],[Lr]]&gt;$B$5),"Mltb,p Controls","Mltb,r Controls"))</f>
        <v>#DIV/0!</v>
      </c>
      <c r="AN76" s="198" t="e">
        <f>IF(Table_03[[#This Row],[Controlling LTB]]="Yielding Controls",Table_03[[#This Row],[Mp (k-in)]],IF(Table_03[[#This Row],[Controlling LTB]]="Mltb,p Controls",Table_03[[#This Row],[Mnltbp (k-in)]],IF(Table_03[[#This Row],[Controlling LTB]]="Mltb,r Controls",Table_03[[#This Row],[Mnltbr (k-in)]],"ERROR")))</f>
        <v>#DIV/0!</v>
      </c>
      <c r="AO76" s="199">
        <f>MIN(Table_03[[#This Row],[Strength (ksi)]]*Table_03[[#This Row],[Static Parameters Plastic Section Modulus Zy (in3)]],1.6*Table_03[[#This Row],[Strength (ksi)]]*Table_03[[#This Row],[Static Parameters Elastic Section Modulus Sy (in3)3]])</f>
        <v>0</v>
      </c>
      <c r="AP76" s="169">
        <f>MIN(Table_03[[#This Row],[Mny (k-in)]],Table_03[[#This Row],[Mny (k-in)]]-(Table_03[[#This Row],[Mny (k-in)]]-0.7*Table_03[[#This Row],[Static Parameters Elastic Section Modulus Sy (in3)3]]*Table_03[[#This Row],[Strength (ksi)]])*((Table_03[[#This Row],[b/t]]-Table_03[[#This Row],[λpf]])/(Table_03[[#This Row],[λrf]]-Table_03[[#This Row],[λpf]])))</f>
        <v>0</v>
      </c>
      <c r="AQ76" s="196">
        <f>MIN(Table_03[[#This Row],[Mny (k-in)]],Table_03[[#This Row],[Fcry]]*Table_03[[#This Row],[Static Parameters Elastic Section Modulus Sy (in3)3]])</f>
        <v>0</v>
      </c>
      <c r="AR76" s="197" t="str">
        <f>IF(Table_03[[#This Row],[b/t]]&lt;Table_03[[#This Row],[λpf]],"Compact",IF(AND(Table_03[[#This Row],[b/t]]&gt;Table_03[[#This Row],[λpf]],Table_03[[#This Row],[λrf]]&gt;Table_03[[#This Row],[b/t]]),"Non-Compact","Slender"))</f>
        <v>Compact</v>
      </c>
      <c r="AS76" s="198">
        <f>IF(Table_03[[#This Row],[Controlling Lby]]="Compact",Table_03[[#This Row],[Mny (k-in)]],IF(Table_03[[#This Row],[Controlling Lby]]="Non-Compact",Table_03[[#This Row],[Mlby,Non-Compact (k-in)]],IF(Table_03[[#This Row],[Controlling Lby]]="Slender",Table_03[[#This Row],[Mlby,Slender (k-in)]],"ERROR")))</f>
        <v>0</v>
      </c>
      <c r="AT76" s="199" t="e">
        <f>MIN(Table_03[[#This Row],[LBx]],Table_03[[#This Row],[LTB]],Table_03[[#This Row],[Mp (k-in)]])</f>
        <v>#DIV/0!</v>
      </c>
      <c r="AU76" s="169">
        <f>Table_03[[#This Row],[Mp (k-in)]]</f>
        <v>0</v>
      </c>
      <c r="AV76" s="169">
        <f>MIN(Table_03[[#This Row],[LBy]],Table_03[[#This Row],[Mny (k-in)]])</f>
        <v>0</v>
      </c>
      <c r="AW76" s="200">
        <f>Table_03[[#This Row],[Mny (k-in)]]</f>
        <v>0</v>
      </c>
      <c r="AX76" s="169"/>
      <c r="AY76" s="165">
        <f>IF(4/SQRT((Table_03[[#This Row],[Depth h (in)]]-Table_03[[#This Row],[Flange Thickness tf (in)]]*2)/Table_03[[#This Row],[Web Thickness tw (in)]])&lt;0.35,0.35,IF(4/SQRT(Table_03[[#This Row],[Depth h (in)]]/Table_03[[#This Row],[Web Thickness tw (in)]])&gt;0.76,0.76,4/SQRT(Table_03[[#This Row],[Depth h (in)]]/Table_03[[#This Row],[Web Thickness tw (in)]])))</f>
        <v>0.61263161515810594</v>
      </c>
      <c r="AZ76" s="169"/>
    </row>
    <row r="77" spans="1:52" ht="14.4" thickBot="1" x14ac:dyDescent="0.35">
      <c r="A77" s="201" t="s">
        <v>175</v>
      </c>
      <c r="B77" s="202">
        <v>6.6929999999999996</v>
      </c>
      <c r="C77" s="202">
        <v>2.7559999999999998</v>
      </c>
      <c r="D77" s="202">
        <v>0.11799999999999999</v>
      </c>
      <c r="E77" s="202">
        <v>0.11799999999999999</v>
      </c>
      <c r="F77" s="203">
        <v>1.51</v>
      </c>
      <c r="G77" s="204"/>
      <c r="H77" s="203">
        <v>10.32</v>
      </c>
      <c r="I77" s="203">
        <v>1.48</v>
      </c>
      <c r="J77" s="203">
        <v>3.6</v>
      </c>
      <c r="K77" s="203">
        <v>1.19</v>
      </c>
      <c r="L77" s="203">
        <v>3.07</v>
      </c>
      <c r="M77" s="203">
        <v>0.76900000000000002</v>
      </c>
      <c r="N77" s="205">
        <v>50</v>
      </c>
      <c r="O77" s="206">
        <f>SQRT(Table_03[[#This Row],[Static Parameters Moment of Inertia Ix (in4)]]/Table_03[[#This Row],[Sectional Area (in2)]])</f>
        <v>2.6142756331520811</v>
      </c>
      <c r="P77" s="203">
        <f>SQRT(Table_03[[#This Row],[Static Parameters Moment of Inertia Iy (in4)]]/Table_03[[#This Row],[Sectional Area (in2)]])</f>
        <v>0.99001638892046928</v>
      </c>
      <c r="Q77" s="203">
        <f>($B$6*$B$5*12)/Table_03[[#This Row],[ry (in)2]]</f>
        <v>181.36063403534601</v>
      </c>
      <c r="R77" s="203">
        <f>(PI()^2*$B$4)/(Table_03[[#This Row],[KL/ry]]^2)</f>
        <v>8.7018519974157567</v>
      </c>
      <c r="S77" s="203">
        <f>IF(Table_03[[#This Row],[Strength (ksi)]]/Table_03[[#This Row],[Fe,y]]&lt;2.25,(0.658^(Table_03[[#This Row],[Strength (ksi)]]/Table_03[[#This Row],[Fe,y]])*Table_03[[#This Row],[Strength (ksi)]]),0.877*Table_03[[#This Row],[Fe,y]])</f>
        <v>7.6315242017336189</v>
      </c>
      <c r="T77" s="203">
        <f>Table_03[[#This Row],[Fcr,y]]*Table_03[[#This Row],[Sectional Area (in2)]]</f>
        <v>11.523601544617765</v>
      </c>
      <c r="U77" s="203">
        <f>1.76*Table_03[[#This Row],[ry (in)2]]*SQRT($B$4/Table_03[[#This Row],[Strength (ksi)]])/12</f>
        <v>3.4969369546438061</v>
      </c>
      <c r="V7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9.9984472235813246</v>
      </c>
      <c r="W77" s="203">
        <f>Table_03[[#This Row],[Depth h (in)]]-Table_03[[#This Row],[Flange Thickness tf (in)]]</f>
        <v>6.5749999999999993</v>
      </c>
      <c r="X77" s="203">
        <f>(Table_03[[#This Row],[Static Parameters Moment of Inertia Iy (in4)]]*Table_03[[#This Row],[ho]]^2)/4</f>
        <v>15.995331249999996</v>
      </c>
      <c r="Y77" s="203">
        <f>SQRT((SQRT(Table_03[[#This Row],[Static Parameters Moment of Inertia Iy (in4)]]*Table_03[[#This Row],[Cw*]])/Table_03[[#This Row],[Static Parameters Elastic Section Modulus Sx (in3)2]]))</f>
        <v>1.2589096155782749</v>
      </c>
      <c r="Z77" s="203">
        <f>(2*Table_03[[#This Row],[Width w (in)]]*Table_03[[#This Row],[Flange Thickness tf (in)]]^3/3)+((Table_03[[#This Row],[Depth h (in)]]-Table_03[[#This Row],[Flange Thickness tf (in)]]*2)*Table_03[[#This Row],[Web Thickness tw (in)]]^3)/3</f>
        <v>6.5551500026666664E-3</v>
      </c>
      <c r="AA77" s="203">
        <f>Table_03[[#This Row],[Width w (in)]]*0.5/Table_03[[#This Row],[Flange Thickness tf (in)]]</f>
        <v>11.677966101694915</v>
      </c>
      <c r="AB77" s="203">
        <f>0.38*SQRT($B$4/Table_03[[#This Row],[Strength (ksi)]])</f>
        <v>9.1516118798821449</v>
      </c>
      <c r="AC77" s="203">
        <f>1*SQRT($B$4/Table_03[[#This Row],[Strength (ksi)]])</f>
        <v>24.083189157584592</v>
      </c>
      <c r="AD77" s="203">
        <f>(PI()^2*$B$4/(12*$B$5/Table_03[[#This Row],[rts]])^2)*SQRT(1+0.078*(Table_03[[#This Row],[J*]]/(Table_03[[#This Row],[Static Parameters Elastic Section Modulus Sx (in3)2]]*Table_03[[#This Row],[ho]])*$B$4/(12*$B$5/Table_03[[#This Row],[rts]])^2))</f>
        <v>62.056773925816508</v>
      </c>
      <c r="AE77" s="203">
        <f>0.69*$B$4/Table_03[[#This Row],[b/t]]^2</f>
        <v>146.72788859140422</v>
      </c>
      <c r="AF77" s="207">
        <f>Table_03[[#This Row],[Strength (ksi)]]*Table_03[[#This Row],[Static Parameters Plastic Section Modulus Zx (in3)]]</f>
        <v>180</v>
      </c>
      <c r="AG77" s="203">
        <f>Table_03[[#This Row],[Mp (k-in)]]-(Table_03[[#This Row],[Mp (k-in)]]-0.7*Table_03[[#This Row],[Strength (ksi)]]*Table_03[[#This Row],[Static Parameters Elastic Section Modulus Sx (in3)2]])*((Table_03[[#This Row],[b/t]]-Table_03[[#This Row],[λpf]])/(Table_03[[#This Row],[λrf]]-Table_03[[#This Row],[λpf]]))</f>
        <v>167.72487357606744</v>
      </c>
      <c r="AH77" s="208">
        <f>0.9*$B$4*Table_03[[#This Row],[kc]]*Table_03[[#This Row],[Static Parameters Elastic Section Modulus Sx (in3)2]]/Table_03[[#This Row],[b/t]]^2</f>
        <v>312.05780169588593</v>
      </c>
      <c r="AI77" s="209" t="str">
        <f>IF(Table_03[[#This Row],[b/t]]&lt;Table_03[[#This Row],[λpf]],"Compact",IF(AND(Table_03[[#This Row],[b/t]]&gt;Table_03[[#This Row],[λpf]],Table_03[[#This Row],[λrf]]&gt;Table_03[[#This Row],[b/t]]),"Non-Compact","Slender"))</f>
        <v>Non-Compact</v>
      </c>
      <c r="AJ77" s="210">
        <f>IF(Table_03[[#This Row],[Controlling LBx]]="Compact",Table_03[[#This Row],[Mp (k-in)]],IF(Table_03[[#This Row],[Controlling LBx]]="Non-Compact",Table_03[[#This Row],[Mnlb,Non-Compact (k-in)]],IF(Table_03[[#This Row],[Controlling LBx]]="Slender",Table_03[[#This Row],[Mnlb,slender (k-in)]],"ERROR")))</f>
        <v>167.72487357606744</v>
      </c>
      <c r="AK77" s="207">
        <f>Table_03[[#This Row],[Mp (k-in)]]-(Table_03[[#This Row],[Mp (k-in)]]-0.7*Table_03[[#This Row],[Strength (ksi)]]*Table_03[[#This Row],[Static Parameters Elastic Section Modulus Sx (in3)2]])*(($B$5-Table_03[[#This Row],[Lp (ft)]])/(Table_03[[#This Row],[Lr]]-Table_03[[#This Row],[Lp (ft)]]))</f>
        <v>139.51464151365451</v>
      </c>
      <c r="AL77" s="211">
        <f>Table_03[[#This Row],[Fcrx]]*Table_03[[#This Row],[Static Parameters Elastic Section Modulus Sx (in3)2]]</f>
        <v>190.51429595225667</v>
      </c>
      <c r="AM77" s="212" t="str">
        <f>IF($B$5&lt;Table_03[[#This Row],[Lp (ft)]],"Yielding Controls",IF(AND($B$5&gt;Table_03[[#This Row],[Lp (ft)]],Table_03[[#This Row],[Lr]]&gt;$B$5),"Mltb,p Controls","Mltb,r Controls"))</f>
        <v>Mltb,p Controls</v>
      </c>
      <c r="AN77" s="213">
        <f>IF(Table_03[[#This Row],[Controlling LTB]]="Yielding Controls",Table_03[[#This Row],[Mp (k-in)]],IF(Table_03[[#This Row],[Controlling LTB]]="Mltb,p Controls",Table_03[[#This Row],[Mnltbp (k-in)]],IF(Table_03[[#This Row],[Controlling LTB]]="Mltb,r Controls",Table_03[[#This Row],[Mnltbr (k-in)]],"ERROR")))</f>
        <v>139.51464151365451</v>
      </c>
      <c r="AO77" s="214">
        <f>MIN(Table_03[[#This Row],[Strength (ksi)]]*Table_03[[#This Row],[Static Parameters Plastic Section Modulus Zy (in3)]],1.6*Table_03[[#This Row],[Strength (ksi)]]*Table_03[[#This Row],[Static Parameters Elastic Section Modulus Sy (in3)3]])</f>
        <v>59.5</v>
      </c>
      <c r="AP77" s="206">
        <f>MIN(Table_03[[#This Row],[Mny (k-in)]],Table_03[[#This Row],[Mny (k-in)]]-(Table_03[[#This Row],[Mny (k-in)]]-0.7*Table_03[[#This Row],[Static Parameters Elastic Section Modulus Sy (in3)3]]*Table_03[[#This Row],[Strength (ksi)]])*((Table_03[[#This Row],[b/t]]-Table_03[[#This Row],[λpf]])/(Table_03[[#This Row],[λrf]]-Table_03[[#This Row],[λpf]])))</f>
        <v>53.986767821862948</v>
      </c>
      <c r="AQ77" s="211">
        <f>MIN(Table_03[[#This Row],[Mny (k-in)]],Table_03[[#This Row],[Fcry]]*Table_03[[#This Row],[Static Parameters Elastic Section Modulus Sy (in3)3]])</f>
        <v>59.5</v>
      </c>
      <c r="AR77" s="212" t="str">
        <f>IF(Table_03[[#This Row],[b/t]]&lt;Table_03[[#This Row],[λpf]],"Compact",IF(AND(Table_03[[#This Row],[b/t]]&gt;Table_03[[#This Row],[λpf]],Table_03[[#This Row],[λrf]]&gt;Table_03[[#This Row],[b/t]]),"Non-Compact","Slender"))</f>
        <v>Non-Compact</v>
      </c>
      <c r="AS77" s="213">
        <f>IF(Table_03[[#This Row],[Controlling Lby]]="Compact",Table_03[[#This Row],[Mny (k-in)]],IF(Table_03[[#This Row],[Controlling Lby]]="Non-Compact",Table_03[[#This Row],[Mlby,Non-Compact (k-in)]],IF(Table_03[[#This Row],[Controlling Lby]]="Slender",Table_03[[#This Row],[Mlby,Slender (k-in)]],"ERROR")))</f>
        <v>53.986767821862948</v>
      </c>
      <c r="AT77" s="214">
        <f>MIN(Table_03[[#This Row],[LBx]],Table_03[[#This Row],[LTB]],Table_03[[#This Row],[Mp (k-in)]])</f>
        <v>139.51464151365451</v>
      </c>
      <c r="AU77" s="206">
        <f>Table_03[[#This Row],[Mp (k-in)]]</f>
        <v>180</v>
      </c>
      <c r="AV77" s="206">
        <f>MIN(Table_03[[#This Row],[LBy]],Table_03[[#This Row],[Mny (k-in)]])</f>
        <v>53.986767821862948</v>
      </c>
      <c r="AW77" s="215">
        <f>Table_03[[#This Row],[Mny (k-in)]]</f>
        <v>59.5</v>
      </c>
      <c r="AX77" s="169"/>
      <c r="AY77" s="165">
        <f>IF(4/SQRT((Table_03[[#This Row],[Depth h (in)]]-Table_03[[#This Row],[Flange Thickness tf (in)]]*2)/Table_03[[#This Row],[Web Thickness tw (in)]])&lt;0.35,0.35,IF(4/SQRT(Table_03[[#This Row],[Depth h (in)]]/Table_03[[#This Row],[Web Thickness tw (in)]])&gt;0.76,0.76,4/SQRT(Table_03[[#This Row],[Depth h (in)]]/Table_03[[#This Row],[Web Thickness tw (in)]])))</f>
        <v>0.53111746463761644</v>
      </c>
      <c r="AZ77" s="169"/>
    </row>
    <row r="78" spans="1:52" x14ac:dyDescent="0.3">
      <c r="A78" s="179" t="s">
        <v>176</v>
      </c>
      <c r="B78" s="180">
        <f>B77-$B$1*2</f>
        <v>6.6929999999999996</v>
      </c>
      <c r="C78" s="180">
        <f>C77-$B$1*2</f>
        <v>2.7559999999999998</v>
      </c>
      <c r="D78" s="180">
        <f>D77-$B$1*2</f>
        <v>0.11799999999999999</v>
      </c>
      <c r="E78" s="180">
        <f>E77-$B$1*2</f>
        <v>0.11799999999999999</v>
      </c>
      <c r="F78" s="181">
        <v>1.21</v>
      </c>
      <c r="G78" s="180"/>
      <c r="H78" s="180">
        <v>8.31</v>
      </c>
      <c r="I78" s="180">
        <v>1.19</v>
      </c>
      <c r="J78" s="181">
        <v>2.91</v>
      </c>
      <c r="K78" s="181">
        <v>0.95599999999999996</v>
      </c>
      <c r="L78" s="181">
        <v>2.4900000000000002</v>
      </c>
      <c r="M78" s="181">
        <v>1.42</v>
      </c>
      <c r="N78" s="182">
        <v>50</v>
      </c>
      <c r="O78" s="181">
        <f>SQRT(Table_03[[#This Row],[Static Parameters Moment of Inertia Ix (in4)]]/Table_03[[#This Row],[Sectional Area (in2)]])</f>
        <v>2.6206427827999228</v>
      </c>
      <c r="P78" s="181">
        <f>SQRT(Table_03[[#This Row],[Static Parameters Moment of Inertia Iy (in4)]]/Table_03[[#This Row],[Sectional Area (in2)]])</f>
        <v>0.99170110133051947</v>
      </c>
      <c r="Q78" s="181">
        <f>($B$6*$B$5*12)/Table_03[[#This Row],[ry (in)2]]</f>
        <v>181.05253665555688</v>
      </c>
      <c r="R78" s="181">
        <f>(PI()^2*$B$4)/(Table_03[[#This Row],[KL/ry]]^2)</f>
        <v>8.7314931059617908</v>
      </c>
      <c r="S78" s="181">
        <f>IF(Table_03[[#This Row],[Strength (ksi)]]/Table_03[[#This Row],[Fe,y]]&lt;2.25,(0.658^(Table_03[[#This Row],[Strength (ksi)]]/Table_03[[#This Row],[Fe,y]])*Table_03[[#This Row],[Strength (ksi)]]),0.877*Table_03[[#This Row],[Fe,y]])</f>
        <v>7.657519453928491</v>
      </c>
      <c r="T78" s="181">
        <f>Table_03[[#This Row],[Fcr,y]]*Table_03[[#This Row],[Sectional Area (in2)]]</f>
        <v>9.2655985392534745</v>
      </c>
      <c r="U78" s="181">
        <f>1.76*Table_03[[#This Row],[ry (in)2]]*SQRT($B$4/Table_03[[#This Row],[Strength (ksi)]])/12</f>
        <v>3.5028876976320866</v>
      </c>
      <c r="V7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10.074990251077015</v>
      </c>
      <c r="W78" s="181">
        <f>Table_03[[#This Row],[Depth h (in)]]-Table_03[[#This Row],[Flange Thickness tf (in)]]</f>
        <v>6.5749999999999993</v>
      </c>
      <c r="X78" s="181">
        <f>(Table_03[[#This Row],[Static Parameters Moment of Inertia Iy (in4)]]*Table_03[[#This Row],[ho]]^2)/4</f>
        <v>12.861110937499996</v>
      </c>
      <c r="Y78" s="181">
        <f>SQRT((SQRT(Table_03[[#This Row],[Static Parameters Moment of Inertia Iy (in4)]]*Table_03[[#This Row],[Cw*]])/Table_03[[#This Row],[Static Parameters Elastic Section Modulus Sx (in3)2]]))</f>
        <v>1.2534490568637442</v>
      </c>
      <c r="Z78" s="181">
        <f>(2*Table_03[[#This Row],[Width w (in)]]*Table_03[[#This Row],[Flange Thickness tf (in)]]^3/3)+((Table_03[[#This Row],[Depth h (in)]]-Table_03[[#This Row],[Flange Thickness tf (in)]]*2)*Table_03[[#This Row],[Web Thickness tw (in)]]^3)/3</f>
        <v>6.5551500026666664E-3</v>
      </c>
      <c r="AA78" s="181">
        <f>Table_03[[#This Row],[Width w (in)]]*0.5/Table_03[[#This Row],[Flange Thickness tf (in)]]</f>
        <v>11.677966101694915</v>
      </c>
      <c r="AB78" s="181">
        <f>0.38*SQRT($B$4/Table_03[[#This Row],[Strength (ksi)]])</f>
        <v>9.1516118798821449</v>
      </c>
      <c r="AC78" s="181">
        <f>1*SQRT($B$4/Table_03[[#This Row],[Strength (ksi)]])</f>
        <v>24.083189157584592</v>
      </c>
      <c r="AD78" s="181">
        <f>(PI()^2*$B$4/(12*$B$5/Table_03[[#This Row],[rts]])^2)*SQRT(1+0.078*(Table_03[[#This Row],[J*]]/(Table_03[[#This Row],[Static Parameters Elastic Section Modulus Sx (in3)2]]*Table_03[[#This Row],[ho]])*$B$4/(12*$B$5/Table_03[[#This Row],[rts]])^2))</f>
        <v>61.52068378650366</v>
      </c>
      <c r="AE78" s="181">
        <f>0.69*$B$4/Table_03[[#This Row],[b/t]]^2</f>
        <v>146.72788859140422</v>
      </c>
      <c r="AF78" s="183">
        <f>Table_03[[#This Row],[Strength (ksi)]]*Table_03[[#This Row],[Static Parameters Plastic Section Modulus Zx (in3)]]</f>
        <v>145.5</v>
      </c>
      <c r="AG78" s="181">
        <f>Table_03[[#This Row],[Mp (k-in)]]-(Table_03[[#This Row],[Mp (k-in)]]-0.7*Table_03[[#This Row],[Strength (ksi)]]*Table_03[[#This Row],[Static Parameters Elastic Section Modulus Sx (in3)2]])*((Table_03[[#This Row],[b/t]]-Table_03[[#This Row],[λpf]])/(Table_03[[#This Row],[λrf]]-Table_03[[#This Row],[λpf]]))</f>
        <v>135.6274482861962</v>
      </c>
      <c r="AH78" s="184">
        <f>0.9*$B$4*Table_03[[#This Row],[kc]]*Table_03[[#This Row],[Static Parameters Elastic Section Modulus Sx (in3)2]]/Table_03[[#This Row],[b/t]]^2</f>
        <v>253.10225609861763</v>
      </c>
      <c r="AI78" s="185" t="str">
        <f>IF(Table_03[[#This Row],[b/t]]&lt;Table_03[[#This Row],[λpf]],"Compact",IF(AND(Table_03[[#This Row],[b/t]]&gt;Table_03[[#This Row],[λpf]],Table_03[[#This Row],[λrf]]&gt;Table_03[[#This Row],[b/t]]),"Non-Compact","Slender"))</f>
        <v>Non-Compact</v>
      </c>
      <c r="AJ78" s="186">
        <f>IF(Table_03[[#This Row],[Controlling LBx]]="Compact",Table_03[[#This Row],[Mp (k-in)]],IF(Table_03[[#This Row],[Controlling LBx]]="Non-Compact",Table_03[[#This Row],[Mnlb,Non-Compact (k-in)]],IF(Table_03[[#This Row],[Controlling LBx]]="Slender",Table_03[[#This Row],[Mnlb,slender (k-in)]],"ERROR")))</f>
        <v>135.6274482861962</v>
      </c>
      <c r="AK78" s="183">
        <f>Table_03[[#This Row],[Mp (k-in)]]-(Table_03[[#This Row],[Mp (k-in)]]-0.7*Table_03[[#This Row],[Strength (ksi)]]*Table_03[[#This Row],[Static Parameters Elastic Section Modulus Sx (in3)2]])*(($B$5-Table_03[[#This Row],[Lp (ft)]])/(Table_03[[#This Row],[Lr]]-Table_03[[#This Row],[Lp (ft)]]))</f>
        <v>113.34130327784015</v>
      </c>
      <c r="AL78" s="184">
        <f>Table_03[[#This Row],[Fcrx]]*Table_03[[#This Row],[Static Parameters Elastic Section Modulus Sx (in3)2]]</f>
        <v>153.18650262839412</v>
      </c>
      <c r="AM78" s="185" t="str">
        <f>IF($B$5&lt;Table_03[[#This Row],[Lp (ft)]],"Yielding Controls",IF(AND($B$5&gt;Table_03[[#This Row],[Lp (ft)]],Table_03[[#This Row],[Lr]]&gt;$B$5),"Mltb,p Controls","Mltb,r Controls"))</f>
        <v>Mltb,p Controls</v>
      </c>
      <c r="AN78" s="186">
        <f>IF(Table_03[[#This Row],[Controlling LTB]]="Yielding Controls",Table_03[[#This Row],[Mp (k-in)]],IF(Table_03[[#This Row],[Controlling LTB]]="Mltb,p Controls",Table_03[[#This Row],[Mnltbp (k-in)]],IF(Table_03[[#This Row],[Controlling LTB]]="Mltb,r Controls",Table_03[[#This Row],[Mnltbr (k-in)]],"ERROR")))</f>
        <v>113.34130327784015</v>
      </c>
      <c r="AO78" s="183">
        <f>MIN(Table_03[[#This Row],[Strength (ksi)]]*Table_03[[#This Row],[Static Parameters Plastic Section Modulus Zy (in3)]],1.6*Table_03[[#This Row],[Strength (ksi)]]*Table_03[[#This Row],[Static Parameters Elastic Section Modulus Sy (in3)3]])</f>
        <v>47.8</v>
      </c>
      <c r="AP78" s="181">
        <f>MIN(Table_03[[#This Row],[Mny (k-in)]],Table_03[[#This Row],[Mny (k-in)]]-(Table_03[[#This Row],[Mny (k-in)]]-0.7*Table_03[[#This Row],[Static Parameters Elastic Section Modulus Sy (in3)3]]*Table_03[[#This Row],[Strength (ksi)]])*((Table_03[[#This Row],[b/t]]-Table_03[[#This Row],[λpf]])/(Table_03[[#This Row],[λrf]]-Table_03[[#This Row],[λpf]])))</f>
        <v>47.8</v>
      </c>
      <c r="AQ78" s="184">
        <f>MIN(Table_03[[#This Row],[Mny (k-in)]],Table_03[[#This Row],[Fcry]]*Table_03[[#This Row],[Static Parameters Elastic Section Modulus Sy (in3)3]])</f>
        <v>47.8</v>
      </c>
      <c r="AR78" s="185" t="str">
        <f>IF(Table_03[[#This Row],[b/t]]&lt;Table_03[[#This Row],[λpf]],"Compact",IF(AND(Table_03[[#This Row],[b/t]]&gt;Table_03[[#This Row],[λpf]],Table_03[[#This Row],[λrf]]&gt;Table_03[[#This Row],[b/t]]),"Non-Compact","Slender"))</f>
        <v>Non-Compact</v>
      </c>
      <c r="AS78" s="186">
        <f>IF(Table_03[[#This Row],[Controlling Lby]]="Compact",Table_03[[#This Row],[Mny (k-in)]],IF(Table_03[[#This Row],[Controlling Lby]]="Non-Compact",Table_03[[#This Row],[Mlby,Non-Compact (k-in)]],IF(Table_03[[#This Row],[Controlling Lby]]="Slender",Table_03[[#This Row],[Mlby,Slender (k-in)]],"ERROR")))</f>
        <v>47.8</v>
      </c>
      <c r="AT78" s="183">
        <f>MIN(Table_03[[#This Row],[LBx]],Table_03[[#This Row],[LTB]],Table_03[[#This Row],[Mp (k-in)]])</f>
        <v>113.34130327784015</v>
      </c>
      <c r="AU78" s="181">
        <f>Table_03[[#This Row],[Mp (k-in)]]</f>
        <v>145.5</v>
      </c>
      <c r="AV78" s="181">
        <f>MIN(Table_03[[#This Row],[LBy]],Table_03[[#This Row],[Mny (k-in)]])</f>
        <v>47.8</v>
      </c>
      <c r="AW78" s="187">
        <f>Table_03[[#This Row],[Mny (k-in)]]</f>
        <v>47.8</v>
      </c>
      <c r="AX78" s="169"/>
      <c r="AY78" s="165">
        <f>IF(4/SQRT((Table_03[[#This Row],[Depth h (in)]]-Table_03[[#This Row],[Flange Thickness tf (in)]]*2)/Table_03[[#This Row],[Web Thickness tw (in)]])&lt;0.35,0.35,IF(4/SQRT(Table_03[[#This Row],[Depth h (in)]]/Table_03[[#This Row],[Web Thickness tw (in)]])&gt;0.76,0.76,4/SQRT(Table_03[[#This Row],[Depth h (in)]]/Table_03[[#This Row],[Web Thickness tw (in)]])))</f>
        <v>0.53111746463761644</v>
      </c>
      <c r="AZ78" s="169"/>
    </row>
    <row r="79" spans="1:52" x14ac:dyDescent="0.3">
      <c r="A79" s="188" t="s">
        <v>177</v>
      </c>
      <c r="B79" s="189">
        <f>B77-$B$2*2</f>
        <v>6.6929999999999996</v>
      </c>
      <c r="C79" s="189">
        <f>C77-$B$2*2</f>
        <v>2.7559999999999998</v>
      </c>
      <c r="D79" s="189">
        <f>D77-$B$2*2</f>
        <v>0.11799999999999999</v>
      </c>
      <c r="E79" s="189">
        <f>E77-$B$2*2</f>
        <v>0.11799999999999999</v>
      </c>
      <c r="F79" s="190">
        <v>0.73499999999999999</v>
      </c>
      <c r="G79" s="189"/>
      <c r="H79" s="190">
        <v>5.0199999999999996</v>
      </c>
      <c r="I79" s="190">
        <v>0.70699999999999996</v>
      </c>
      <c r="J79" s="190">
        <v>1.76</v>
      </c>
      <c r="K79" s="190">
        <v>0.57299999999999995</v>
      </c>
      <c r="L79" s="190">
        <v>1.51</v>
      </c>
      <c r="M79" s="190">
        <v>0.375</v>
      </c>
      <c r="N79" s="191">
        <v>50</v>
      </c>
      <c r="O79" s="169">
        <f>SQRT(Table_03[[#This Row],[Static Parameters Moment of Inertia Ix (in4)]]/Table_03[[#This Row],[Sectional Area (in2)]])</f>
        <v>2.61341385409757</v>
      </c>
      <c r="P79" s="190">
        <f>SQRT(Table_03[[#This Row],[Static Parameters Moment of Inertia Iy (in4)]]/Table_03[[#This Row],[Sectional Area (in2)]])</f>
        <v>0.98076743517755616</v>
      </c>
      <c r="Q79" s="190">
        <f>($B$6*$B$5*12)/Table_03[[#This Row],[ry (in)2]]</f>
        <v>183.07092340142253</v>
      </c>
      <c r="R79" s="190">
        <f>(PI()^2*$B$4)/(Table_03[[#This Row],[KL/ry]]^2)</f>
        <v>8.5400221887122072</v>
      </c>
      <c r="S79" s="190">
        <f>IF(Table_03[[#This Row],[Strength (ksi)]]/Table_03[[#This Row],[Fe,y]]&lt;2.25,(0.658^(Table_03[[#This Row],[Strength (ksi)]]/Table_03[[#This Row],[Fe,y]])*Table_03[[#This Row],[Strength (ksi)]]),0.877*Table_03[[#This Row],[Fe,y]])</f>
        <v>7.4895994595006057</v>
      </c>
      <c r="T79" s="190">
        <f>Table_03[[#This Row],[Fcr,y]]*Table_03[[#This Row],[Sectional Area (in2)]]</f>
        <v>5.5048556027329454</v>
      </c>
      <c r="U79" s="190">
        <f>1.76*Table_03[[#This Row],[ry (in)2]]*SQRT($B$4/Table_03[[#This Row],[Strength (ksi)]])/12</f>
        <v>3.4642677902770913</v>
      </c>
      <c r="V7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10.387678708697019</v>
      </c>
      <c r="W79" s="190">
        <f>Table_03[[#This Row],[Depth h (in)]]-Table_03[[#This Row],[Flange Thickness tf (in)]]</f>
        <v>6.5749999999999993</v>
      </c>
      <c r="X79" s="190">
        <f>(Table_03[[#This Row],[Static Parameters Moment of Inertia Iy (in4)]]*Table_03[[#This Row],[ho]]^2)/4</f>
        <v>7.6410129687499975</v>
      </c>
      <c r="Y79" s="190">
        <f>SQRT((SQRT(Table_03[[#This Row],[Static Parameters Moment of Inertia Iy (in4)]]*Table_03[[#This Row],[Cw*]])/Table_03[[#This Row],[Static Parameters Elastic Section Modulus Sx (in3)2]]))</f>
        <v>1.2406638097170892</v>
      </c>
      <c r="Z79" s="190">
        <f>(2*Table_03[[#This Row],[Width w (in)]]*Table_03[[#This Row],[Flange Thickness tf (in)]]^3/3)+((Table_03[[#This Row],[Depth h (in)]]-Table_03[[#This Row],[Flange Thickness tf (in)]]*2)*Table_03[[#This Row],[Web Thickness tw (in)]]^3)/3</f>
        <v>6.5551500026666664E-3</v>
      </c>
      <c r="AA79" s="190">
        <f>Table_03[[#This Row],[Width w (in)]]*0.5/Table_03[[#This Row],[Flange Thickness tf (in)]]</f>
        <v>11.677966101694915</v>
      </c>
      <c r="AB79" s="190">
        <f>0.38*SQRT($B$4/Table_03[[#This Row],[Strength (ksi)]])</f>
        <v>9.1516118798821449</v>
      </c>
      <c r="AC79" s="190">
        <f>1*SQRT($B$4/Table_03[[#This Row],[Strength (ksi)]])</f>
        <v>24.083189157584592</v>
      </c>
      <c r="AD79" s="190">
        <f>(PI()^2*$B$4/(12*$B$5/Table_03[[#This Row],[rts]])^2)*SQRT(1+0.078*(Table_03[[#This Row],[J*]]/(Table_03[[#This Row],[Static Parameters Elastic Section Modulus Sx (in3)2]]*Table_03[[#This Row],[ho]])*$B$4/(12*$B$5/Table_03[[#This Row],[rts]])^2))</f>
        <v>60.275665942262606</v>
      </c>
      <c r="AE79" s="190">
        <f>0.69*$B$4/Table_03[[#This Row],[b/t]]^2</f>
        <v>146.72788859140422</v>
      </c>
      <c r="AF79" s="192">
        <f>Table_03[[#This Row],[Strength (ksi)]]*Table_03[[#This Row],[Static Parameters Plastic Section Modulus Zx (in3)]]</f>
        <v>88</v>
      </c>
      <c r="AG79" s="190">
        <f>Table_03[[#This Row],[Mp (k-in)]]-(Table_03[[#This Row],[Mp (k-in)]]-0.7*Table_03[[#This Row],[Strength (ksi)]]*Table_03[[#This Row],[Static Parameters Elastic Section Modulus Sx (in3)2]])*((Table_03[[#This Row],[b/t]]-Table_03[[#This Row],[λpf]])/(Table_03[[#This Row],[λrf]]-Table_03[[#This Row],[λpf]]))</f>
        <v>82.05278161542067</v>
      </c>
      <c r="AH79" s="193">
        <f>0.9*$B$4*Table_03[[#This Row],[kc]]*Table_03[[#This Row],[Static Parameters Elastic Section Modulus Sx (in3)2]]/Table_03[[#This Row],[b/t]]^2</f>
        <v>153.48771353771588</v>
      </c>
      <c r="AI79" s="194" t="str">
        <f>IF(Table_03[[#This Row],[b/t]]&lt;Table_03[[#This Row],[λpf]],"Compact",IF(AND(Table_03[[#This Row],[b/t]]&gt;Table_03[[#This Row],[λpf]],Table_03[[#This Row],[λrf]]&gt;Table_03[[#This Row],[b/t]]),"Non-Compact","Slender"))</f>
        <v>Non-Compact</v>
      </c>
      <c r="AJ79" s="195">
        <f>IF(Table_03[[#This Row],[Controlling LBx]]="Compact",Table_03[[#This Row],[Mp (k-in)]],IF(Table_03[[#This Row],[Controlling LBx]]="Non-Compact",Table_03[[#This Row],[Mnlb,Non-Compact (k-in)]],IF(Table_03[[#This Row],[Controlling LBx]]="Slender",Table_03[[#This Row],[Mnlb,slender (k-in)]],"ERROR")))</f>
        <v>82.05278161542067</v>
      </c>
      <c r="AK79" s="192">
        <f>Table_03[[#This Row],[Mp (k-in)]]-(Table_03[[#This Row],[Mp (k-in)]]-0.7*Table_03[[#This Row],[Strength (ksi)]]*Table_03[[#This Row],[Static Parameters Elastic Section Modulus Sx (in3)2]])*(($B$5-Table_03[[#This Row],[Lp (ft)]])/(Table_03[[#This Row],[Lr]]-Table_03[[#This Row],[Lp (ft)]]))</f>
        <v>69.414545707605257</v>
      </c>
      <c r="AL79" s="196">
        <f>Table_03[[#This Row],[Fcrx]]*Table_03[[#This Row],[Static Parameters Elastic Section Modulus Sx (in3)2]]</f>
        <v>91.016255572816533</v>
      </c>
      <c r="AM79" s="197" t="str">
        <f>IF($B$5&lt;Table_03[[#This Row],[Lp (ft)]],"Yielding Controls",IF(AND($B$5&gt;Table_03[[#This Row],[Lp (ft)]],Table_03[[#This Row],[Lr]]&gt;$B$5),"Mltb,p Controls","Mltb,r Controls"))</f>
        <v>Mltb,p Controls</v>
      </c>
      <c r="AN79" s="198">
        <f>IF(Table_03[[#This Row],[Controlling LTB]]="Yielding Controls",Table_03[[#This Row],[Mp (k-in)]],IF(Table_03[[#This Row],[Controlling LTB]]="Mltb,p Controls",Table_03[[#This Row],[Mnltbp (k-in)]],IF(Table_03[[#This Row],[Controlling LTB]]="Mltb,r Controls",Table_03[[#This Row],[Mnltbr (k-in)]],"ERROR")))</f>
        <v>69.414545707605257</v>
      </c>
      <c r="AO79" s="199">
        <f>MIN(Table_03[[#This Row],[Strength (ksi)]]*Table_03[[#This Row],[Static Parameters Plastic Section Modulus Zy (in3)]],1.6*Table_03[[#This Row],[Strength (ksi)]]*Table_03[[#This Row],[Static Parameters Elastic Section Modulus Sy (in3)3]])</f>
        <v>28.65</v>
      </c>
      <c r="AP79" s="169">
        <f>MIN(Table_03[[#This Row],[Mny (k-in)]],Table_03[[#This Row],[Mny (k-in)]]-(Table_03[[#This Row],[Mny (k-in)]]-0.7*Table_03[[#This Row],[Static Parameters Elastic Section Modulus Sy (in3)3]]*Table_03[[#This Row],[Strength (ksi)]])*((Table_03[[#This Row],[b/t]]-Table_03[[#This Row],[λpf]])/(Table_03[[#This Row],[λrf]]-Table_03[[#This Row],[λpf]])))</f>
        <v>26.023241382059915</v>
      </c>
      <c r="AQ79" s="196">
        <f>MIN(Table_03[[#This Row],[Mny (k-in)]],Table_03[[#This Row],[Fcry]]*Table_03[[#This Row],[Static Parameters Elastic Section Modulus Sy (in3)3]])</f>
        <v>28.65</v>
      </c>
      <c r="AR79" s="197" t="str">
        <f>IF(Table_03[[#This Row],[b/t]]&lt;Table_03[[#This Row],[λpf]],"Compact",IF(AND(Table_03[[#This Row],[b/t]]&gt;Table_03[[#This Row],[λpf]],Table_03[[#This Row],[λrf]]&gt;Table_03[[#This Row],[b/t]]),"Non-Compact","Slender"))</f>
        <v>Non-Compact</v>
      </c>
      <c r="AS79" s="198">
        <f>IF(Table_03[[#This Row],[Controlling Lby]]="Compact",Table_03[[#This Row],[Mny (k-in)]],IF(Table_03[[#This Row],[Controlling Lby]]="Non-Compact",Table_03[[#This Row],[Mlby,Non-Compact (k-in)]],IF(Table_03[[#This Row],[Controlling Lby]]="Slender",Table_03[[#This Row],[Mlby,Slender (k-in)]],"ERROR")))</f>
        <v>26.023241382059915</v>
      </c>
      <c r="AT79" s="199">
        <f>MIN(Table_03[[#This Row],[LBx]],Table_03[[#This Row],[LTB]],Table_03[[#This Row],[Mp (k-in)]])</f>
        <v>69.414545707605257</v>
      </c>
      <c r="AU79" s="169">
        <f>Table_03[[#This Row],[Mp (k-in)]]</f>
        <v>88</v>
      </c>
      <c r="AV79" s="169">
        <f>MIN(Table_03[[#This Row],[LBy]],Table_03[[#This Row],[Mny (k-in)]])</f>
        <v>26.023241382059915</v>
      </c>
      <c r="AW79" s="200">
        <f>Table_03[[#This Row],[Mny (k-in)]]</f>
        <v>28.65</v>
      </c>
      <c r="AX79" s="169"/>
      <c r="AY79" s="165">
        <f>IF(4/SQRT((Table_03[[#This Row],[Depth h (in)]]-Table_03[[#This Row],[Flange Thickness tf (in)]]*2)/Table_03[[#This Row],[Web Thickness tw (in)]])&lt;0.35,0.35,IF(4/SQRT(Table_03[[#This Row],[Depth h (in)]]/Table_03[[#This Row],[Web Thickness tw (in)]])&gt;0.76,0.76,4/SQRT(Table_03[[#This Row],[Depth h (in)]]/Table_03[[#This Row],[Web Thickness tw (in)]])))</f>
        <v>0.53111746463761644</v>
      </c>
      <c r="AZ79" s="169"/>
    </row>
    <row r="80" spans="1:52" ht="14.4" thickBot="1" x14ac:dyDescent="0.35">
      <c r="A80" s="201" t="s">
        <v>178</v>
      </c>
      <c r="B80" s="202">
        <v>6.6929999999999996</v>
      </c>
      <c r="C80" s="202">
        <v>2.7559999999999998</v>
      </c>
      <c r="D80" s="202">
        <v>0.157</v>
      </c>
      <c r="E80" s="202">
        <v>0.157</v>
      </c>
      <c r="F80" s="203">
        <v>2</v>
      </c>
      <c r="G80" s="204"/>
      <c r="H80" s="203">
        <v>13.62</v>
      </c>
      <c r="I80" s="203">
        <v>1.92</v>
      </c>
      <c r="J80" s="203">
        <v>4.79</v>
      </c>
      <c r="K80" s="203">
        <v>1.56</v>
      </c>
      <c r="L80" s="203">
        <v>4.07</v>
      </c>
      <c r="M80" s="203">
        <v>1.01</v>
      </c>
      <c r="N80" s="205">
        <v>50</v>
      </c>
      <c r="O80" s="206">
        <f>SQRT(Table_03[[#This Row],[Static Parameters Moment of Inertia Ix (in4)]]/Table_03[[#This Row],[Sectional Area (in2)]])</f>
        <v>2.6095976701399777</v>
      </c>
      <c r="P80" s="203">
        <f>SQRT(Table_03[[#This Row],[Static Parameters Moment of Inertia Iy (in4)]]/Table_03[[#This Row],[Sectional Area (in2)]])</f>
        <v>0.9797958971132712</v>
      </c>
      <c r="Q80" s="203">
        <f>($B$6*$B$5*12)/Table_03[[#This Row],[ry (in)2]]</f>
        <v>183.25245138196652</v>
      </c>
      <c r="R80" s="203">
        <f>(PI()^2*$B$4)/(Table_03[[#This Row],[KL/ry]]^2)</f>
        <v>8.5231112536850535</v>
      </c>
      <c r="S80" s="203">
        <f>IF(Table_03[[#This Row],[Strength (ksi)]]/Table_03[[#This Row],[Fe,y]]&lt;2.25,(0.658^(Table_03[[#This Row],[Strength (ksi)]]/Table_03[[#This Row],[Fe,y]])*Table_03[[#This Row],[Strength (ksi)]]),0.877*Table_03[[#This Row],[Fe,y]])</f>
        <v>7.4747685694817916</v>
      </c>
      <c r="T80" s="203">
        <f>Table_03[[#This Row],[Fcr,y]]*Table_03[[#This Row],[Sectional Area (in2)]]</f>
        <v>14.949537138963583</v>
      </c>
      <c r="U80" s="203">
        <f>1.76*Table_03[[#This Row],[ry (in)2]]*SQRT($B$4/Table_03[[#This Row],[Strength (ksi)]])/12</f>
        <v>3.4608361224806159</v>
      </c>
      <c r="V8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10.260789329228247</v>
      </c>
      <c r="W80" s="203">
        <f>Table_03[[#This Row],[Depth h (in)]]-Table_03[[#This Row],[Flange Thickness tf (in)]]</f>
        <v>6.5359999999999996</v>
      </c>
      <c r="X80" s="203">
        <f>(Table_03[[#This Row],[Static Parameters Moment of Inertia Iy (in4)]]*Table_03[[#This Row],[ho]]^2)/4</f>
        <v>20.505262079999994</v>
      </c>
      <c r="Y80" s="203">
        <f>SQRT((SQRT(Table_03[[#This Row],[Static Parameters Moment of Inertia Iy (in4)]]*Table_03[[#This Row],[Cw*]])/Table_03[[#This Row],[Static Parameters Elastic Section Modulus Sx (in3)2]]))</f>
        <v>1.2416363934988912</v>
      </c>
      <c r="Z80" s="203">
        <f>(2*Table_03[[#This Row],[Width w (in)]]*Table_03[[#This Row],[Flange Thickness tf (in)]]^3/3)+((Table_03[[#This Row],[Depth h (in)]]-Table_03[[#This Row],[Flange Thickness tf (in)]]*2)*Table_03[[#This Row],[Web Thickness tw (in)]]^3)/3</f>
        <v>1.5338965887666665E-2</v>
      </c>
      <c r="AA80" s="203">
        <f>Table_03[[#This Row],[Width w (in)]]*0.5/Table_03[[#This Row],[Flange Thickness tf (in)]]</f>
        <v>8.777070063694266</v>
      </c>
      <c r="AB80" s="203">
        <f>0.38*SQRT($B$4/Table_03[[#This Row],[Strength (ksi)]])</f>
        <v>9.1516118798821449</v>
      </c>
      <c r="AC80" s="203">
        <f>1*SQRT($B$4/Table_03[[#This Row],[Strength (ksi)]])</f>
        <v>24.083189157584592</v>
      </c>
      <c r="AD80" s="203">
        <f>(PI()^2*$B$4/(12*$B$5/Table_03[[#This Row],[rts]])^2)*SQRT(1+0.078*(Table_03[[#This Row],[J*]]/(Table_03[[#This Row],[Static Parameters Elastic Section Modulus Sx (in3)2]]*Table_03[[#This Row],[ho]])*$B$4/(12*$B$5/Table_03[[#This Row],[rts]])^2))</f>
        <v>60.369016838110404</v>
      </c>
      <c r="AE80" s="203">
        <f>0.69*$B$4/Table_03[[#This Row],[b/t]]^2</f>
        <v>259.7454557519049</v>
      </c>
      <c r="AF80" s="207">
        <f>Table_03[[#This Row],[Strength (ksi)]]*Table_03[[#This Row],[Static Parameters Plastic Section Modulus Zx (in3)]]</f>
        <v>239.5</v>
      </c>
      <c r="AG80" s="203">
        <f>Table_03[[#This Row],[Mp (k-in)]]-(Table_03[[#This Row],[Mp (k-in)]]-0.7*Table_03[[#This Row],[Strength (ksi)]]*Table_03[[#This Row],[Static Parameters Elastic Section Modulus Sx (in3)2]])*((Table_03[[#This Row],[b/t]]-Table_03[[#This Row],[λpf]])/(Table_03[[#This Row],[λrf]]-Table_03[[#This Row],[λpf]]))</f>
        <v>241.93439005705812</v>
      </c>
      <c r="AH80" s="208">
        <f>0.9*$B$4*Table_03[[#This Row],[kc]]*Table_03[[#This Row],[Static Parameters Elastic Section Modulus Sx (in3)2]]/Table_03[[#This Row],[b/t]]^2</f>
        <v>844.76359801980016</v>
      </c>
      <c r="AI80" s="209" t="str">
        <f>IF(Table_03[[#This Row],[b/t]]&lt;Table_03[[#This Row],[λpf]],"Compact",IF(AND(Table_03[[#This Row],[b/t]]&gt;Table_03[[#This Row],[λpf]],Table_03[[#This Row],[λrf]]&gt;Table_03[[#This Row],[b/t]]),"Non-Compact","Slender"))</f>
        <v>Compact</v>
      </c>
      <c r="AJ80" s="210">
        <f>IF(Table_03[[#This Row],[Controlling LBx]]="Compact",Table_03[[#This Row],[Mp (k-in)]],IF(Table_03[[#This Row],[Controlling LBx]]="Non-Compact",Table_03[[#This Row],[Mnlb,Non-Compact (k-in)]],IF(Table_03[[#This Row],[Controlling LBx]]="Slender",Table_03[[#This Row],[Mnlb,slender (k-in)]],"ERROR")))</f>
        <v>239.5</v>
      </c>
      <c r="AK80" s="207">
        <f>Table_03[[#This Row],[Mp (k-in)]]-(Table_03[[#This Row],[Mp (k-in)]]-0.7*Table_03[[#This Row],[Strength (ksi)]]*Table_03[[#This Row],[Static Parameters Elastic Section Modulus Sx (in3)2]])*(($B$5-Table_03[[#This Row],[Lp (ft)]])/(Table_03[[#This Row],[Lr]]-Table_03[[#This Row],[Lp (ft)]]))</f>
        <v>187.20447773664307</v>
      </c>
      <c r="AL80" s="211">
        <f>Table_03[[#This Row],[Fcrx]]*Table_03[[#This Row],[Static Parameters Elastic Section Modulus Sx (in3)2]]</f>
        <v>245.70189853110935</v>
      </c>
      <c r="AM80" s="212" t="str">
        <f>IF($B$5&lt;Table_03[[#This Row],[Lp (ft)]],"Yielding Controls",IF(AND($B$5&gt;Table_03[[#This Row],[Lp (ft)]],Table_03[[#This Row],[Lr]]&gt;$B$5),"Mltb,p Controls","Mltb,r Controls"))</f>
        <v>Mltb,p Controls</v>
      </c>
      <c r="AN80" s="213">
        <f>IF(Table_03[[#This Row],[Controlling LTB]]="Yielding Controls",Table_03[[#This Row],[Mp (k-in)]],IF(Table_03[[#This Row],[Controlling LTB]]="Mltb,p Controls",Table_03[[#This Row],[Mnltbp (k-in)]],IF(Table_03[[#This Row],[Controlling LTB]]="Mltb,r Controls",Table_03[[#This Row],[Mnltbr (k-in)]],"ERROR")))</f>
        <v>187.20447773664307</v>
      </c>
      <c r="AO80" s="214">
        <f>MIN(Table_03[[#This Row],[Strength (ksi)]]*Table_03[[#This Row],[Static Parameters Plastic Section Modulus Zy (in3)]],1.6*Table_03[[#This Row],[Strength (ksi)]]*Table_03[[#This Row],[Static Parameters Elastic Section Modulus Sy (in3)3]])</f>
        <v>78</v>
      </c>
      <c r="AP80" s="206">
        <f>MIN(Table_03[[#This Row],[Mny (k-in)]],Table_03[[#This Row],[Mny (k-in)]]-(Table_03[[#This Row],[Mny (k-in)]]-0.7*Table_03[[#This Row],[Static Parameters Elastic Section Modulus Sy (in3)3]]*Table_03[[#This Row],[Strength (ksi)]])*((Table_03[[#This Row],[b/t]]-Table_03[[#This Row],[λpf]])/(Table_03[[#This Row],[λrf]]-Table_03[[#This Row],[λpf]])))</f>
        <v>78</v>
      </c>
      <c r="AQ80" s="211">
        <f>MIN(Table_03[[#This Row],[Mny (k-in)]],Table_03[[#This Row],[Fcry]]*Table_03[[#This Row],[Static Parameters Elastic Section Modulus Sy (in3)3]])</f>
        <v>78</v>
      </c>
      <c r="AR80" s="212" t="str">
        <f>IF(Table_03[[#This Row],[b/t]]&lt;Table_03[[#This Row],[λpf]],"Compact",IF(AND(Table_03[[#This Row],[b/t]]&gt;Table_03[[#This Row],[λpf]],Table_03[[#This Row],[λrf]]&gt;Table_03[[#This Row],[b/t]]),"Non-Compact","Slender"))</f>
        <v>Compact</v>
      </c>
      <c r="AS80" s="213">
        <f>IF(Table_03[[#This Row],[Controlling Lby]]="Compact",Table_03[[#This Row],[Mny (k-in)]],IF(Table_03[[#This Row],[Controlling Lby]]="Non-Compact",Table_03[[#This Row],[Mlby,Non-Compact (k-in)]],IF(Table_03[[#This Row],[Controlling Lby]]="Slender",Table_03[[#This Row],[Mlby,Slender (k-in)]],"ERROR")))</f>
        <v>78</v>
      </c>
      <c r="AT80" s="214">
        <f>MIN(Table_03[[#This Row],[LBx]],Table_03[[#This Row],[LTB]],Table_03[[#This Row],[Mp (k-in)]])</f>
        <v>187.20447773664307</v>
      </c>
      <c r="AU80" s="206">
        <f>Table_03[[#This Row],[Mp (k-in)]]</f>
        <v>239.5</v>
      </c>
      <c r="AV80" s="206">
        <f>MIN(Table_03[[#This Row],[LBy]],Table_03[[#This Row],[Mny (k-in)]])</f>
        <v>78</v>
      </c>
      <c r="AW80" s="215">
        <f>Table_03[[#This Row],[Mny (k-in)]]</f>
        <v>78</v>
      </c>
      <c r="AX80" s="169"/>
      <c r="AY80" s="165">
        <f>IF(4/SQRT((Table_03[[#This Row],[Depth h (in)]]-Table_03[[#This Row],[Flange Thickness tf (in)]]*2)/Table_03[[#This Row],[Web Thickness tw (in)]])&lt;0.35,0.35,IF(4/SQRT(Table_03[[#This Row],[Depth h (in)]]/Table_03[[#This Row],[Web Thickness tw (in)]])&gt;0.76,0.76,4/SQRT(Table_03[[#This Row],[Depth h (in)]]/Table_03[[#This Row],[Web Thickness tw (in)]])))</f>
        <v>0.61263161515810594</v>
      </c>
      <c r="AZ80" s="169"/>
    </row>
    <row r="81" spans="1:60" x14ac:dyDescent="0.3">
      <c r="A81" s="179" t="s">
        <v>179</v>
      </c>
      <c r="B81" s="180">
        <f>B80-$B$1*2</f>
        <v>6.6929999999999996</v>
      </c>
      <c r="C81" s="180">
        <f>C80-$B$1*2</f>
        <v>2.7559999999999998</v>
      </c>
      <c r="D81" s="180">
        <f>D80-$B$1*2</f>
        <v>0.157</v>
      </c>
      <c r="E81" s="180">
        <f>E80-$B$1*2</f>
        <v>0.157</v>
      </c>
      <c r="F81" s="181">
        <v>1.69</v>
      </c>
      <c r="G81" s="180"/>
      <c r="H81" s="180">
        <v>11.5</v>
      </c>
      <c r="I81" s="180">
        <v>1.61</v>
      </c>
      <c r="J81" s="181">
        <v>4.05</v>
      </c>
      <c r="K81" s="181">
        <v>1.31</v>
      </c>
      <c r="L81" s="181">
        <v>3.45</v>
      </c>
      <c r="M81" s="181">
        <v>0.85399999999999998</v>
      </c>
      <c r="N81" s="182">
        <v>50</v>
      </c>
      <c r="O81" s="181">
        <f>SQRT(Table_03[[#This Row],[Static Parameters Moment of Inertia Ix (in4)]]/Table_03[[#This Row],[Sectional Area (in2)]])</f>
        <v>2.6085884550481802</v>
      </c>
      <c r="P81" s="181">
        <f>SQRT(Table_03[[#This Row],[Static Parameters Moment of Inertia Iy (in4)]]/Table_03[[#This Row],[Sectional Area (in2)]])</f>
        <v>0.97604442618842469</v>
      </c>
      <c r="Q81" s="181">
        <f>($B$6*$B$5*12)/Table_03[[#This Row],[ry (in)2]]</f>
        <v>183.95679047229967</v>
      </c>
      <c r="R81" s="181">
        <f>(PI()^2*$B$4)/(Table_03[[#This Row],[KL/ry]]^2)</f>
        <v>8.4579691311840115</v>
      </c>
      <c r="S81" s="181">
        <f>IF(Table_03[[#This Row],[Strength (ksi)]]/Table_03[[#This Row],[Fe,y]]&lt;2.25,(0.658^(Table_03[[#This Row],[Strength (ksi)]]/Table_03[[#This Row],[Fe,y]])*Table_03[[#This Row],[Strength (ksi)]]),0.877*Table_03[[#This Row],[Fe,y]])</f>
        <v>7.4176389280483779</v>
      </c>
      <c r="T81" s="181">
        <f>Table_03[[#This Row],[Fcr,y]]*Table_03[[#This Row],[Sectional Area (in2)]]</f>
        <v>12.535809788401759</v>
      </c>
      <c r="U81" s="181">
        <f>1.76*Table_03[[#This Row],[ry (in)2]]*SQRT($B$4/Table_03[[#This Row],[Strength (ksi)]])/12</f>
        <v>3.4475851728416185</v>
      </c>
      <c r="V81"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10.37198196218448</v>
      </c>
      <c r="W81" s="181">
        <f>Table_03[[#This Row],[Depth h (in)]]-Table_03[[#This Row],[Flange Thickness tf (in)]]</f>
        <v>6.5359999999999996</v>
      </c>
      <c r="X81" s="181">
        <f>(Table_03[[#This Row],[Static Parameters Moment of Inertia Iy (in4)]]*Table_03[[#This Row],[ho]]^2)/4</f>
        <v>17.19451664</v>
      </c>
      <c r="Y81" s="181">
        <f>SQRT((SQRT(Table_03[[#This Row],[Static Parameters Moment of Inertia Iy (in4)]]*Table_03[[#This Row],[Cw*]])/Table_03[[#This Row],[Static Parameters Elastic Section Modulus Sx (in3)2]]))</f>
        <v>1.2349358957721923</v>
      </c>
      <c r="Z81" s="181">
        <f>(2*Table_03[[#This Row],[Width w (in)]]*Table_03[[#This Row],[Flange Thickness tf (in)]]^3/3)+((Table_03[[#This Row],[Depth h (in)]]-Table_03[[#This Row],[Flange Thickness tf (in)]]*2)*Table_03[[#This Row],[Web Thickness tw (in)]]^3)/3</f>
        <v>1.5338965887666665E-2</v>
      </c>
      <c r="AA81" s="181">
        <f>Table_03[[#This Row],[Width w (in)]]*0.5/Table_03[[#This Row],[Flange Thickness tf (in)]]</f>
        <v>8.777070063694266</v>
      </c>
      <c r="AB81" s="181">
        <f>0.38*SQRT($B$4/Table_03[[#This Row],[Strength (ksi)]])</f>
        <v>9.1516118798821449</v>
      </c>
      <c r="AC81" s="181">
        <f>1*SQRT($B$4/Table_03[[#This Row],[Strength (ksi)]])</f>
        <v>24.083189157584592</v>
      </c>
      <c r="AD81" s="181">
        <f>(PI()^2*$B$4/(12*$B$5/Table_03[[#This Row],[rts]])^2)*SQRT(1+0.078*(Table_03[[#This Row],[J*]]/(Table_03[[#This Row],[Static Parameters Elastic Section Modulus Sx (in3)2]]*Table_03[[#This Row],[ho]])*$B$4/(12*$B$5/Table_03[[#This Row],[rts]])^2))</f>
        <v>59.720582790796094</v>
      </c>
      <c r="AE81" s="181">
        <f>0.69*$B$4/Table_03[[#This Row],[b/t]]^2</f>
        <v>259.7454557519049</v>
      </c>
      <c r="AF81" s="183">
        <f>Table_03[[#This Row],[Strength (ksi)]]*Table_03[[#This Row],[Static Parameters Plastic Section Modulus Zx (in3)]]</f>
        <v>202.5</v>
      </c>
      <c r="AG81" s="181">
        <f>Table_03[[#This Row],[Mp (k-in)]]-(Table_03[[#This Row],[Mp (k-in)]]-0.7*Table_03[[#This Row],[Strength (ksi)]]*Table_03[[#This Row],[Static Parameters Elastic Section Modulus Sx (in3)2]])*((Table_03[[#This Row],[b/t]]-Table_03[[#This Row],[λpf]])/(Table_03[[#This Row],[λrf]]-Table_03[[#This Row],[λpf]]))</f>
        <v>204.55060677140133</v>
      </c>
      <c r="AH81" s="184">
        <f>0.9*$B$4*Table_03[[#This Row],[kc]]*Table_03[[#This Row],[Static Parameters Elastic Section Modulus Sx (in3)2]]/Table_03[[#This Row],[b/t]]^2</f>
        <v>716.07725139270531</v>
      </c>
      <c r="AI81" s="185" t="str">
        <f>IF(Table_03[[#This Row],[b/t]]&lt;Table_03[[#This Row],[λpf]],"Compact",IF(AND(Table_03[[#This Row],[b/t]]&gt;Table_03[[#This Row],[λpf]],Table_03[[#This Row],[λrf]]&gt;Table_03[[#This Row],[b/t]]),"Non-Compact","Slender"))</f>
        <v>Compact</v>
      </c>
      <c r="AJ81" s="186">
        <f>IF(Table_03[[#This Row],[Controlling LBx]]="Compact",Table_03[[#This Row],[Mp (k-in)]],IF(Table_03[[#This Row],[Controlling LBx]]="Non-Compact",Table_03[[#This Row],[Mnlb,Non-Compact (k-in)]],IF(Table_03[[#This Row],[Controlling LBx]]="Slender",Table_03[[#This Row],[Mnlb,slender (k-in)]],"ERROR")))</f>
        <v>202.5</v>
      </c>
      <c r="AK81" s="183">
        <f>Table_03[[#This Row],[Mp (k-in)]]-(Table_03[[#This Row],[Mp (k-in)]]-0.7*Table_03[[#This Row],[Strength (ksi)]]*Table_03[[#This Row],[Static Parameters Elastic Section Modulus Sx (in3)2]])*(($B$5-Table_03[[#This Row],[Lp (ft)]])/(Table_03[[#This Row],[Lr]]-Table_03[[#This Row],[Lp (ft)]]))</f>
        <v>159.084137035173</v>
      </c>
      <c r="AL81" s="184">
        <f>Table_03[[#This Row],[Fcrx]]*Table_03[[#This Row],[Static Parameters Elastic Section Modulus Sx (in3)2]]</f>
        <v>206.03601062824654</v>
      </c>
      <c r="AM81" s="185" t="str">
        <f>IF($B$5&lt;Table_03[[#This Row],[Lp (ft)]],"Yielding Controls",IF(AND($B$5&gt;Table_03[[#This Row],[Lp (ft)]],Table_03[[#This Row],[Lr]]&gt;$B$5),"Mltb,p Controls","Mltb,r Controls"))</f>
        <v>Mltb,p Controls</v>
      </c>
      <c r="AN81" s="186">
        <f>IF(Table_03[[#This Row],[Controlling LTB]]="Yielding Controls",Table_03[[#This Row],[Mp (k-in)]],IF(Table_03[[#This Row],[Controlling LTB]]="Mltb,p Controls",Table_03[[#This Row],[Mnltbp (k-in)]],IF(Table_03[[#This Row],[Controlling LTB]]="Mltb,r Controls",Table_03[[#This Row],[Mnltbr (k-in)]],"ERROR")))</f>
        <v>159.084137035173</v>
      </c>
      <c r="AO81" s="183">
        <f>MIN(Table_03[[#This Row],[Strength (ksi)]]*Table_03[[#This Row],[Static Parameters Plastic Section Modulus Zy (in3)]],1.6*Table_03[[#This Row],[Strength (ksi)]]*Table_03[[#This Row],[Static Parameters Elastic Section Modulus Sy (in3)3]])</f>
        <v>65.5</v>
      </c>
      <c r="AP81" s="181">
        <f>MIN(Table_03[[#This Row],[Mny (k-in)]],Table_03[[#This Row],[Mny (k-in)]]-(Table_03[[#This Row],[Mny (k-in)]]-0.7*Table_03[[#This Row],[Static Parameters Elastic Section Modulus Sy (in3)3]]*Table_03[[#This Row],[Strength (ksi)]])*((Table_03[[#This Row],[b/t]]-Table_03[[#This Row],[λpf]])/(Table_03[[#This Row],[λrf]]-Table_03[[#This Row],[λpf]])))</f>
        <v>65.5</v>
      </c>
      <c r="AQ81" s="184">
        <f>MIN(Table_03[[#This Row],[Mny (k-in)]],Table_03[[#This Row],[Fcry]]*Table_03[[#This Row],[Static Parameters Elastic Section Modulus Sy (in3)3]])</f>
        <v>65.5</v>
      </c>
      <c r="AR81" s="185" t="str">
        <f>IF(Table_03[[#This Row],[b/t]]&lt;Table_03[[#This Row],[λpf]],"Compact",IF(AND(Table_03[[#This Row],[b/t]]&gt;Table_03[[#This Row],[λpf]],Table_03[[#This Row],[λrf]]&gt;Table_03[[#This Row],[b/t]]),"Non-Compact","Slender"))</f>
        <v>Compact</v>
      </c>
      <c r="AS81" s="186">
        <f>IF(Table_03[[#This Row],[Controlling Lby]]="Compact",Table_03[[#This Row],[Mny (k-in)]],IF(Table_03[[#This Row],[Controlling Lby]]="Non-Compact",Table_03[[#This Row],[Mlby,Non-Compact (k-in)]],IF(Table_03[[#This Row],[Controlling Lby]]="Slender",Table_03[[#This Row],[Mlby,Slender (k-in)]],"ERROR")))</f>
        <v>65.5</v>
      </c>
      <c r="AT81" s="183">
        <f>MIN(Table_03[[#This Row],[LBx]],Table_03[[#This Row],[LTB]],Table_03[[#This Row],[Mp (k-in)]])</f>
        <v>159.084137035173</v>
      </c>
      <c r="AU81" s="181">
        <f>Table_03[[#This Row],[Mp (k-in)]]</f>
        <v>202.5</v>
      </c>
      <c r="AV81" s="181">
        <f>MIN(Table_03[[#This Row],[LBy]],Table_03[[#This Row],[Mny (k-in)]])</f>
        <v>65.5</v>
      </c>
      <c r="AW81" s="187">
        <f>Table_03[[#This Row],[Mny (k-in)]]</f>
        <v>65.5</v>
      </c>
      <c r="AX81" s="169"/>
      <c r="AY81" s="165">
        <f>IF(4/SQRT((Table_03[[#This Row],[Depth h (in)]]-Table_03[[#This Row],[Flange Thickness tf (in)]]*2)/Table_03[[#This Row],[Web Thickness tw (in)]])&lt;0.35,0.35,IF(4/SQRT(Table_03[[#This Row],[Depth h (in)]]/Table_03[[#This Row],[Web Thickness tw (in)]])&gt;0.76,0.76,4/SQRT(Table_03[[#This Row],[Depth h (in)]]/Table_03[[#This Row],[Web Thickness tw (in)]])))</f>
        <v>0.61263161515810594</v>
      </c>
      <c r="AZ81" s="169"/>
    </row>
    <row r="82" spans="1:60" x14ac:dyDescent="0.3">
      <c r="A82" s="188" t="s">
        <v>180</v>
      </c>
      <c r="B82" s="189">
        <f>B80-$B$2*2</f>
        <v>6.6929999999999996</v>
      </c>
      <c r="C82" s="189">
        <f>C80-$B$2*2</f>
        <v>2.7559999999999998</v>
      </c>
      <c r="D82" s="189">
        <f>D80-$B$2*2</f>
        <v>0.157</v>
      </c>
      <c r="E82" s="189">
        <f>E80-$B$2*2</f>
        <v>0.157</v>
      </c>
      <c r="F82" s="190">
        <v>1.23</v>
      </c>
      <c r="G82" s="189"/>
      <c r="H82" s="190">
        <v>8.36</v>
      </c>
      <c r="I82" s="190">
        <v>1.1599999999999999</v>
      </c>
      <c r="J82" s="190">
        <v>2.94</v>
      </c>
      <c r="K82" s="190">
        <v>0.94699999999999995</v>
      </c>
      <c r="L82" s="190">
        <v>2.52</v>
      </c>
      <c r="M82" s="190">
        <v>0.62</v>
      </c>
      <c r="N82" s="191">
        <v>50</v>
      </c>
      <c r="O82" s="169">
        <f>SQRT(Table_03[[#This Row],[Static Parameters Moment of Inertia Ix (in4)]]/Table_03[[#This Row],[Sectional Area (in2)]])</f>
        <v>2.6070573387403035</v>
      </c>
      <c r="P82" s="190">
        <f>SQRT(Table_03[[#This Row],[Static Parameters Moment of Inertia Iy (in4)]]/Table_03[[#This Row],[Sectional Area (in2)]])</f>
        <v>0.97112791685457633</v>
      </c>
      <c r="Q82" s="190">
        <f>($B$6*$B$5*12)/Table_03[[#This Row],[ry (in)2]]</f>
        <v>184.88810473243467</v>
      </c>
      <c r="R82" s="190">
        <f>(PI()^2*$B$4)/(Table_03[[#This Row],[KL/ry]]^2)</f>
        <v>8.3729751475903313</v>
      </c>
      <c r="S82" s="190">
        <f>IF(Table_03[[#This Row],[Strength (ksi)]]/Table_03[[#This Row],[Fe,y]]&lt;2.25,(0.658^(Table_03[[#This Row],[Strength (ksi)]]/Table_03[[#This Row],[Fe,y]])*Table_03[[#This Row],[Strength (ksi)]]),0.877*Table_03[[#This Row],[Fe,y]])</f>
        <v>7.3430992044367205</v>
      </c>
      <c r="T82" s="190">
        <f>Table_03[[#This Row],[Fcr,y]]*Table_03[[#This Row],[Sectional Area (in2)]]</f>
        <v>9.0320120214571666</v>
      </c>
      <c r="U82" s="190">
        <f>1.76*Table_03[[#This Row],[ry (in)2]]*SQRT($B$4/Table_03[[#This Row],[Strength (ksi)]])/12</f>
        <v>3.4302190732802438</v>
      </c>
      <c r="V8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10.708043026940693</v>
      </c>
      <c r="W82" s="190">
        <f>Table_03[[#This Row],[Depth h (in)]]-Table_03[[#This Row],[Flange Thickness tf (in)]]</f>
        <v>6.5359999999999996</v>
      </c>
      <c r="X82" s="190">
        <f>(Table_03[[#This Row],[Static Parameters Moment of Inertia Iy (in4)]]*Table_03[[#This Row],[ho]]^2)/4</f>
        <v>12.388595839999997</v>
      </c>
      <c r="Y82" s="190">
        <f>SQRT((SQRT(Table_03[[#This Row],[Static Parameters Moment of Inertia Iy (in4)]]*Table_03[[#This Row],[Cw*]])/Table_03[[#This Row],[Static Parameters Elastic Section Modulus Sx (in3)2]]))</f>
        <v>1.2265062006844727</v>
      </c>
      <c r="Z82" s="190">
        <f>(2*Table_03[[#This Row],[Width w (in)]]*Table_03[[#This Row],[Flange Thickness tf (in)]]^3/3)+((Table_03[[#This Row],[Depth h (in)]]-Table_03[[#This Row],[Flange Thickness tf (in)]]*2)*Table_03[[#This Row],[Web Thickness tw (in)]]^3)/3</f>
        <v>1.5338965887666665E-2</v>
      </c>
      <c r="AA82" s="190">
        <f>Table_03[[#This Row],[Width w (in)]]*0.5/Table_03[[#This Row],[Flange Thickness tf (in)]]</f>
        <v>8.777070063694266</v>
      </c>
      <c r="AB82" s="190">
        <f>0.38*SQRT($B$4/Table_03[[#This Row],[Strength (ksi)]])</f>
        <v>9.1516118798821449</v>
      </c>
      <c r="AC82" s="190">
        <f>1*SQRT($B$4/Table_03[[#This Row],[Strength (ksi)]])</f>
        <v>24.083189157584592</v>
      </c>
      <c r="AD82" s="190">
        <f>(PI()^2*$B$4/(12*$B$5/Table_03[[#This Row],[rts]])^2)*SQRT(1+0.078*(Table_03[[#This Row],[J*]]/(Table_03[[#This Row],[Static Parameters Elastic Section Modulus Sx (in3)2]]*Table_03[[#This Row],[ho]])*$B$4/(12*$B$5/Table_03[[#This Row],[rts]])^2))</f>
        <v>58.911369909779012</v>
      </c>
      <c r="AE82" s="190">
        <f>0.69*$B$4/Table_03[[#This Row],[b/t]]^2</f>
        <v>259.7454557519049</v>
      </c>
      <c r="AF82" s="192">
        <f>Table_03[[#This Row],[Strength (ksi)]]*Table_03[[#This Row],[Static Parameters Plastic Section Modulus Zx (in3)]]</f>
        <v>147</v>
      </c>
      <c r="AG82" s="190">
        <f>Table_03[[#This Row],[Mp (k-in)]]-(Table_03[[#This Row],[Mp (k-in)]]-0.7*Table_03[[#This Row],[Strength (ksi)]]*Table_03[[#This Row],[Static Parameters Elastic Section Modulus Sx (in3)2]])*((Table_03[[#This Row],[b/t]]-Table_03[[#This Row],[λpf]])/(Table_03[[#This Row],[λrf]]-Table_03[[#This Row],[λpf]]))</f>
        <v>148.47493184291619</v>
      </c>
      <c r="AH82" s="193">
        <f>0.9*$B$4*Table_03[[#This Row],[kc]]*Table_03[[#This Row],[Static Parameters Elastic Section Modulus Sx (in3)2]]/Table_03[[#This Row],[b/t]]^2</f>
        <v>523.04773145206298</v>
      </c>
      <c r="AI82" s="194" t="str">
        <f>IF(Table_03[[#This Row],[b/t]]&lt;Table_03[[#This Row],[λpf]],"Compact",IF(AND(Table_03[[#This Row],[b/t]]&gt;Table_03[[#This Row],[λpf]],Table_03[[#This Row],[λrf]]&gt;Table_03[[#This Row],[b/t]]),"Non-Compact","Slender"))</f>
        <v>Compact</v>
      </c>
      <c r="AJ82" s="195">
        <f>IF(Table_03[[#This Row],[Controlling LBx]]="Compact",Table_03[[#This Row],[Mp (k-in)]],IF(Table_03[[#This Row],[Controlling LBx]]="Non-Compact",Table_03[[#This Row],[Mnlb,Non-Compact (k-in)]],IF(Table_03[[#This Row],[Controlling LBx]]="Slender",Table_03[[#This Row],[Mnlb,slender (k-in)]],"ERROR")))</f>
        <v>147</v>
      </c>
      <c r="AK82" s="192">
        <f>Table_03[[#This Row],[Mp (k-in)]]-(Table_03[[#This Row],[Mp (k-in)]]-0.7*Table_03[[#This Row],[Strength (ksi)]]*Table_03[[#This Row],[Static Parameters Elastic Section Modulus Sx (in3)2]])*(($B$5-Table_03[[#This Row],[Lp (ft)]])/(Table_03[[#This Row],[Lr]]-Table_03[[#This Row],[Lp (ft)]]))</f>
        <v>117.14861586726728</v>
      </c>
      <c r="AL82" s="196">
        <f>Table_03[[#This Row],[Fcrx]]*Table_03[[#This Row],[Static Parameters Elastic Section Modulus Sx (in3)2]]</f>
        <v>148.45665217264312</v>
      </c>
      <c r="AM82" s="197" t="str">
        <f>IF($B$5&lt;Table_03[[#This Row],[Lp (ft)]],"Yielding Controls",IF(AND($B$5&gt;Table_03[[#This Row],[Lp (ft)]],Table_03[[#This Row],[Lr]]&gt;$B$5),"Mltb,p Controls","Mltb,r Controls"))</f>
        <v>Mltb,p Controls</v>
      </c>
      <c r="AN82" s="198">
        <f>IF(Table_03[[#This Row],[Controlling LTB]]="Yielding Controls",Table_03[[#This Row],[Mp (k-in)]],IF(Table_03[[#This Row],[Controlling LTB]]="Mltb,p Controls",Table_03[[#This Row],[Mnltbp (k-in)]],IF(Table_03[[#This Row],[Controlling LTB]]="Mltb,r Controls",Table_03[[#This Row],[Mnltbr (k-in)]],"ERROR")))</f>
        <v>117.14861586726728</v>
      </c>
      <c r="AO82" s="199">
        <f>MIN(Table_03[[#This Row],[Strength (ksi)]]*Table_03[[#This Row],[Static Parameters Plastic Section Modulus Zy (in3)]],1.6*Table_03[[#This Row],[Strength (ksi)]]*Table_03[[#This Row],[Static Parameters Elastic Section Modulus Sy (in3)3]])</f>
        <v>47.349999999999994</v>
      </c>
      <c r="AP82" s="169">
        <f>MIN(Table_03[[#This Row],[Mny (k-in)]],Table_03[[#This Row],[Mny (k-in)]]-(Table_03[[#This Row],[Mny (k-in)]]-0.7*Table_03[[#This Row],[Static Parameters Elastic Section Modulus Sy (in3)3]]*Table_03[[#This Row],[Strength (ksi)]])*((Table_03[[#This Row],[b/t]]-Table_03[[#This Row],[λpf]])/(Table_03[[#This Row],[λrf]]-Table_03[[#This Row],[λpf]])))</f>
        <v>47.349999999999994</v>
      </c>
      <c r="AQ82" s="196">
        <f>MIN(Table_03[[#This Row],[Mny (k-in)]],Table_03[[#This Row],[Fcry]]*Table_03[[#This Row],[Static Parameters Elastic Section Modulus Sy (in3)3]])</f>
        <v>47.349999999999994</v>
      </c>
      <c r="AR82" s="197" t="str">
        <f>IF(Table_03[[#This Row],[b/t]]&lt;Table_03[[#This Row],[λpf]],"Compact",IF(AND(Table_03[[#This Row],[b/t]]&gt;Table_03[[#This Row],[λpf]],Table_03[[#This Row],[λrf]]&gt;Table_03[[#This Row],[b/t]]),"Non-Compact","Slender"))</f>
        <v>Compact</v>
      </c>
      <c r="AS82" s="198">
        <f>IF(Table_03[[#This Row],[Controlling Lby]]="Compact",Table_03[[#This Row],[Mny (k-in)]],IF(Table_03[[#This Row],[Controlling Lby]]="Non-Compact",Table_03[[#This Row],[Mlby,Non-Compact (k-in)]],IF(Table_03[[#This Row],[Controlling Lby]]="Slender",Table_03[[#This Row],[Mlby,Slender (k-in)]],"ERROR")))</f>
        <v>47.349999999999994</v>
      </c>
      <c r="AT82" s="199">
        <f>MIN(Table_03[[#This Row],[LBx]],Table_03[[#This Row],[LTB]],Table_03[[#This Row],[Mp (k-in)]])</f>
        <v>117.14861586726728</v>
      </c>
      <c r="AU82" s="169">
        <f>Table_03[[#This Row],[Mp (k-in)]]</f>
        <v>147</v>
      </c>
      <c r="AV82" s="169">
        <f>MIN(Table_03[[#This Row],[LBy]],Table_03[[#This Row],[Mny (k-in)]])</f>
        <v>47.349999999999994</v>
      </c>
      <c r="AW82" s="200">
        <f>Table_03[[#This Row],[Mny (k-in)]]</f>
        <v>47.349999999999994</v>
      </c>
      <c r="AX82" s="169"/>
      <c r="AY82" s="165">
        <f>IF(4/SQRT((Table_03[[#This Row],[Depth h (in)]]-Table_03[[#This Row],[Flange Thickness tf (in)]]*2)/Table_03[[#This Row],[Web Thickness tw (in)]])&lt;0.35,0.35,IF(4/SQRT(Table_03[[#This Row],[Depth h (in)]]/Table_03[[#This Row],[Web Thickness tw (in)]])&gt;0.76,0.76,4/SQRT(Table_03[[#This Row],[Depth h (in)]]/Table_03[[#This Row],[Web Thickness tw (in)]])))</f>
        <v>0.61263161515810594</v>
      </c>
      <c r="AZ82" s="169"/>
    </row>
    <row r="83" spans="1:60" ht="14.4" thickBot="1" x14ac:dyDescent="0.35">
      <c r="A83" s="201" t="s">
        <v>181</v>
      </c>
      <c r="B83" s="202">
        <v>5.7480000000000002</v>
      </c>
      <c r="C83" s="202">
        <v>3.74</v>
      </c>
      <c r="D83" s="202">
        <v>0.126</v>
      </c>
      <c r="E83" s="202">
        <v>0.157</v>
      </c>
      <c r="F83" s="203">
        <v>1.91</v>
      </c>
      <c r="G83" s="204"/>
      <c r="H83" s="203">
        <v>11.2</v>
      </c>
      <c r="I83" s="203">
        <v>1.37</v>
      </c>
      <c r="J83" s="203">
        <f>Table_03[[#This Row],[Width w (in)]]*Table_03[[#This Row],[Flange Thickness tf (in)]]*(Table_03[[#This Row],[Depth h (in)]]-Table_03[[#This Row],[Flange Thickness tf (in)]])+0.25*Table_03[[#This Row],[Web Thickness tw (in)]]*(Table_03[[#This Row],[Depth h (in)]]-2*Table_03[[#This Row],[Flange Thickness tf (in)]])^2</f>
        <v>4.2130665940000007</v>
      </c>
      <c r="K83" s="203">
        <f>(Table_03[[#This Row],[Width w (in)]]^2*Table_03[[#This Row],[Flange Thickness tf (in)]])/2+0.25*Table_03[[#This Row],[Web Thickness tw (in)]]^2*(Table_03[[#This Row],[Depth h (in)]]-2*Table_03[[#This Row],[Flange Thickness tf (in)]])</f>
        <v>1.1195941460000001</v>
      </c>
      <c r="L83" s="203">
        <f>Table_03[[#This Row],[Static Parameters Moment of Inertia Ix (in4)]]/(Table_03[[#This Row],[Depth h (in)]]*0.5)</f>
        <v>3.8970076548364645</v>
      </c>
      <c r="M83" s="203">
        <f>Table_03[[#This Row],[Static Parameters Moment of Inertia Iy (in4)]]/(0.5*Table_03[[#This Row],[Width w (in)]])</f>
        <v>0.73262032085561501</v>
      </c>
      <c r="N83" s="205">
        <v>50</v>
      </c>
      <c r="O83" s="206">
        <f>SQRT(Table_03[[#This Row],[Static Parameters Moment of Inertia Ix (in4)]]/Table_03[[#This Row],[Sectional Area (in2)]])</f>
        <v>2.4215437938533628</v>
      </c>
      <c r="P83" s="203">
        <f>SQRT(Table_03[[#This Row],[Static Parameters Moment of Inertia Iy (in4)]]/Table_03[[#This Row],[Sectional Area (in2)]])</f>
        <v>0.84692236179651958</v>
      </c>
      <c r="Q83" s="203">
        <f>($B$6*$B$5*12)/Table_03[[#This Row],[ry (in)2]]</f>
        <v>212.00290380706519</v>
      </c>
      <c r="R83" s="203">
        <f>(PI()^2*$B$4)/(Table_03[[#This Row],[KL/ry]]^2)</f>
        <v>6.3681623132354535</v>
      </c>
      <c r="S83" s="203">
        <f>IF(Table_03[[#This Row],[Strength (ksi)]]/Table_03[[#This Row],[Fe,y]]&lt;2.25,(0.658^(Table_03[[#This Row],[Strength (ksi)]]/Table_03[[#This Row],[Fe,y]])*Table_03[[#This Row],[Strength (ksi)]]),0.877*Table_03[[#This Row],[Fe,y]])</f>
        <v>5.5848783487074929</v>
      </c>
      <c r="T83" s="203">
        <f>Table_03[[#This Row],[Fcr,y]]*Table_03[[#This Row],[Sectional Area (in2)]]</f>
        <v>10.667117646031311</v>
      </c>
      <c r="U83" s="203">
        <f>1.76*Table_03[[#This Row],[ry (in)2]]*SQRT($B$4/Table_03[[#This Row],[Strength (ksi)]])/12</f>
        <v>2.9915000780036354</v>
      </c>
      <c r="V83"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8.2342255063432788</v>
      </c>
      <c r="W83" s="203">
        <f>Table_03[[#This Row],[Depth h (in)]]-Table_03[[#This Row],[Flange Thickness tf (in)]]</f>
        <v>5.5910000000000002</v>
      </c>
      <c r="X83" s="203">
        <f>(Table_03[[#This Row],[Static Parameters Moment of Inertia Iy (in4)]]*Table_03[[#This Row],[ho]]^2)/4</f>
        <v>10.706303742500001</v>
      </c>
      <c r="Y83" s="203">
        <f>SQRT((SQRT(Table_03[[#This Row],[Static Parameters Moment of Inertia Iy (in4)]]*Table_03[[#This Row],[Cw*]])/Table_03[[#This Row],[Static Parameters Elastic Section Modulus Sx (in3)2]]))</f>
        <v>0.99134404570980594</v>
      </c>
      <c r="Z83" s="203">
        <f>(2*Table_03[[#This Row],[Width w (in)]]*Table_03[[#This Row],[Flange Thickness tf (in)]]^3/3)+((Table_03[[#This Row],[Depth h (in)]]-Table_03[[#This Row],[Flange Thickness tf (in)]]*2)*Table_03[[#This Row],[Web Thickness tw (in)]]^3)/3</f>
        <v>1.3272280941333335E-2</v>
      </c>
      <c r="AA83" s="203">
        <f>Table_03[[#This Row],[Width w (in)]]*0.5/Table_03[[#This Row],[Flange Thickness tf (in)]]</f>
        <v>11.910828025477707</v>
      </c>
      <c r="AB83" s="203">
        <f>0.38*SQRT($B$4/Table_03[[#This Row],[Strength (ksi)]])</f>
        <v>9.1516118798821449</v>
      </c>
      <c r="AC83" s="203">
        <f>1*SQRT($B$4/Table_03[[#This Row],[Strength (ksi)]])</f>
        <v>24.083189157584592</v>
      </c>
      <c r="AD83" s="203">
        <f>(PI()^2*$B$4/(12*$B$5/Table_03[[#This Row],[rts]])^2)*SQRT(1+0.078*(Table_03[[#This Row],[J*]]/(Table_03[[#This Row],[Static Parameters Elastic Section Modulus Sx (in3)2]]*Table_03[[#This Row],[ho]])*$B$4/(12*$B$5/Table_03[[#This Row],[rts]])^2))</f>
        <v>38.481725671247432</v>
      </c>
      <c r="AE83" s="203">
        <f>0.69*$B$4/Table_03[[#This Row],[b/t]]^2</f>
        <v>141.04678143498526</v>
      </c>
      <c r="AF83" s="207">
        <f>Table_03[[#This Row],[Strength (ksi)]]*Table_03[[#This Row],[Static Parameters Plastic Section Modulus Zx (in3)]]</f>
        <v>210.65332970000003</v>
      </c>
      <c r="AG83" s="203">
        <f>Table_03[[#This Row],[Mp (k-in)]]-(Table_03[[#This Row],[Mp (k-in)]]-0.7*Table_03[[#This Row],[Strength (ksi)]]*Table_03[[#This Row],[Static Parameters Elastic Section Modulus Sx (in3)2]])*((Table_03[[#This Row],[b/t]]-Table_03[[#This Row],[λpf]])/(Table_03[[#This Row],[λrf]]-Table_03[[#This Row],[λpf]]))</f>
        <v>196.9311328285431</v>
      </c>
      <c r="AH83" s="208">
        <f>0.9*$B$4*Table_03[[#This Row],[kc]]*Table_03[[#This Row],[Static Parameters Elastic Section Modulus Sx (in3)2]]/Table_03[[#This Row],[b/t]]^2</f>
        <v>424.59486945390586</v>
      </c>
      <c r="AI83" s="209" t="str">
        <f>IF(Table_03[[#This Row],[b/t]]&lt;Table_03[[#This Row],[λpf]],"Compact",IF(AND(Table_03[[#This Row],[b/t]]&gt;Table_03[[#This Row],[λpf]],Table_03[[#This Row],[λrf]]&gt;Table_03[[#This Row],[b/t]]),"Non-Compact","Slender"))</f>
        <v>Non-Compact</v>
      </c>
      <c r="AJ83" s="210">
        <f>IF(Table_03[[#This Row],[Controlling LBx]]="Compact",Table_03[[#This Row],[Mp (k-in)]],IF(Table_03[[#This Row],[Controlling LBx]]="Non-Compact",Table_03[[#This Row],[Mnlb,Non-Compact (k-in)]],IF(Table_03[[#This Row],[Controlling LBx]]="Slender",Table_03[[#This Row],[Mnlb,slender (k-in)]],"ERROR")))</f>
        <v>196.9311328285431</v>
      </c>
      <c r="AK83" s="207">
        <f>Table_03[[#This Row],[Mp (k-in)]]-(Table_03[[#This Row],[Mp (k-in)]]-0.7*Table_03[[#This Row],[Strength (ksi)]]*Table_03[[#This Row],[Static Parameters Elastic Section Modulus Sx (in3)2]])*(($B$5-Table_03[[#This Row],[Lp (ft)]])/(Table_03[[#This Row],[Lr]]-Table_03[[#This Row],[Lp (ft)]]))</f>
        <v>152.10635889755773</v>
      </c>
      <c r="AL83" s="211">
        <f>Table_03[[#This Row],[Fcrx]]*Table_03[[#This Row],[Static Parameters Elastic Section Modulus Sx (in3)2]]</f>
        <v>149.96357951216814</v>
      </c>
      <c r="AM83" s="212" t="str">
        <f>IF($B$5&lt;Table_03[[#This Row],[Lp (ft)]],"Yielding Controls",IF(AND($B$5&gt;Table_03[[#This Row],[Lp (ft)]],Table_03[[#This Row],[Lr]]&gt;$B$5),"Mltb,p Controls","Mltb,r Controls"))</f>
        <v>Mltb,p Controls</v>
      </c>
      <c r="AN83" s="213">
        <f>IF(Table_03[[#This Row],[Controlling LTB]]="Yielding Controls",Table_03[[#This Row],[Mp (k-in)]],IF(Table_03[[#This Row],[Controlling LTB]]="Mltb,p Controls",Table_03[[#This Row],[Mnltbp (k-in)]],IF(Table_03[[#This Row],[Controlling LTB]]="Mltb,r Controls",Table_03[[#This Row],[Mnltbr (k-in)]],"ERROR")))</f>
        <v>152.10635889755773</v>
      </c>
      <c r="AO83" s="214">
        <f>MIN(Table_03[[#This Row],[Strength (ksi)]]*Table_03[[#This Row],[Static Parameters Plastic Section Modulus Zy (in3)]],1.6*Table_03[[#This Row],[Strength (ksi)]]*Table_03[[#This Row],[Static Parameters Elastic Section Modulus Sy (in3)3]])</f>
        <v>55.979707300000001</v>
      </c>
      <c r="AP83" s="206">
        <f>MIN(Table_03[[#This Row],[Mny (k-in)]],Table_03[[#This Row],[Mny (k-in)]]-(Table_03[[#This Row],[Mny (k-in)]]-0.7*Table_03[[#This Row],[Static Parameters Elastic Section Modulus Sy (in3)3]]*Table_03[[#This Row],[Strength (ksi)]])*((Table_03[[#This Row],[b/t]]-Table_03[[#This Row],[λpf]])/(Table_03[[#This Row],[λrf]]-Table_03[[#This Row],[λpf]])))</f>
        <v>50.373528727927088</v>
      </c>
      <c r="AQ83" s="211">
        <f>MIN(Table_03[[#This Row],[Mny (k-in)]],Table_03[[#This Row],[Fcry]]*Table_03[[#This Row],[Static Parameters Elastic Section Modulus Sy (in3)3]])</f>
        <v>55.979707300000001</v>
      </c>
      <c r="AR83" s="212" t="str">
        <f>IF(Table_03[[#This Row],[b/t]]&lt;Table_03[[#This Row],[λpf]],"Compact",IF(AND(Table_03[[#This Row],[b/t]]&gt;Table_03[[#This Row],[λpf]],Table_03[[#This Row],[λrf]]&gt;Table_03[[#This Row],[b/t]]),"Non-Compact","Slender"))</f>
        <v>Non-Compact</v>
      </c>
      <c r="AS83" s="213">
        <f>IF(Table_03[[#This Row],[Controlling Lby]]="Compact",Table_03[[#This Row],[Mny (k-in)]],IF(Table_03[[#This Row],[Controlling Lby]]="Non-Compact",Table_03[[#This Row],[Mlby,Non-Compact (k-in)]],IF(Table_03[[#This Row],[Controlling Lby]]="Slender",Table_03[[#This Row],[Mlby,Slender (k-in)]],"ERROR")))</f>
        <v>50.373528727927088</v>
      </c>
      <c r="AT83" s="214">
        <f>MIN(Table_03[[#This Row],[LBx]],Table_03[[#This Row],[LTB]],Table_03[[#This Row],[Mp (k-in)]])</f>
        <v>152.10635889755773</v>
      </c>
      <c r="AU83" s="206">
        <f>Table_03[[#This Row],[Mp (k-in)]]</f>
        <v>210.65332970000003</v>
      </c>
      <c r="AV83" s="206">
        <f>MIN(Table_03[[#This Row],[LBy]],Table_03[[#This Row],[Mny (k-in)]])</f>
        <v>50.373528727927088</v>
      </c>
      <c r="AW83" s="215">
        <f>Table_03[[#This Row],[Mny (k-in)]]</f>
        <v>55.979707300000001</v>
      </c>
      <c r="AX83" s="169"/>
      <c r="AY83" s="165">
        <f>IF(4/SQRT((Table_03[[#This Row],[Depth h (in)]]-Table_03[[#This Row],[Flange Thickness tf (in)]]*2)/Table_03[[#This Row],[Web Thickness tw (in)]])&lt;0.35,0.35,IF(4/SQRT(Table_03[[#This Row],[Depth h (in)]]/Table_03[[#This Row],[Web Thickness tw (in)]])&gt;0.76,0.76,4/SQRT(Table_03[[#This Row],[Depth h (in)]]/Table_03[[#This Row],[Web Thickness tw (in)]])))</f>
        <v>0.5922252011990724</v>
      </c>
      <c r="AZ83" s="169"/>
    </row>
    <row r="84" spans="1:60" x14ac:dyDescent="0.3">
      <c r="A84" s="179" t="s">
        <v>182</v>
      </c>
      <c r="B84" s="180">
        <f>B83-$B$1*2</f>
        <v>5.7480000000000002</v>
      </c>
      <c r="C84" s="180">
        <f>C83-$B$1*2</f>
        <v>3.74</v>
      </c>
      <c r="D84" s="180">
        <f>D83-$B$1*2</f>
        <v>0.126</v>
      </c>
      <c r="E84" s="180">
        <f>E83-$B$1*2</f>
        <v>0.157</v>
      </c>
      <c r="F84" s="181">
        <f>2*Table_03[[#This Row],[Width w (in)]]*Table_03[[#This Row],[Flange Thickness tf (in)]]+Table_03[[#This Row],[Web Thickness tw (in)]]*(Table_03[[#This Row],[Depth h (in)]]-2*Table_03[[#This Row],[Flange Thickness tf (in)]])</f>
        <v>1.8590440000000001</v>
      </c>
      <c r="G84" s="180"/>
      <c r="H84" s="18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10.864623950385333</v>
      </c>
      <c r="I84" s="180">
        <f>((Table_03[[#This Row],[Depth h (in)]]-2*Table_03[[#This Row],[Flange Thickness tf (in)]])*Table_03[[#This Row],[Web Thickness tw (in)]]^3/12+2*(Table_03[[#This Row],[Flange Thickness tf (in)]]*Table_03[[#This Row],[Width w (in)]]^3/12))</f>
        <v>1.3697789982653339</v>
      </c>
      <c r="J84" s="181">
        <f>Table_03[[#This Row],[Width w (in)]]*Table_03[[#This Row],[Flange Thickness tf (in)]]*(Table_03[[#This Row],[Depth h (in)]]-Table_03[[#This Row],[Flange Thickness tf (in)]])+0.25*Table_03[[#This Row],[Web Thickness tw (in)]]*(Table_03[[#This Row],[Depth h (in)]]-2*Table_03[[#This Row],[Flange Thickness tf (in)]])^2</f>
        <v>4.2130665940000007</v>
      </c>
      <c r="K84" s="181">
        <f>(Table_03[[#This Row],[Width w (in)]]^2*Table_03[[#This Row],[Flange Thickness tf (in)]])/2+0.25*Table_03[[#This Row],[Web Thickness tw (in)]]^2*(Table_03[[#This Row],[Depth h (in)]]-2*Table_03[[#This Row],[Flange Thickness tf (in)]])</f>
        <v>1.1195941460000001</v>
      </c>
      <c r="L84" s="181">
        <f>Table_03[[#This Row],[Static Parameters Moment of Inertia Ix (in4)]]/(Table_03[[#This Row],[Depth h (in)]]/2)</f>
        <v>3.780314526926003</v>
      </c>
      <c r="M84" s="181">
        <f>Table_03[[#This Row],[Static Parameters Moment of Inertia Iy (in4)]]/(Table_03[[#This Row],[Width w (in)]]/2)</f>
        <v>0.73250213810980414</v>
      </c>
      <c r="N84" s="182">
        <v>50</v>
      </c>
      <c r="O84" s="181">
        <f>SQRT(Table_03[[#This Row],[Static Parameters Moment of Inertia Ix (in4)]]/Table_03[[#This Row],[Sectional Area (in2)]])</f>
        <v>2.4174779140859854</v>
      </c>
      <c r="P84" s="181">
        <f>SQRT(Table_03[[#This Row],[Static Parameters Moment of Inertia Iy (in4)]]/Table_03[[#This Row],[Sectional Area (in2)]])</f>
        <v>0.85838163469652673</v>
      </c>
      <c r="Q84" s="181">
        <f>($B$6*$B$5*12)/Table_03[[#This Row],[ry (in)2]]</f>
        <v>209.1726951538034</v>
      </c>
      <c r="R84" s="181">
        <f>(PI()^2*$B$4)/(Table_03[[#This Row],[KL/ry]]^2)</f>
        <v>6.541656847090441</v>
      </c>
      <c r="S84" s="181">
        <f>IF(Table_03[[#This Row],[Strength (ksi)]]/Table_03[[#This Row],[Fe,y]]&lt;2.25,(0.658^(Table_03[[#This Row],[Strength (ksi)]]/Table_03[[#This Row],[Fe,y]])*Table_03[[#This Row],[Strength (ksi)]]),0.877*Table_03[[#This Row],[Fe,y]])</f>
        <v>5.7370330548983164</v>
      </c>
      <c r="T84" s="181">
        <f>Table_03[[#This Row],[Fcr,y]]*Table_03[[#This Row],[Sectional Area (in2)]]</f>
        <v>10.665396878510386</v>
      </c>
      <c r="U84" s="181">
        <f>1.76*Table_03[[#This Row],[ry (in)2]]*SQRT($B$4/Table_03[[#This Row],[Strength (ksi)]])/12</f>
        <v>3.0319765340763261</v>
      </c>
      <c r="V84"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8.3842852385000715</v>
      </c>
      <c r="W84" s="181">
        <f>Table_03[[#This Row],[Depth h (in)]]-Table_03[[#This Row],[Flange Thickness tf (in)]]</f>
        <v>5.5910000000000002</v>
      </c>
      <c r="X84" s="181">
        <f>(Table_03[[#This Row],[Static Parameters Moment of Inertia Iy (in4)]]*Table_03[[#This Row],[ho]]^2)/4</f>
        <v>10.704576653668648</v>
      </c>
      <c r="Y84" s="181">
        <f>SQRT((SQRT(Table_03[[#This Row],[Static Parameters Moment of Inertia Iy (in4)]]*Table_03[[#This Row],[Cw*]])/Table_03[[#This Row],[Static Parameters Elastic Section Modulus Sx (in3)2]]))</f>
        <v>1.0064472842472638</v>
      </c>
      <c r="Z84" s="181">
        <f>(2*Table_03[[#This Row],[Width w (in)]]*Table_03[[#This Row],[Flange Thickness tf (in)]]^3/3)+((Table_03[[#This Row],[Depth h (in)]]-Table_03[[#This Row],[Flange Thickness tf (in)]]*2)*Table_03[[#This Row],[Web Thickness tw (in)]]^3)/3</f>
        <v>1.3272280941333335E-2</v>
      </c>
      <c r="AA84" s="181">
        <f>Table_03[[#This Row],[Width w (in)]]*0.5/Table_03[[#This Row],[Flange Thickness tf (in)]]</f>
        <v>11.910828025477707</v>
      </c>
      <c r="AB84" s="181">
        <f>0.38*SQRT($B$4/Table_03[[#This Row],[Strength (ksi)]])</f>
        <v>9.1516118798821449</v>
      </c>
      <c r="AC84" s="181">
        <f>1*SQRT($B$4/Table_03[[#This Row],[Strength (ksi)]])</f>
        <v>24.083189157584592</v>
      </c>
      <c r="AD84" s="181">
        <f>(PI()^2*$B$4/(12*$B$5/Table_03[[#This Row],[rts]])^2)*SQRT(1+0.078*(Table_03[[#This Row],[J*]]/(Table_03[[#This Row],[Static Parameters Elastic Section Modulus Sx (in3)2]]*Table_03[[#This Row],[ho]])*$B$4/(12*$B$5/Table_03[[#This Row],[rts]])^2))</f>
        <v>39.66343411524138</v>
      </c>
      <c r="AE84" s="181">
        <f>0.69*$B$4/Table_03[[#This Row],[b/t]]^2</f>
        <v>141.04678143498526</v>
      </c>
      <c r="AF84" s="183">
        <f>Table_03[[#This Row],[Strength (ksi)]]*Table_03[[#This Row],[Static Parameters Plastic Section Modulus Zx (in3)]]</f>
        <v>210.65332970000003</v>
      </c>
      <c r="AG84" s="181">
        <f>Table_03[[#This Row],[Mp (k-in)]]-(Table_03[[#This Row],[Mp (k-in)]]-0.7*Table_03[[#This Row],[Strength (ksi)]]*Table_03[[#This Row],[Static Parameters Elastic Section Modulus Sx (in3)2]])*((Table_03[[#This Row],[b/t]]-Table_03[[#This Row],[λpf]])/(Table_03[[#This Row],[λrf]]-Table_03[[#This Row],[λpf]]))</f>
        <v>196.176399789844</v>
      </c>
      <c r="AH84" s="184">
        <f>0.9*$B$4*Table_03[[#This Row],[kc]]*Table_03[[#This Row],[Static Parameters Elastic Section Modulus Sx (in3)2]]/Table_03[[#This Row],[b/t]]^2</f>
        <v>411.88067748925351</v>
      </c>
      <c r="AI84" s="185" t="str">
        <f>IF(Table_03[[#This Row],[b/t]]&lt;Table_03[[#This Row],[λpf]],"Compact",IF(AND(Table_03[[#This Row],[b/t]]&gt;Table_03[[#This Row],[λpf]],Table_03[[#This Row],[λrf]]&gt;Table_03[[#This Row],[b/t]]),"Non-Compact","Slender"))</f>
        <v>Non-Compact</v>
      </c>
      <c r="AJ84" s="186">
        <f>IF(Table_03[[#This Row],[Controlling LBx]]="Compact",Table_03[[#This Row],[Mp (k-in)]],IF(Table_03[[#This Row],[Controlling LBx]]="Non-Compact",Table_03[[#This Row],[Mnlb,Non-Compact (k-in)]],IF(Table_03[[#This Row],[Controlling LBx]]="Slender",Table_03[[#This Row],[Mnlb,slender (k-in)]],"ERROR")))</f>
        <v>196.176399789844</v>
      </c>
      <c r="AK84" s="183">
        <f>Table_03[[#This Row],[Mp (k-in)]]-(Table_03[[#This Row],[Mp (k-in)]]-0.7*Table_03[[#This Row],[Strength (ksi)]]*Table_03[[#This Row],[Static Parameters Elastic Section Modulus Sx (in3)2]])*(($B$5-Table_03[[#This Row],[Lp (ft)]])/(Table_03[[#This Row],[Lr]]-Table_03[[#This Row],[Lp (ft)]]))</f>
        <v>150.74330264621295</v>
      </c>
      <c r="AL84" s="184">
        <f>Table_03[[#This Row],[Fcrx]]*Table_03[[#This Row],[Static Parameters Elastic Section Modulus Sx (in3)2]]</f>
        <v>149.94025617361942</v>
      </c>
      <c r="AM84" s="185" t="str">
        <f>IF($B$5&lt;Table_03[[#This Row],[Lp (ft)]],"Yielding Controls",IF(AND($B$5&gt;Table_03[[#This Row],[Lp (ft)]],Table_03[[#This Row],[Lr]]&gt;$B$5),"Mltb,p Controls","Mltb,r Controls"))</f>
        <v>Mltb,p Controls</v>
      </c>
      <c r="AN84" s="186">
        <f>IF(Table_03[[#This Row],[Controlling LTB]]="Yielding Controls",Table_03[[#This Row],[Mp (k-in)]],IF(Table_03[[#This Row],[Controlling LTB]]="Mltb,p Controls",Table_03[[#This Row],[Mnltbp (k-in)]],IF(Table_03[[#This Row],[Controlling LTB]]="Mltb,r Controls",Table_03[[#This Row],[Mnltbr (k-in)]],"ERROR")))</f>
        <v>150.74330264621295</v>
      </c>
      <c r="AO84" s="183">
        <f>MIN(Table_03[[#This Row],[Strength (ksi)]]*Table_03[[#This Row],[Static Parameters Plastic Section Modulus Zy (in3)]],1.6*Table_03[[#This Row],[Strength (ksi)]]*Table_03[[#This Row],[Static Parameters Elastic Section Modulus Sy (in3)3]])</f>
        <v>55.979707300000001</v>
      </c>
      <c r="AP84" s="181">
        <f>MIN(Table_03[[#This Row],[Mny (k-in)]],Table_03[[#This Row],[Mny (k-in)]]-(Table_03[[#This Row],[Mny (k-in)]]-0.7*Table_03[[#This Row],[Static Parameters Elastic Section Modulus Sy (in3)3]]*Table_03[[#This Row],[Strength (ksi)]])*((Table_03[[#This Row],[b/t]]-Table_03[[#This Row],[λpf]])/(Table_03[[#This Row],[λrf]]-Table_03[[#This Row],[λpf]])))</f>
        <v>50.372764360526325</v>
      </c>
      <c r="AQ84" s="184">
        <f>MIN(Table_03[[#This Row],[Mny (k-in)]],Table_03[[#This Row],[Fcry]]*Table_03[[#This Row],[Static Parameters Elastic Section Modulus Sy (in3)3]])</f>
        <v>55.979707300000001</v>
      </c>
      <c r="AR84" s="185" t="str">
        <f>IF(Table_03[[#This Row],[b/t]]&lt;Table_03[[#This Row],[λpf]],"Compact",IF(AND(Table_03[[#This Row],[b/t]]&gt;Table_03[[#This Row],[λpf]],Table_03[[#This Row],[λrf]]&gt;Table_03[[#This Row],[b/t]]),"Non-Compact","Slender"))</f>
        <v>Non-Compact</v>
      </c>
      <c r="AS84" s="186">
        <f>IF(Table_03[[#This Row],[Controlling Lby]]="Compact",Table_03[[#This Row],[Mny (k-in)]],IF(Table_03[[#This Row],[Controlling Lby]]="Non-Compact",Table_03[[#This Row],[Mlby,Non-Compact (k-in)]],IF(Table_03[[#This Row],[Controlling Lby]]="Slender",Table_03[[#This Row],[Mlby,Slender (k-in)]],"ERROR")))</f>
        <v>50.372764360526325</v>
      </c>
      <c r="AT84" s="183">
        <f>MIN(Table_03[[#This Row],[LBx]],Table_03[[#This Row],[LTB]],Table_03[[#This Row],[Mp (k-in)]])</f>
        <v>150.74330264621295</v>
      </c>
      <c r="AU84" s="181">
        <f>Table_03[[#This Row],[Mp (k-in)]]</f>
        <v>210.65332970000003</v>
      </c>
      <c r="AV84" s="181">
        <f>MIN(Table_03[[#This Row],[LBy]],Table_03[[#This Row],[Mny (k-in)]])</f>
        <v>50.372764360526325</v>
      </c>
      <c r="AW84" s="187">
        <f>Table_03[[#This Row],[Mny (k-in)]]</f>
        <v>55.979707300000001</v>
      </c>
      <c r="AX84" s="169"/>
      <c r="AY84" s="165">
        <f>IF(4/SQRT((Table_03[[#This Row],[Depth h (in)]]-Table_03[[#This Row],[Flange Thickness tf (in)]]*2)/Table_03[[#This Row],[Web Thickness tw (in)]])&lt;0.35,0.35,IF(4/SQRT(Table_03[[#This Row],[Depth h (in)]]/Table_03[[#This Row],[Web Thickness tw (in)]])&gt;0.76,0.76,4/SQRT(Table_03[[#This Row],[Depth h (in)]]/Table_03[[#This Row],[Web Thickness tw (in)]])))</f>
        <v>0.5922252011990724</v>
      </c>
      <c r="AZ84" s="169"/>
    </row>
    <row r="85" spans="1:60" x14ac:dyDescent="0.3">
      <c r="A85" s="188" t="s">
        <v>183</v>
      </c>
      <c r="B85" s="189">
        <f>B83-$B$3*2</f>
        <v>5.6680000000000001</v>
      </c>
      <c r="C85" s="189">
        <f>C83-$B$3*2</f>
        <v>3.66</v>
      </c>
      <c r="D85" s="189">
        <f>D83-$B$3*2</f>
        <v>4.5999999999999999E-2</v>
      </c>
      <c r="E85" s="189">
        <f>E83-$B$3*2</f>
        <v>7.6999999999999999E-2</v>
      </c>
      <c r="F85" s="190">
        <f>2*Table_03[[#This Row],[Width w (in)]]*Table_03[[#This Row],[Flange Thickness tf (in)]]+Table_03[[#This Row],[Web Thickness tw (in)]]*(Table_03[[#This Row],[Depth h (in)]]-2*Table_03[[#This Row],[Flange Thickness tf (in)]])</f>
        <v>0.81728400000000001</v>
      </c>
      <c r="G85" s="189"/>
      <c r="H85"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5.0476772616920007</v>
      </c>
      <c r="I85" s="190">
        <f>((Table_03[[#This Row],[Depth h (in)]]-2*Table_03[[#This Row],[Flange Thickness tf (in)]])*Table_03[[#This Row],[Web Thickness tw (in)]]^3/12+2*(Table_03[[#This Row],[Flange Thickness tf (in)]]*Table_03[[#This Row],[Width w (in)]]^3/12))</f>
        <v>0.6292360578920001</v>
      </c>
      <c r="J85" s="190">
        <f>Table_03[[#This Row],[Width w (in)]]*Table_03[[#This Row],[Flange Thickness tf (in)]]*(Table_03[[#This Row],[Depth h (in)]]-Table_03[[#This Row],[Flange Thickness tf (in)]])+0.25*Table_03[[#This Row],[Web Thickness tw (in)]]*(Table_03[[#This Row],[Depth h (in)]]-2*Table_03[[#This Row],[Flange Thickness tf (in)]])^2</f>
        <v>1.9253038740000001</v>
      </c>
      <c r="K85" s="190">
        <f>(Table_03[[#This Row],[Width w (in)]]^2*Table_03[[#This Row],[Flange Thickness tf (in)]])/2+0.25*Table_03[[#This Row],[Web Thickness tw (in)]]^2*(Table_03[[#This Row],[Depth h (in)]]-2*Table_03[[#This Row],[Flange Thickness tf (in)]])</f>
        <v>0.51864750600000009</v>
      </c>
      <c r="L85" s="190">
        <f>Table_03[[#This Row],[Static Parameters Moment of Inertia Ix (in4)]]/(Table_03[[#This Row],[Depth h (in)]]/2)</f>
        <v>1.7811140655229361</v>
      </c>
      <c r="M85" s="190">
        <f>Table_03[[#This Row],[Static Parameters Moment of Inertia Iy (in4)]]/(Table_03[[#This Row],[Width w (in)]]/2)</f>
        <v>0.34384484037814211</v>
      </c>
      <c r="N85" s="191">
        <v>50</v>
      </c>
      <c r="O85" s="169">
        <f>SQRT(Table_03[[#This Row],[Static Parameters Moment of Inertia Ix (in4)]]/Table_03[[#This Row],[Sectional Area (in2)]])</f>
        <v>2.4851882477537908</v>
      </c>
      <c r="P85" s="190">
        <f>SQRT(Table_03[[#This Row],[Static Parameters Moment of Inertia Iy (in4)]]/Table_03[[#This Row],[Sectional Area (in2)]])</f>
        <v>0.87744580581314835</v>
      </c>
      <c r="Q85" s="190">
        <f>($B$6*$B$5*12)/Table_03[[#This Row],[ry (in)2]]</f>
        <v>204.62802239234259</v>
      </c>
      <c r="R85" s="190">
        <f>(PI()^2*$B$4)/(Table_03[[#This Row],[KL/ry]]^2)</f>
        <v>6.8354565832324496</v>
      </c>
      <c r="S85" s="190">
        <f>IF(Table_03[[#This Row],[Strength (ksi)]]/Table_03[[#This Row],[Fe,y]]&lt;2.25,(0.658^(Table_03[[#This Row],[Strength (ksi)]]/Table_03[[#This Row],[Fe,y]])*Table_03[[#This Row],[Strength (ksi)]]),0.877*Table_03[[#This Row],[Fe,y]])</f>
        <v>5.994695423494858</v>
      </c>
      <c r="T85" s="190">
        <f>Table_03[[#This Row],[Fcr,y]]*Table_03[[#This Row],[Sectional Area (in2)]]</f>
        <v>4.8993686544955715</v>
      </c>
      <c r="U85" s="190">
        <f>1.76*Table_03[[#This Row],[ry (in)2]]*SQRT($B$4/Table_03[[#This Row],[Strength (ksi)]])/12</f>
        <v>3.0993150198160024</v>
      </c>
      <c r="V8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7.6520405657859181</v>
      </c>
      <c r="W85" s="190">
        <f>Table_03[[#This Row],[Depth h (in)]]-Table_03[[#This Row],[Flange Thickness tf (in)]]</f>
        <v>5.5910000000000002</v>
      </c>
      <c r="X85" s="190">
        <f>(Table_03[[#This Row],[Static Parameters Moment of Inertia Iy (in4)]]*Table_03[[#This Row],[ho]]^2)/4</f>
        <v>4.9173666872445745</v>
      </c>
      <c r="Y85" s="190">
        <f>SQRT((SQRT(Table_03[[#This Row],[Static Parameters Moment of Inertia Iy (in4)]]*Table_03[[#This Row],[Cw*]])/Table_03[[#This Row],[Static Parameters Elastic Section Modulus Sx (in3)2]]))</f>
        <v>0.99378098439665363</v>
      </c>
      <c r="Z85" s="190">
        <f>(2*Table_03[[#This Row],[Width w (in)]]*Table_03[[#This Row],[Flange Thickness tf (in)]]^3/3)+((Table_03[[#This Row],[Depth h (in)]]-Table_03[[#This Row],[Flange Thickness tf (in)]]*2)*Table_03[[#This Row],[Web Thickness tw (in)]]^3)/3</f>
        <v>1.2928440880000001E-3</v>
      </c>
      <c r="AA85" s="190">
        <f>Table_03[[#This Row],[Width w (in)]]*0.5/Table_03[[#This Row],[Flange Thickness tf (in)]]</f>
        <v>23.766233766233768</v>
      </c>
      <c r="AB85" s="190">
        <f>0.38*SQRT($B$4/Table_03[[#This Row],[Strength (ksi)]])</f>
        <v>9.1516118798821449</v>
      </c>
      <c r="AC85" s="190">
        <f>1*SQRT($B$4/Table_03[[#This Row],[Strength (ksi)]])</f>
        <v>24.083189157584592</v>
      </c>
      <c r="AD85" s="190">
        <f>(PI()^2*$B$4/(12*$B$5/Table_03[[#This Row],[rts]])^2)*SQRT(1+0.078*(Table_03[[#This Row],[J*]]/(Table_03[[#This Row],[Static Parameters Elastic Section Modulus Sx (in3)2]]*Table_03[[#This Row],[ho]])*$B$4/(12*$B$5/Table_03[[#This Row],[rts]])^2))</f>
        <v>38.668336890686867</v>
      </c>
      <c r="AE85" s="190">
        <f>0.69*$B$4/Table_03[[#This Row],[b/t]]^2</f>
        <v>35.426345964346503</v>
      </c>
      <c r="AF85" s="192">
        <f>Table_03[[#This Row],[Strength (ksi)]]*Table_03[[#This Row],[Static Parameters Plastic Section Modulus Zx (in3)]]</f>
        <v>96.265193700000012</v>
      </c>
      <c r="AG85" s="190">
        <f>Table_03[[#This Row],[Mp (k-in)]]-(Table_03[[#This Row],[Mp (k-in)]]-0.7*Table_03[[#This Row],[Strength (ksi)]]*Table_03[[#This Row],[Static Parameters Elastic Section Modulus Sx (in3)2]])*((Table_03[[#This Row],[b/t]]-Table_03[[#This Row],[λpf]])/(Table_03[[#This Row],[λrf]]-Table_03[[#This Row],[λpf]]))</f>
        <v>63.05915013355748</v>
      </c>
      <c r="AH85" s="193">
        <f>0.9*$B$4*Table_03[[#This Row],[kc]]*Table_03[[#This Row],[Static Parameters Elastic Section Modulus Sx (in3)2]]/Table_03[[#This Row],[b/t]]^2</f>
        <v>29.657565477414952</v>
      </c>
      <c r="AI85" s="194" t="str">
        <f>IF(Table_03[[#This Row],[b/t]]&lt;Table_03[[#This Row],[λpf]],"Compact",IF(AND(Table_03[[#This Row],[b/t]]&gt;Table_03[[#This Row],[λpf]],Table_03[[#This Row],[λrf]]&gt;Table_03[[#This Row],[b/t]]),"Non-Compact","Slender"))</f>
        <v>Non-Compact</v>
      </c>
      <c r="AJ85" s="195">
        <f>IF(Table_03[[#This Row],[Controlling LBx]]="Compact",Table_03[[#This Row],[Mp (k-in)]],IF(Table_03[[#This Row],[Controlling LBx]]="Non-Compact",Table_03[[#This Row],[Mnlb,Non-Compact (k-in)]],IF(Table_03[[#This Row],[Controlling LBx]]="Slender",Table_03[[#This Row],[Mnlb,slender (k-in)]],"ERROR")))</f>
        <v>63.05915013355748</v>
      </c>
      <c r="AK85" s="192">
        <f>Table_03[[#This Row],[Mp (k-in)]]-(Table_03[[#This Row],[Mp (k-in)]]-0.7*Table_03[[#This Row],[Strength (ksi)]]*Table_03[[#This Row],[Static Parameters Elastic Section Modulus Sx (in3)2]])*(($B$5-Table_03[[#This Row],[Lp (ft)]])/(Table_03[[#This Row],[Lr]]-Table_03[[#This Row],[Lp (ft)]]))</f>
        <v>66.266416471151686</v>
      </c>
      <c r="AL85" s="196">
        <f>Table_03[[#This Row],[Fcrx]]*Table_03[[#This Row],[Static Parameters Elastic Section Modulus Sx (in3)2]]</f>
        <v>68.872718726381819</v>
      </c>
      <c r="AM85" s="197" t="str">
        <f>IF($B$5&lt;Table_03[[#This Row],[Lp (ft)]],"Yielding Controls",IF(AND($B$5&gt;Table_03[[#This Row],[Lp (ft)]],Table_03[[#This Row],[Lr]]&gt;$B$5),"Mltb,p Controls","Mltb,r Controls"))</f>
        <v>Mltb,p Controls</v>
      </c>
      <c r="AN85" s="198">
        <f>IF(Table_03[[#This Row],[Controlling LTB]]="Yielding Controls",Table_03[[#This Row],[Mp (k-in)]],IF(Table_03[[#This Row],[Controlling LTB]]="Mltb,p Controls",Table_03[[#This Row],[Mnltbp (k-in)]],IF(Table_03[[#This Row],[Controlling LTB]]="Mltb,r Controls",Table_03[[#This Row],[Mnltbr (k-in)]],"ERROR")))</f>
        <v>66.266416471151686</v>
      </c>
      <c r="AO85" s="199">
        <f>MIN(Table_03[[#This Row],[Strength (ksi)]]*Table_03[[#This Row],[Static Parameters Plastic Section Modulus Zy (in3)]],1.6*Table_03[[#This Row],[Strength (ksi)]]*Table_03[[#This Row],[Static Parameters Elastic Section Modulus Sy (in3)3]])</f>
        <v>25.932375300000004</v>
      </c>
      <c r="AP85" s="169">
        <f>MIN(Table_03[[#This Row],[Mny (k-in)]],Table_03[[#This Row],[Mny (k-in)]]-(Table_03[[#This Row],[Mny (k-in)]]-0.7*Table_03[[#This Row],[Static Parameters Elastic Section Modulus Sy (in3)3]]*Table_03[[#This Row],[Strength (ksi)]])*((Table_03[[#This Row],[b/t]]-Table_03[[#This Row],[λpf]])/(Table_03[[#This Row],[λrf]]-Table_03[[#This Row],[λpf]])))</f>
        <v>12.32958074538241</v>
      </c>
      <c r="AQ85" s="196">
        <f>MIN(Table_03[[#This Row],[Mny (k-in)]],Table_03[[#This Row],[Fcry]]*Table_03[[#This Row],[Static Parameters Elastic Section Modulus Sy (in3)3]])</f>
        <v>12.181166273291563</v>
      </c>
      <c r="AR85" s="197" t="str">
        <f>IF(Table_03[[#This Row],[b/t]]&lt;Table_03[[#This Row],[λpf]],"Compact",IF(AND(Table_03[[#This Row],[b/t]]&gt;Table_03[[#This Row],[λpf]],Table_03[[#This Row],[λrf]]&gt;Table_03[[#This Row],[b/t]]),"Non-Compact","Slender"))</f>
        <v>Non-Compact</v>
      </c>
      <c r="AS85" s="198">
        <f>IF(Table_03[[#This Row],[Controlling Lby]]="Compact",Table_03[[#This Row],[Mny (k-in)]],IF(Table_03[[#This Row],[Controlling Lby]]="Non-Compact",Table_03[[#This Row],[Mlby,Non-Compact (k-in)]],IF(Table_03[[#This Row],[Controlling Lby]]="Slender",Table_03[[#This Row],[Mlby,Slender (k-in)]],"ERROR")))</f>
        <v>12.32958074538241</v>
      </c>
      <c r="AT85" s="199">
        <f>MIN(Table_03[[#This Row],[LBx]],Table_03[[#This Row],[LTB]],Table_03[[#This Row],[Mp (k-in)]])</f>
        <v>63.05915013355748</v>
      </c>
      <c r="AU85" s="169">
        <f>Table_03[[#This Row],[Mp (k-in)]]</f>
        <v>96.265193700000012</v>
      </c>
      <c r="AV85" s="169">
        <f>MIN(Table_03[[#This Row],[LBy]],Table_03[[#This Row],[Mny (k-in)]])</f>
        <v>12.32958074538241</v>
      </c>
      <c r="AW85" s="200">
        <f>Table_03[[#This Row],[Mny (k-in)]]</f>
        <v>25.932375300000004</v>
      </c>
      <c r="AX85" s="169"/>
      <c r="AY85" s="165">
        <f>IF(4/SQRT((Table_03[[#This Row],[Depth h (in)]]-Table_03[[#This Row],[Flange Thickness tf (in)]]*2)/Table_03[[#This Row],[Web Thickness tw (in)]])&lt;0.35,0.35,IF(4/SQRT(Table_03[[#This Row],[Depth h (in)]]/Table_03[[#This Row],[Web Thickness tw (in)]])&gt;0.76,0.76,4/SQRT(Table_03[[#This Row],[Depth h (in)]]/Table_03[[#This Row],[Web Thickness tw (in)]])))</f>
        <v>0.3603495519305806</v>
      </c>
      <c r="AZ85" s="169"/>
    </row>
    <row r="86" spans="1:60" ht="14.4" thickBot="1" x14ac:dyDescent="0.35">
      <c r="A86" s="201" t="s">
        <v>184</v>
      </c>
      <c r="B86" s="202">
        <v>4.16</v>
      </c>
      <c r="C86" s="202">
        <v>4.0599999999999996</v>
      </c>
      <c r="D86" s="202">
        <v>0.28000000000000003</v>
      </c>
      <c r="E86" s="202">
        <v>0.34499999999999997</v>
      </c>
      <c r="F86" s="203">
        <v>3.8</v>
      </c>
      <c r="G86" s="204">
        <v>13</v>
      </c>
      <c r="H86" s="203">
        <v>11.3</v>
      </c>
      <c r="I86" s="203">
        <v>3.9</v>
      </c>
      <c r="J86" s="203">
        <f>Table_03[[#This Row],[Width w (in)]]*Table_03[[#This Row],[Flange Thickness tf (in)]]*(Table_03[[#This Row],[Depth h (in)]]-Table_03[[#This Row],[Flange Thickness tf (in)]])+0.25*Table_03[[#This Row],[Web Thickness tw (in)]]*(Table_03[[#This Row],[Depth h (in)]]-2*Table_03[[#This Row],[Flange Thickness tf (in)]])^2</f>
        <v>6.1865335000000004</v>
      </c>
      <c r="K86" s="203">
        <f>(Table_03[[#This Row],[Width w (in)]]^2*Table_03[[#This Row],[Flange Thickness tf (in)]])/2+0.25*Table_03[[#This Row],[Web Thickness tw (in)]]^2*(Table_03[[#This Row],[Depth h (in)]]-2*Table_03[[#This Row],[Flange Thickness tf (in)]])</f>
        <v>2.9114329999999988</v>
      </c>
      <c r="L86" s="203">
        <v>5.5</v>
      </c>
      <c r="M86" s="203">
        <v>1.9</v>
      </c>
      <c r="N86" s="205">
        <v>50</v>
      </c>
      <c r="O86" s="206">
        <f>SQRT(Table_03[[#This Row],[Static Parameters Moment of Inertia Ix (in4)]]/Table_03[[#This Row],[Sectional Area (in2)]])</f>
        <v>1.7244373605690395</v>
      </c>
      <c r="P86" s="203">
        <f>SQRT(Table_03[[#This Row],[Static Parameters Moment of Inertia Iy (in4)]]/Table_03[[#This Row],[Sectional Area (in2)]])</f>
        <v>1.0130724502589556</v>
      </c>
      <c r="Q86" s="203">
        <f>($B$6*$B$5*12)/Table_03[[#This Row],[ry (in)2]]</f>
        <v>177.2331287403033</v>
      </c>
      <c r="R86" s="203">
        <f>(PI()^2*$B$4)/(Table_03[[#This Row],[KL/ry]]^2)</f>
        <v>9.1118788073935626</v>
      </c>
      <c r="S86" s="203">
        <f>IF(Table_03[[#This Row],[Strength (ksi)]]/Table_03[[#This Row],[Fe,y]]&lt;2.25,(0.658^(Table_03[[#This Row],[Strength (ksi)]]/Table_03[[#This Row],[Fe,y]])*Table_03[[#This Row],[Strength (ksi)]]),0.877*Table_03[[#This Row],[Fe,y]])</f>
        <v>7.9911177140841545</v>
      </c>
      <c r="T86" s="203">
        <f>Table_03[[#This Row],[Fcr,y]]*Table_03[[#This Row],[Sectional Area (in2)]]</f>
        <v>30.366247313519786</v>
      </c>
      <c r="U86" s="203">
        <f>1.76*Table_03[[#This Row],[ry (in)2]]*SQRT($B$4/Table_03[[#This Row],[Strength (ksi)]])/12</f>
        <v>3.5783755993222068</v>
      </c>
      <c r="V8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18.349505496088817</v>
      </c>
      <c r="W86" s="203">
        <f>Table_03[[#This Row],[Depth h (in)]]-Table_03[[#This Row],[Flange Thickness tf (in)]]</f>
        <v>3.8150000000000004</v>
      </c>
      <c r="X86" s="203">
        <f>(Table_03[[#This Row],[Static Parameters Moment of Inertia Iy (in4)]]*Table_03[[#This Row],[ho]]^2)/4</f>
        <v>14.190369375000001</v>
      </c>
      <c r="Y86" s="203">
        <f>SQRT((SQRT(Table_03[[#This Row],[Static Parameters Moment of Inertia Iy (in4)]]*Table_03[[#This Row],[Cw*]])/Table_03[[#This Row],[Static Parameters Elastic Section Modulus Sx (in3)2]]))</f>
        <v>1.1630094191754894</v>
      </c>
      <c r="Z86" s="203">
        <f>(2*Table_03[[#This Row],[Width w (in)]]*Table_03[[#This Row],[Flange Thickness tf (in)]]^3/3)+((Table_03[[#This Row],[Depth h (in)]]-Table_03[[#This Row],[Flange Thickness tf (in)]]*2)*Table_03[[#This Row],[Web Thickness tw (in)]]^3)/3</f>
        <v>0.13653669166666665</v>
      </c>
      <c r="AA86" s="203">
        <f>Table_03[[#This Row],[Width w (in)]]*0.5/Table_03[[#This Row],[Flange Thickness tf (in)]]</f>
        <v>5.8840579710144922</v>
      </c>
      <c r="AB86" s="203">
        <f>0.38*SQRT($B$4/Table_03[[#This Row],[Strength (ksi)]])</f>
        <v>9.1516118798821449</v>
      </c>
      <c r="AC86" s="203">
        <f>1*SQRT($B$4/Table_03[[#This Row],[Strength (ksi)]])</f>
        <v>24.083189157584592</v>
      </c>
      <c r="AD86" s="203">
        <f>(PI()^2*$B$4/(12*$B$5/Table_03[[#This Row],[rts]])^2)*SQRT(1+0.078*(Table_03[[#This Row],[J*]]/(Table_03[[#This Row],[Static Parameters Elastic Section Modulus Sx (in3)2]]*Table_03[[#This Row],[ho]])*$B$4/(12*$B$5/Table_03[[#This Row],[rts]])^2))</f>
        <v>53.030114302841255</v>
      </c>
      <c r="AE86" s="203">
        <f>0.69*$B$4/Table_03[[#This Row],[b/t]]^2</f>
        <v>577.95390570021129</v>
      </c>
      <c r="AF86" s="207">
        <f>Table_03[[#This Row],[Strength (ksi)]]*Table_03[[#This Row],[Static Parameters Plastic Section Modulus Zx (in3)]]</f>
        <v>309.32667500000002</v>
      </c>
      <c r="AG86" s="203">
        <f>Table_03[[#This Row],[Mp (k-in)]]-(Table_03[[#This Row],[Mp (k-in)]]-0.7*Table_03[[#This Row],[Strength (ksi)]]*Table_03[[#This Row],[Static Parameters Elastic Section Modulus Sx (in3)2]])*((Table_03[[#This Row],[b/t]]-Table_03[[#This Row],[λpf]])/(Table_03[[#This Row],[λrf]]-Table_03[[#This Row],[λpf]]))</f>
        <v>334.89245759996118</v>
      </c>
      <c r="AH86" s="208">
        <f>0.9*$B$4*Table_03[[#This Row],[kc]]*Table_03[[#This Row],[Static Parameters Elastic Section Modulus Sx (in3)2]]/Table_03[[#This Row],[b/t]]^2</f>
        <v>3151.1052076002825</v>
      </c>
      <c r="AI86" s="209" t="str">
        <f>IF(Table_03[[#This Row],[b/t]]&lt;Table_03[[#This Row],[λpf]],"Compact",IF(AND(Table_03[[#This Row],[b/t]]&gt;Table_03[[#This Row],[λpf]],Table_03[[#This Row],[λrf]]&gt;Table_03[[#This Row],[b/t]]),"Non-Compact","Slender"))</f>
        <v>Compact</v>
      </c>
      <c r="AJ86" s="210">
        <f>IF(Table_03[[#This Row],[Controlling LBx]]="Compact",Table_03[[#This Row],[Mp (k-in)]],IF(Table_03[[#This Row],[Controlling LBx]]="Non-Compact",Table_03[[#This Row],[Mnlb,Non-Compact (k-in)]],IF(Table_03[[#This Row],[Controlling LBx]]="Slender",Table_03[[#This Row],[Mnlb,slender (k-in)]],"ERROR")))</f>
        <v>309.32667500000002</v>
      </c>
      <c r="AK86" s="207">
        <f>Table_03[[#This Row],[Mp (k-in)]]-(Table_03[[#This Row],[Mp (k-in)]]-0.7*Table_03[[#This Row],[Strength (ksi)]]*Table_03[[#This Row],[Static Parameters Elastic Section Modulus Sx (in3)2]])*(($B$5-Table_03[[#This Row],[Lp (ft)]])/(Table_03[[#This Row],[Lr]]-Table_03[[#This Row],[Lp (ft)]]))</f>
        <v>281.27598834970166</v>
      </c>
      <c r="AL86" s="211">
        <f>Table_03[[#This Row],[Fcrx]]*Table_03[[#This Row],[Static Parameters Elastic Section Modulus Sx (in3)2]]</f>
        <v>291.66562866562691</v>
      </c>
      <c r="AM86" s="212" t="str">
        <f>IF($B$5&lt;Table_03[[#This Row],[Lp (ft)]],"Yielding Controls",IF(AND($B$5&gt;Table_03[[#This Row],[Lp (ft)]],Table_03[[#This Row],[Lr]]&gt;$B$5),"Mltb,p Controls","Mltb,r Controls"))</f>
        <v>Mltb,p Controls</v>
      </c>
      <c r="AN86" s="213">
        <f>IF(Table_03[[#This Row],[Controlling LTB]]="Yielding Controls",Table_03[[#This Row],[Mp (k-in)]],IF(Table_03[[#This Row],[Controlling LTB]]="Mltb,p Controls",Table_03[[#This Row],[Mnltbp (k-in)]],IF(Table_03[[#This Row],[Controlling LTB]]="Mltb,r Controls",Table_03[[#This Row],[Mnltbr (k-in)]],"ERROR")))</f>
        <v>281.27598834970166</v>
      </c>
      <c r="AO86" s="214">
        <f>MIN(Table_03[[#This Row],[Strength (ksi)]]*Table_03[[#This Row],[Static Parameters Plastic Section Modulus Zy (in3)]],1.6*Table_03[[#This Row],[Strength (ksi)]]*Table_03[[#This Row],[Static Parameters Elastic Section Modulus Sy (in3)3]])</f>
        <v>145.57164999999995</v>
      </c>
      <c r="AP86" s="206">
        <f>MIN(Table_03[[#This Row],[Mny (k-in)]],Table_03[[#This Row],[Mny (k-in)]]-(Table_03[[#This Row],[Mny (k-in)]]-0.7*Table_03[[#This Row],[Static Parameters Elastic Section Modulus Sy (in3)3]]*Table_03[[#This Row],[Strength (ksi)]])*((Table_03[[#This Row],[b/t]]-Table_03[[#This Row],[λpf]])/(Table_03[[#This Row],[λrf]]-Table_03[[#This Row],[λpf]])))</f>
        <v>145.57164999999995</v>
      </c>
      <c r="AQ86" s="211">
        <f>MIN(Table_03[[#This Row],[Mny (k-in)]],Table_03[[#This Row],[Fcry]]*Table_03[[#This Row],[Static Parameters Elastic Section Modulus Sy (in3)3]])</f>
        <v>145.57164999999995</v>
      </c>
      <c r="AR86" s="212" t="str">
        <f>IF(Table_03[[#This Row],[b/t]]&lt;Table_03[[#This Row],[λpf]],"Compact",IF(AND(Table_03[[#This Row],[b/t]]&gt;Table_03[[#This Row],[λpf]],Table_03[[#This Row],[λrf]]&gt;Table_03[[#This Row],[b/t]]),"Non-Compact","Slender"))</f>
        <v>Compact</v>
      </c>
      <c r="AS86" s="213">
        <f>IF(Table_03[[#This Row],[Controlling Lby]]="Compact",Table_03[[#This Row],[Mny (k-in)]],IF(Table_03[[#This Row],[Controlling Lby]]="Non-Compact",Table_03[[#This Row],[Mlby,Non-Compact (k-in)]],IF(Table_03[[#This Row],[Controlling Lby]]="Slender",Table_03[[#This Row],[Mlby,Slender (k-in)]],"ERROR")))</f>
        <v>145.57164999999995</v>
      </c>
      <c r="AT86" s="214">
        <f>MIN(Table_03[[#This Row],[LBx]],Table_03[[#This Row],[LTB]],Table_03[[#This Row],[Mp (k-in)]])</f>
        <v>281.27598834970166</v>
      </c>
      <c r="AU86" s="206">
        <f>Table_03[[#This Row],[Mp (k-in)]]</f>
        <v>309.32667500000002</v>
      </c>
      <c r="AV86" s="206">
        <f>MIN(Table_03[[#This Row],[LBy]],Table_03[[#This Row],[Mny (k-in)]])</f>
        <v>145.57164999999995</v>
      </c>
      <c r="AW86" s="215">
        <f>Table_03[[#This Row],[Mny (k-in)]]</f>
        <v>145.57164999999995</v>
      </c>
      <c r="AX86" s="169">
        <f>SQRT(((Table_03[[#This Row],[Sectional Area (in2)]]-(Table_03[[#This Row],[Flange Thickness tf (in)]]*Table_03[[#This Row],[Width w (in)]]*2+Table_03[[#This Row],[Web Thickness tw (in)]]*((Table_03[[#This Row],[Depth h (in)]]-2*Table_03[[#This Row],[Flange Thickness tf (in)]]))))/4)/(1-PI()/4))</f>
        <v>0.17735162382311923</v>
      </c>
      <c r="AY86" s="165">
        <f>IF(4/SQRT((Table_03[[#This Row],[Depth h (in)]]-Table_03[[#This Row],[Flange Thickness tf (in)]]*2)/Table_03[[#This Row],[Web Thickness tw (in)]])&lt;0.35,0.35,IF(4/SQRT(Table_03[[#This Row],[Depth h (in)]]/Table_03[[#This Row],[Web Thickness tw (in)]])&gt;0.76,0.76,4/SQRT(Table_03[[#This Row],[Depth h (in)]]/Table_03[[#This Row],[Web Thickness tw (in)]])))</f>
        <v>0.76</v>
      </c>
      <c r="AZ86" s="169"/>
    </row>
    <row r="87" spans="1:60" x14ac:dyDescent="0.3">
      <c r="A87" s="179" t="s">
        <v>185</v>
      </c>
      <c r="B87" s="180">
        <v>5.01</v>
      </c>
      <c r="C87" s="180">
        <v>5</v>
      </c>
      <c r="D87" s="180">
        <v>0.24</v>
      </c>
      <c r="E87" s="180">
        <v>0.36</v>
      </c>
      <c r="F87" s="181">
        <v>4.7</v>
      </c>
      <c r="G87" s="180">
        <v>16</v>
      </c>
      <c r="H87" s="180">
        <v>21.3</v>
      </c>
      <c r="I87" s="180">
        <v>7.5</v>
      </c>
      <c r="J87" s="181">
        <f>Table_03[[#This Row],[Width w (in)]]*Table_03[[#This Row],[Flange Thickness tf (in)]]*(Table_03[[#This Row],[Depth h (in)]]-Table_03[[#This Row],[Flange Thickness tf (in)]])+0.25*Table_03[[#This Row],[Web Thickness tw (in)]]*(Table_03[[#This Row],[Depth h (in)]]-2*Table_03[[#This Row],[Flange Thickness tf (in)]])^2</f>
        <v>9.4742459999999973</v>
      </c>
      <c r="K87" s="181">
        <f>(Table_03[[#This Row],[Width w (in)]]^2*Table_03[[#This Row],[Flange Thickness tf (in)]])/2+0.25*Table_03[[#This Row],[Web Thickness tw (in)]]^2*(Table_03[[#This Row],[Depth h (in)]]-2*Table_03[[#This Row],[Flange Thickness tf (in)]])</f>
        <v>4.5617760000000001</v>
      </c>
      <c r="L87" s="181">
        <v>8.5</v>
      </c>
      <c r="M87" s="181">
        <v>3</v>
      </c>
      <c r="N87" s="182">
        <v>50</v>
      </c>
      <c r="O87" s="181">
        <f>SQRT(Table_03[[#This Row],[Static Parameters Moment of Inertia Ix (in4)]]/Table_03[[#This Row],[Sectional Area (in2)]])</f>
        <v>2.1288294656024047</v>
      </c>
      <c r="P87" s="181">
        <f>SQRT(Table_03[[#This Row],[Static Parameters Moment of Inertia Iy (in4)]]/Table_03[[#This Row],[Sectional Area (in2)]])</f>
        <v>1.2632278815997784</v>
      </c>
      <c r="Q87" s="181">
        <f>($B$6*$B$5*12)/Table_03[[#This Row],[ry (in)2]]</f>
        <v>142.13587478184388</v>
      </c>
      <c r="R87" s="181">
        <f>(PI()^2*$B$4)/(Table_03[[#This Row],[KL/ry]]^2)</f>
        <v>14.16740567434351</v>
      </c>
      <c r="S87" s="181">
        <f>IF(Table_03[[#This Row],[Strength (ksi)]]/Table_03[[#This Row],[Fe,y]]&lt;2.25,(0.658^(Table_03[[#This Row],[Strength (ksi)]]/Table_03[[#This Row],[Fe,y]])*Table_03[[#This Row],[Strength (ksi)]]),0.877*Table_03[[#This Row],[Fe,y]])</f>
        <v>12.424814776399257</v>
      </c>
      <c r="T87" s="181">
        <f>Table_03[[#This Row],[Fcr,y]]*Table_03[[#This Row],[Sectional Area (in2)]]</f>
        <v>58.396629449076514</v>
      </c>
      <c r="U87" s="181">
        <f>1.76*Table_03[[#This Row],[ry (in)2]]*SQRT($B$4/Table_03[[#This Row],[Strength (ksi)]])/12</f>
        <v>4.4619748831830091</v>
      </c>
      <c r="V8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19.156760848564986</v>
      </c>
      <c r="W87" s="181">
        <f>Table_03[[#This Row],[Depth h (in)]]-Table_03[[#This Row],[Flange Thickness tf (in)]]</f>
        <v>4.6499999999999995</v>
      </c>
      <c r="X87" s="181">
        <f>(Table_03[[#This Row],[Static Parameters Moment of Inertia Iy (in4)]]*Table_03[[#This Row],[ho]]^2)/4</f>
        <v>40.54218749999999</v>
      </c>
      <c r="Y87" s="181">
        <f>SQRT((SQRT(Table_03[[#This Row],[Static Parameters Moment of Inertia Iy (in4)]]*Table_03[[#This Row],[Cw*]])/Table_03[[#This Row],[Static Parameters Elastic Section Modulus Sx (in3)2]]))</f>
        <v>1.4322955659483465</v>
      </c>
      <c r="Z87" s="181">
        <f>(2*Table_03[[#This Row],[Width w (in)]]*Table_03[[#This Row],[Flange Thickness tf (in)]]^3/3)+((Table_03[[#This Row],[Depth h (in)]]-Table_03[[#This Row],[Flange Thickness tf (in)]]*2)*Table_03[[#This Row],[Web Thickness tw (in)]]^3)/3</f>
        <v>0.17528832</v>
      </c>
      <c r="AA87" s="181">
        <f>Table_03[[#This Row],[Width w (in)]]*0.5/Table_03[[#This Row],[Flange Thickness tf (in)]]</f>
        <v>6.9444444444444446</v>
      </c>
      <c r="AB87" s="181">
        <f>0.38*SQRT($B$4/Table_03[[#This Row],[Strength (ksi)]])</f>
        <v>9.1516118798821449</v>
      </c>
      <c r="AC87" s="181">
        <f>1*SQRT($B$4/Table_03[[#This Row],[Strength (ksi)]])</f>
        <v>24.083189157584592</v>
      </c>
      <c r="AD87" s="181">
        <f>(PI()^2*$B$4/(12*$B$5/Table_03[[#This Row],[rts]])^2)*SQRT(1+0.078*(Table_03[[#This Row],[J*]]/(Table_03[[#This Row],[Static Parameters Elastic Section Modulus Sx (in3)2]]*Table_03[[#This Row],[ho]])*$B$4/(12*$B$5/Table_03[[#This Row],[rts]])^2))</f>
        <v>80.434294938650623</v>
      </c>
      <c r="AE87" s="181">
        <f>0.69*$B$4/Table_03[[#This Row],[b/t]]^2</f>
        <v>414.92735999999996</v>
      </c>
      <c r="AF87" s="183">
        <f>Table_03[[#This Row],[Strength (ksi)]]*Table_03[[#This Row],[Static Parameters Plastic Section Modulus Zx (in3)]]</f>
        <v>473.71229999999986</v>
      </c>
      <c r="AG87" s="181">
        <f>Table_03[[#This Row],[Mp (k-in)]]-(Table_03[[#This Row],[Mp (k-in)]]-0.7*Table_03[[#This Row],[Strength (ksi)]]*Table_03[[#This Row],[Static Parameters Elastic Section Modulus Sx (in3)2]])*((Table_03[[#This Row],[b/t]]-Table_03[[#This Row],[λpf]])/(Table_03[[#This Row],[λrf]]-Table_03[[#This Row],[λpf]]))</f>
        <v>499.75978601237</v>
      </c>
      <c r="AH87" s="184">
        <f>0.9*$B$4*Table_03[[#This Row],[kc]]*Table_03[[#This Row],[Static Parameters Elastic Section Modulus Sx (in3)2]]/Table_03[[#This Row],[b/t]]^2</f>
        <v>3496.2140159999999</v>
      </c>
      <c r="AI87" s="185" t="str">
        <f>IF(Table_03[[#This Row],[b/t]]&lt;Table_03[[#This Row],[λpf]],"Compact",IF(AND(Table_03[[#This Row],[b/t]]&gt;Table_03[[#This Row],[λpf]],Table_03[[#This Row],[λrf]]&gt;Table_03[[#This Row],[b/t]]),"Non-Compact","Slender"))</f>
        <v>Compact</v>
      </c>
      <c r="AJ87" s="186">
        <f>IF(Table_03[[#This Row],[Controlling LBx]]="Compact",Table_03[[#This Row],[Mp (k-in)]],IF(Table_03[[#This Row],[Controlling LBx]]="Non-Compact",Table_03[[#This Row],[Mnlb,Non-Compact (k-in)]],IF(Table_03[[#This Row],[Controlling LBx]]="Slender",Table_03[[#This Row],[Mnlb,slender (k-in)]],"ERROR")))</f>
        <v>473.71229999999986</v>
      </c>
      <c r="AK87" s="183">
        <f>Table_03[[#This Row],[Mp (k-in)]]-(Table_03[[#This Row],[Mp (k-in)]]-0.7*Table_03[[#This Row],[Strength (ksi)]]*Table_03[[#This Row],[Static Parameters Elastic Section Modulus Sx (in3)2]])*(($B$5-Table_03[[#This Row],[Lp (ft)]])/(Table_03[[#This Row],[Lr]]-Table_03[[#This Row],[Lp (ft)]]))</f>
        <v>441.77867525054319</v>
      </c>
      <c r="AL87" s="184">
        <f>Table_03[[#This Row],[Fcrx]]*Table_03[[#This Row],[Static Parameters Elastic Section Modulus Sx (in3)2]]</f>
        <v>683.69150697853024</v>
      </c>
      <c r="AM87" s="185" t="str">
        <f>IF($B$5&lt;Table_03[[#This Row],[Lp (ft)]],"Yielding Controls",IF(AND($B$5&gt;Table_03[[#This Row],[Lp (ft)]],Table_03[[#This Row],[Lr]]&gt;$B$5),"Mltb,p Controls","Mltb,r Controls"))</f>
        <v>Mltb,p Controls</v>
      </c>
      <c r="AN87" s="186">
        <f>IF(Table_03[[#This Row],[Controlling LTB]]="Yielding Controls",Table_03[[#This Row],[Mp (k-in)]],IF(Table_03[[#This Row],[Controlling LTB]]="Mltb,p Controls",Table_03[[#This Row],[Mnltbp (k-in)]],IF(Table_03[[#This Row],[Controlling LTB]]="Mltb,r Controls",Table_03[[#This Row],[Mnltbr (k-in)]],"ERROR")))</f>
        <v>441.77867525054319</v>
      </c>
      <c r="AO87" s="183">
        <f>MIN(Table_03[[#This Row],[Strength (ksi)]]*Table_03[[#This Row],[Static Parameters Plastic Section Modulus Zy (in3)]],1.6*Table_03[[#This Row],[Strength (ksi)]]*Table_03[[#This Row],[Static Parameters Elastic Section Modulus Sy (in3)3]])</f>
        <v>228.08879999999999</v>
      </c>
      <c r="AP87" s="181">
        <f>MIN(Table_03[[#This Row],[Mny (k-in)]],Table_03[[#This Row],[Mny (k-in)]]-(Table_03[[#This Row],[Mny (k-in)]]-0.7*Table_03[[#This Row],[Static Parameters Elastic Section Modulus Sy (in3)3]]*Table_03[[#This Row],[Strength (ksi)]])*((Table_03[[#This Row],[b/t]]-Table_03[[#This Row],[λpf]])/(Table_03[[#This Row],[λrf]]-Table_03[[#This Row],[λpf]])))</f>
        <v>228.08879999999999</v>
      </c>
      <c r="AQ87" s="184">
        <f>MIN(Table_03[[#This Row],[Mny (k-in)]],Table_03[[#This Row],[Fcry]]*Table_03[[#This Row],[Static Parameters Elastic Section Modulus Sy (in3)3]])</f>
        <v>228.08879999999999</v>
      </c>
      <c r="AR87" s="185" t="str">
        <f>IF(Table_03[[#This Row],[b/t]]&lt;Table_03[[#This Row],[λpf]],"Compact",IF(AND(Table_03[[#This Row],[b/t]]&gt;Table_03[[#This Row],[λpf]],Table_03[[#This Row],[λrf]]&gt;Table_03[[#This Row],[b/t]]),"Non-Compact","Slender"))</f>
        <v>Compact</v>
      </c>
      <c r="AS87" s="186">
        <f>IF(Table_03[[#This Row],[Controlling Lby]]="Compact",Table_03[[#This Row],[Mny (k-in)]],IF(Table_03[[#This Row],[Controlling Lby]]="Non-Compact",Table_03[[#This Row],[Mlby,Non-Compact (k-in)]],IF(Table_03[[#This Row],[Controlling Lby]]="Slender",Table_03[[#This Row],[Mlby,Slender (k-in)]],"ERROR")))</f>
        <v>228.08879999999999</v>
      </c>
      <c r="AT87" s="183">
        <f>MIN(Table_03[[#This Row],[LBx]],Table_03[[#This Row],[LTB]],Table_03[[#This Row],[Mp (k-in)]])</f>
        <v>441.77867525054319</v>
      </c>
      <c r="AU87" s="181">
        <f>Table_03[[#This Row],[Mp (k-in)]]</f>
        <v>473.71229999999986</v>
      </c>
      <c r="AV87" s="181">
        <f>MIN(Table_03[[#This Row],[LBy]],Table_03[[#This Row],[Mny (k-in)]])</f>
        <v>228.08879999999999</v>
      </c>
      <c r="AW87" s="187">
        <f>Table_03[[#This Row],[Mny (k-in)]]</f>
        <v>228.08879999999999</v>
      </c>
      <c r="AX87" s="169">
        <f>SQRT(((Table_03[[#This Row],[Sectional Area (in2)]]-(Table_03[[#This Row],[Flange Thickness tf (in)]]*Table_03[[#This Row],[Width w (in)]]*2+Table_03[[#This Row],[Web Thickness tw (in)]]*((Table_03[[#This Row],[Depth h (in)]]-2*Table_03[[#This Row],[Flange Thickness tf (in)]]))))/4)/(1-PI()/4))</f>
        <v>0.28637797688951022</v>
      </c>
      <c r="AY87" s="165">
        <f>IF(4/SQRT((Table_03[[#This Row],[Depth h (in)]]-Table_03[[#This Row],[Flange Thickness tf (in)]]*2)/Table_03[[#This Row],[Web Thickness tw (in)]])&lt;0.35,0.35,IF(4/SQRT(Table_03[[#This Row],[Depth h (in)]]/Table_03[[#This Row],[Web Thickness tw (in)]])&gt;0.76,0.76,4/SQRT(Table_03[[#This Row],[Depth h (in)]]/Table_03[[#This Row],[Web Thickness tw (in)]])))</f>
        <v>0.76</v>
      </c>
      <c r="AZ87" s="169"/>
    </row>
    <row r="88" spans="1:60" x14ac:dyDescent="0.3">
      <c r="A88" s="188" t="s">
        <v>186</v>
      </c>
      <c r="B88" s="189">
        <v>5.15</v>
      </c>
      <c r="C88" s="189">
        <v>5.03</v>
      </c>
      <c r="D88" s="189">
        <v>0.27</v>
      </c>
      <c r="E88" s="189">
        <v>0.43</v>
      </c>
      <c r="F88" s="190">
        <v>5.5</v>
      </c>
      <c r="G88" s="189">
        <v>19</v>
      </c>
      <c r="H88" s="190">
        <v>26.2</v>
      </c>
      <c r="I88" s="190">
        <v>9.1</v>
      </c>
      <c r="J88" s="190">
        <f>Table_03[[#This Row],[Width w (in)]]*Table_03[[#This Row],[Flange Thickness tf (in)]]*(Table_03[[#This Row],[Depth h (in)]]-Table_03[[#This Row],[Flange Thickness tf (in)]])+0.25*Table_03[[#This Row],[Web Thickness tw (in)]]*(Table_03[[#This Row],[Depth h (in)]]-2*Table_03[[#This Row],[Flange Thickness tf (in)]])^2</f>
        <v>11.451164750000002</v>
      </c>
      <c r="K88" s="190">
        <f>(Table_03[[#This Row],[Width w (in)]]^2*Table_03[[#This Row],[Flange Thickness tf (in)]])/2+0.25*Table_03[[#This Row],[Web Thickness tw (in)]]^2*(Table_03[[#This Row],[Depth h (in)]]-2*Table_03[[#This Row],[Flange Thickness tf (in)]])</f>
        <v>5.5178787500000004</v>
      </c>
      <c r="L88" s="190">
        <v>10.199999999999999</v>
      </c>
      <c r="M88" s="190">
        <v>3.6</v>
      </c>
      <c r="N88" s="191">
        <v>50</v>
      </c>
      <c r="O88" s="169">
        <f>SQRT(Table_03[[#This Row],[Static Parameters Moment of Inertia Ix (in4)]]/Table_03[[#This Row],[Sectional Area (in2)]])</f>
        <v>2.1825756260978366</v>
      </c>
      <c r="P88" s="190">
        <f>SQRT(Table_03[[#This Row],[Static Parameters Moment of Inertia Iy (in4)]]/Table_03[[#This Row],[Sectional Area (in2)]])</f>
        <v>1.2862913567871994</v>
      </c>
      <c r="Q88" s="190">
        <f>($B$6*$B$5*12)/Table_03[[#This Row],[ry (in)2]]</f>
        <v>139.58734858365708</v>
      </c>
      <c r="R88" s="190">
        <f>(PI()^2*$B$4)/(Table_03[[#This Row],[KL/ry]]^2)</f>
        <v>14.689453107676892</v>
      </c>
      <c r="S88" s="190">
        <f>IF(Table_03[[#This Row],[Strength (ksi)]]/Table_03[[#This Row],[Fe,y]]&lt;2.25,(0.658^(Table_03[[#This Row],[Strength (ksi)]]/Table_03[[#This Row],[Fe,y]])*Table_03[[#This Row],[Strength (ksi)]]),0.877*Table_03[[#This Row],[Fe,y]])</f>
        <v>12.882650375432634</v>
      </c>
      <c r="T88" s="190">
        <f>Table_03[[#This Row],[Fcr,y]]*Table_03[[#This Row],[Sectional Area (in2)]]</f>
        <v>70.854577064879493</v>
      </c>
      <c r="U88" s="190">
        <f>1.76*Table_03[[#This Row],[ry (in)2]]*SQRT($B$4/Table_03[[#This Row],[Strength (ksi)]])/12</f>
        <v>4.5434397150665982</v>
      </c>
      <c r="V8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22.277631530421164</v>
      </c>
      <c r="W88" s="190">
        <f>Table_03[[#This Row],[Depth h (in)]]-Table_03[[#This Row],[Flange Thickness tf (in)]]</f>
        <v>4.7200000000000006</v>
      </c>
      <c r="X88" s="190">
        <f>(Table_03[[#This Row],[Static Parameters Moment of Inertia Iy (in4)]]*Table_03[[#This Row],[ho]]^2)/4</f>
        <v>50.683360000000008</v>
      </c>
      <c r="Y88" s="190">
        <f>SQRT((SQRT(Table_03[[#This Row],[Static Parameters Moment of Inertia Iy (in4)]]*Table_03[[#This Row],[Cw*]])/Table_03[[#This Row],[Static Parameters Elastic Section Modulus Sx (in3)2]]))</f>
        <v>1.4510307357456049</v>
      </c>
      <c r="Z88" s="190">
        <f>(2*Table_03[[#This Row],[Width w (in)]]*Table_03[[#This Row],[Flange Thickness tf (in)]]^3/3)+((Table_03[[#This Row],[Depth h (in)]]-Table_03[[#This Row],[Flange Thickness tf (in)]]*2)*Table_03[[#This Row],[Web Thickness tw (in)]]^3)/3</f>
        <v>0.29476016333333332</v>
      </c>
      <c r="AA88" s="190">
        <f>Table_03[[#This Row],[Width w (in)]]*0.5/Table_03[[#This Row],[Flange Thickness tf (in)]]</f>
        <v>5.8488372093023262</v>
      </c>
      <c r="AB88" s="190">
        <f>0.38*SQRT($B$4/Table_03[[#This Row],[Strength (ksi)]])</f>
        <v>9.1516118798821449</v>
      </c>
      <c r="AC88" s="190">
        <f>1*SQRT($B$4/Table_03[[#This Row],[Strength (ksi)]])</f>
        <v>24.083189157584592</v>
      </c>
      <c r="AD88" s="190">
        <f>(PI()^2*$B$4/(12*$B$5/Table_03[[#This Row],[rts]])^2)*SQRT(1+0.078*(Table_03[[#This Row],[J*]]/(Table_03[[#This Row],[Static Parameters Elastic Section Modulus Sx (in3)2]]*Table_03[[#This Row],[ho]])*$B$4/(12*$B$5/Table_03[[#This Row],[rts]])^2))</f>
        <v>82.600593406328855</v>
      </c>
      <c r="AE88" s="190">
        <f>0.69*$B$4/Table_03[[#This Row],[b/t]]^2</f>
        <v>584.93555565217036</v>
      </c>
      <c r="AF88" s="192">
        <f>Table_03[[#This Row],[Strength (ksi)]]*Table_03[[#This Row],[Static Parameters Plastic Section Modulus Zx (in3)]]</f>
        <v>572.55823750000013</v>
      </c>
      <c r="AG88" s="190">
        <f>Table_03[[#This Row],[Mp (k-in)]]-(Table_03[[#This Row],[Mp (k-in)]]-0.7*Table_03[[#This Row],[Strength (ksi)]]*Table_03[[#This Row],[Static Parameters Elastic Section Modulus Sx (in3)2]])*((Table_03[[#This Row],[b/t]]-Table_03[[#This Row],[λpf]])/(Table_03[[#This Row],[λrf]]-Table_03[[#This Row],[λpf]]))</f>
        <v>620.23841713601087</v>
      </c>
      <c r="AH88" s="193">
        <f>0.9*$B$4*Table_03[[#This Row],[kc]]*Table_03[[#This Row],[Static Parameters Elastic Section Modulus Sx (in3)2]]/Table_03[[#This Row],[b/t]]^2</f>
        <v>5914.4614270638576</v>
      </c>
      <c r="AI88" s="194" t="str">
        <f>IF(Table_03[[#This Row],[b/t]]&lt;Table_03[[#This Row],[λpf]],"Compact",IF(AND(Table_03[[#This Row],[b/t]]&gt;Table_03[[#This Row],[λpf]],Table_03[[#This Row],[λrf]]&gt;Table_03[[#This Row],[b/t]]),"Non-Compact","Slender"))</f>
        <v>Compact</v>
      </c>
      <c r="AJ88" s="195">
        <f>IF(Table_03[[#This Row],[Controlling LBx]]="Compact",Table_03[[#This Row],[Mp (k-in)]],IF(Table_03[[#This Row],[Controlling LBx]]="Non-Compact",Table_03[[#This Row],[Mnlb,Non-Compact (k-in)]],IF(Table_03[[#This Row],[Controlling LBx]]="Slender",Table_03[[#This Row],[Mnlb,slender (k-in)]],"ERROR")))</f>
        <v>572.55823750000013</v>
      </c>
      <c r="AK88" s="192">
        <f>Table_03[[#This Row],[Mp (k-in)]]-(Table_03[[#This Row],[Mp (k-in)]]-0.7*Table_03[[#This Row],[Strength (ksi)]]*Table_03[[#This Row],[Static Parameters Elastic Section Modulus Sx (in3)2]])*(($B$5-Table_03[[#This Row],[Lp (ft)]])/(Table_03[[#This Row],[Lr]]-Table_03[[#This Row],[Lp (ft)]]))</f>
        <v>541.17949801109739</v>
      </c>
      <c r="AL88" s="196">
        <f>Table_03[[#This Row],[Fcrx]]*Table_03[[#This Row],[Static Parameters Elastic Section Modulus Sx (in3)2]]</f>
        <v>842.52605274455425</v>
      </c>
      <c r="AM88" s="197" t="str">
        <f>IF($B$5&lt;Table_03[[#This Row],[Lp (ft)]],"Yielding Controls",IF(AND($B$5&gt;Table_03[[#This Row],[Lp (ft)]],Table_03[[#This Row],[Lr]]&gt;$B$5),"Mltb,p Controls","Mltb,r Controls"))</f>
        <v>Mltb,p Controls</v>
      </c>
      <c r="AN88" s="198">
        <f>IF(Table_03[[#This Row],[Controlling LTB]]="Yielding Controls",Table_03[[#This Row],[Mp (k-in)]],IF(Table_03[[#This Row],[Controlling LTB]]="Mltb,p Controls",Table_03[[#This Row],[Mnltbp (k-in)]],IF(Table_03[[#This Row],[Controlling LTB]]="Mltb,r Controls",Table_03[[#This Row],[Mnltbr (k-in)]],"ERROR")))</f>
        <v>541.17949801109739</v>
      </c>
      <c r="AO88" s="199">
        <f>MIN(Table_03[[#This Row],[Strength (ksi)]]*Table_03[[#This Row],[Static Parameters Plastic Section Modulus Zy (in3)]],1.6*Table_03[[#This Row],[Strength (ksi)]]*Table_03[[#This Row],[Static Parameters Elastic Section Modulus Sy (in3)3]])</f>
        <v>275.89393749999999</v>
      </c>
      <c r="AP88" s="169">
        <f>MIN(Table_03[[#This Row],[Mny (k-in)]],Table_03[[#This Row],[Mny (k-in)]]-(Table_03[[#This Row],[Mny (k-in)]]-0.7*Table_03[[#This Row],[Static Parameters Elastic Section Modulus Sy (in3)3]]*Table_03[[#This Row],[Strength (ksi)]])*((Table_03[[#This Row],[b/t]]-Table_03[[#This Row],[λpf]])/(Table_03[[#This Row],[λrf]]-Table_03[[#This Row],[λpf]])))</f>
        <v>275.89393749999999</v>
      </c>
      <c r="AQ88" s="196">
        <f>MIN(Table_03[[#This Row],[Mny (k-in)]],Table_03[[#This Row],[Fcry]]*Table_03[[#This Row],[Static Parameters Elastic Section Modulus Sy (in3)3]])</f>
        <v>275.89393749999999</v>
      </c>
      <c r="AR88" s="197" t="str">
        <f>IF(Table_03[[#This Row],[b/t]]&lt;Table_03[[#This Row],[λpf]],"Compact",IF(AND(Table_03[[#This Row],[b/t]]&gt;Table_03[[#This Row],[λpf]],Table_03[[#This Row],[λrf]]&gt;Table_03[[#This Row],[b/t]]),"Non-Compact","Slender"))</f>
        <v>Compact</v>
      </c>
      <c r="AS88" s="198">
        <f>IF(Table_03[[#This Row],[Controlling Lby]]="Compact",Table_03[[#This Row],[Mny (k-in)]],IF(Table_03[[#This Row],[Controlling Lby]]="Non-Compact",Table_03[[#This Row],[Mlby,Non-Compact (k-in)]],IF(Table_03[[#This Row],[Controlling Lby]]="Slender",Table_03[[#This Row],[Mlby,Slender (k-in)]],"ERROR")))</f>
        <v>275.89393749999999</v>
      </c>
      <c r="AT88" s="199">
        <f>MIN(Table_03[[#This Row],[LBx]],Table_03[[#This Row],[LTB]],Table_03[[#This Row],[Mp (k-in)]])</f>
        <v>541.17949801109739</v>
      </c>
      <c r="AU88" s="169">
        <f>Table_03[[#This Row],[Mp (k-in)]]</f>
        <v>572.55823750000013</v>
      </c>
      <c r="AV88" s="169">
        <f>MIN(Table_03[[#This Row],[LBy]],Table_03[[#This Row],[Mny (k-in)]])</f>
        <v>275.89393749999999</v>
      </c>
      <c r="AW88" s="200">
        <f>Table_03[[#This Row],[Mny (k-in)]]</f>
        <v>275.89393749999999</v>
      </c>
      <c r="AX88" s="169">
        <f>SQRT(((Table_03[[#This Row],[Sectional Area (in2)]]-(Table_03[[#This Row],[Flange Thickness tf (in)]]*Table_03[[#This Row],[Width w (in)]]*2+Table_03[[#This Row],[Web Thickness tw (in)]]*((Table_03[[#This Row],[Depth h (in)]]-2*Table_03[[#This Row],[Flange Thickness tf (in)]]))))/4)/(1-PI()/4))</f>
        <v>0.13609803325597361</v>
      </c>
      <c r="AY88" s="165">
        <f>IF(4/SQRT((Table_03[[#This Row],[Depth h (in)]]-Table_03[[#This Row],[Flange Thickness tf (in)]]*2)/Table_03[[#This Row],[Web Thickness tw (in)]])&lt;0.35,0.35,IF(4/SQRT(Table_03[[#This Row],[Depth h (in)]]/Table_03[[#This Row],[Web Thickness tw (in)]])&gt;0.76,0.76,4/SQRT(Table_03[[#This Row],[Depth h (in)]]/Table_03[[#This Row],[Web Thickness tw (in)]])))</f>
        <v>0.76</v>
      </c>
      <c r="AZ88" s="169"/>
    </row>
    <row r="89" spans="1:60" ht="14.4" thickBot="1" x14ac:dyDescent="0.35">
      <c r="A89" s="201" t="s">
        <v>187</v>
      </c>
      <c r="B89" s="202">
        <v>5.79</v>
      </c>
      <c r="C89" s="202">
        <v>3.9049999999999998</v>
      </c>
      <c r="D89" s="217">
        <v>0.13500000000000001</v>
      </c>
      <c r="E89" s="202">
        <v>0.16</v>
      </c>
      <c r="F89" s="203">
        <v>2.0699999999999998</v>
      </c>
      <c r="G89" s="204"/>
      <c r="H89" s="203">
        <v>12.3</v>
      </c>
      <c r="I89" s="203">
        <v>1.59</v>
      </c>
      <c r="J89" s="202">
        <f>Table_03[[#This Row],[Width w (in)]]*Table_03[[#This Row],[Flange Thickness tf (in)]]*(Table_03[[#This Row],[Depth h (in)]]-Table_03[[#This Row],[Flange Thickness tf (in)]])+0.25*Table_03[[#This Row],[Web Thickness tw (in)]]*(Table_03[[#This Row],[Depth h (in)]]-2*Table_03[[#This Row],[Flange Thickness tf (in)]])^2</f>
        <v>4.5274543749999996</v>
      </c>
      <c r="K89" s="203">
        <f>(Table_03[[#This Row],[Width w (in)]]^2*Table_03[[#This Row],[Flange Thickness tf (in)]])/2+0.25*Table_03[[#This Row],[Web Thickness tw (in)]]^2*(Table_03[[#This Row],[Depth h (in)]]-2*Table_03[[#This Row],[Flange Thickness tf (in)]])</f>
        <v>1.2448446874999999</v>
      </c>
      <c r="L89" s="203">
        <v>4.25</v>
      </c>
      <c r="M89" s="203">
        <v>0.82</v>
      </c>
      <c r="N89" s="205">
        <v>50</v>
      </c>
      <c r="O89" s="206">
        <f>SQRT(Table_03[[#This Row],[Static Parameters Moment of Inertia Ix (in4)]]/Table_03[[#This Row],[Sectional Area (in2)]])</f>
        <v>2.4376277372698332</v>
      </c>
      <c r="P89" s="203">
        <f>SQRT(Table_03[[#This Row],[Static Parameters Moment of Inertia Iy (in4)]]/Table_03[[#This Row],[Sectional Area (in2)]])</f>
        <v>0.87642223957917997</v>
      </c>
      <c r="Q89" s="203">
        <f>($B$6*$B$5*12)/Table_03[[#This Row],[ry (in)2]]</f>
        <v>204.86700575536759</v>
      </c>
      <c r="R89" s="203">
        <f>(PI()^2*$B$4)/(Table_03[[#This Row],[KL/ry]]^2)</f>
        <v>6.819518364210567</v>
      </c>
      <c r="S89" s="203">
        <f>IF(Table_03[[#This Row],[Strength (ksi)]]/Table_03[[#This Row],[Fe,y]]&lt;2.25,(0.658^(Table_03[[#This Row],[Strength (ksi)]]/Table_03[[#This Row],[Fe,y]])*Table_03[[#This Row],[Strength (ksi)]]),0.877*Table_03[[#This Row],[Fe,y]])</f>
        <v>5.9807176054126669</v>
      </c>
      <c r="T89" s="203">
        <f>Table_03[[#This Row],[Fcr,y]]*Table_03[[#This Row],[Sectional Area (in2)]]</f>
        <v>12.380085443204219</v>
      </c>
      <c r="U89" s="203">
        <f>1.76*Table_03[[#This Row],[ry (in)2]]*SQRT($B$4/Table_03[[#This Row],[Strength (ksi)]])/12</f>
        <v>3.095699578062566</v>
      </c>
      <c r="V8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8.5559803838956565</v>
      </c>
      <c r="W89" s="203">
        <f>Table_03[[#This Row],[Depth h (in)]]-Table_03[[#This Row],[Flange Thickness tf (in)]]</f>
        <v>5.63</v>
      </c>
      <c r="X89" s="203">
        <f>(Table_03[[#This Row],[Static Parameters Moment of Inertia Iy (in4)]]*Table_03[[#This Row],[ho]]^2)/4</f>
        <v>12.59951775</v>
      </c>
      <c r="Y89" s="203">
        <f>SQRT((SQRT(Table_03[[#This Row],[Static Parameters Moment of Inertia Iy (in4)]]*Table_03[[#This Row],[Cw*]])/Table_03[[#This Row],[Static Parameters Elastic Section Modulus Sx (in3)2]]))</f>
        <v>1.0262266691479949</v>
      </c>
      <c r="Z89" s="202">
        <f>(2*Table_03[[#This Row],[Width w (in)]]*Table_03[[#This Row],[Flange Thickness tf (in)]]^3/3)+((Table_03[[#This Row],[Depth h (in)]]-Table_03[[#This Row],[Flange Thickness tf (in)]]*2)*Table_03[[#This Row],[Web Thickness tw (in)]]^3)/3</f>
        <v>1.5149337083333336E-2</v>
      </c>
      <c r="AA89" s="203">
        <f>Table_03[[#This Row],[Width w (in)]]*0.5/Table_03[[#This Row],[Flange Thickness tf (in)]]</f>
        <v>12.203125</v>
      </c>
      <c r="AB89" s="203">
        <f>0.38*SQRT($B$4/Table_03[[#This Row],[Strength (ksi)]])</f>
        <v>9.1516118798821449</v>
      </c>
      <c r="AC89" s="203">
        <f>1*SQRT($B$4/Table_03[[#This Row],[Strength (ksi)]])</f>
        <v>24.083189157584592</v>
      </c>
      <c r="AD89" s="203">
        <f>(PI()^2*$B$4/(12*$B$5/Table_03[[#This Row],[rts]])^2)*SQRT(1+0.078*(Table_03[[#This Row],[J*]]/(Table_03[[#This Row],[Static Parameters Elastic Section Modulus Sx (in3)2]]*Table_03[[#This Row],[ho]])*$B$4/(12*$B$5/Table_03[[#This Row],[rts]])^2))</f>
        <v>41.237934519140524</v>
      </c>
      <c r="AE89" s="203">
        <f>0.69*$B$4/Table_03[[#This Row],[b/t]]^2</f>
        <v>134.37082042950286</v>
      </c>
      <c r="AF89" s="207">
        <f>Table_03[[#This Row],[Strength (ksi)]]*Table_03[[#This Row],[Static Parameters Plastic Section Modulus Zx (in3)]]</f>
        <v>226.37271874999999</v>
      </c>
      <c r="AG89" s="203">
        <f>Table_03[[#This Row],[Mp (k-in)]]-(Table_03[[#This Row],[Mp (k-in)]]-0.7*Table_03[[#This Row],[Strength (ksi)]]*Table_03[[#This Row],[Static Parameters Elastic Section Modulus Sx (in3)2]])*((Table_03[[#This Row],[b/t]]-Table_03[[#This Row],[λpf]])/(Table_03[[#This Row],[λrf]]-Table_03[[#This Row],[λpf]]))</f>
        <v>210.50924094859184</v>
      </c>
      <c r="AH89" s="208">
        <f>0.9*$B$4*Table_03[[#This Row],[kc]]*Table_03[[#This Row],[Static Parameters Elastic Section Modulus Sx (in3)2]]/Table_03[[#This Row],[b/t]]^2</f>
        <v>454.96177677883151</v>
      </c>
      <c r="AI89" s="209" t="str">
        <f>IF(Table_03[[#This Row],[b/t]]&lt;Table_03[[#This Row],[λpf]],"Compact",IF(AND(Table_03[[#This Row],[b/t]]&gt;Table_03[[#This Row],[λpf]],Table_03[[#This Row],[λrf]]&gt;Table_03[[#This Row],[b/t]]),"Non-Compact","Slender"))</f>
        <v>Non-Compact</v>
      </c>
      <c r="AJ89" s="210">
        <f>IF(Table_03[[#This Row],[Controlling LBx]]="Compact",Table_03[[#This Row],[Mp (k-in)]],IF(Table_03[[#This Row],[Controlling LBx]]="Non-Compact",Table_03[[#This Row],[Mnlb,Non-Compact (k-in)]],IF(Table_03[[#This Row],[Controlling LBx]]="Slender",Table_03[[#This Row],[Mnlb,slender (k-in)]],"ERROR")))</f>
        <v>210.50924094859184</v>
      </c>
      <c r="AK89" s="207">
        <f>Table_03[[#This Row],[Mp (k-in)]]-(Table_03[[#This Row],[Mp (k-in)]]-0.7*Table_03[[#This Row],[Strength (ksi)]]*Table_03[[#This Row],[Static Parameters Elastic Section Modulus Sx (in3)2]])*(($B$5-Table_03[[#This Row],[Lp (ft)]])/(Table_03[[#This Row],[Lr]]-Table_03[[#This Row],[Lp (ft)]]))</f>
        <v>169.09265119794554</v>
      </c>
      <c r="AL89" s="211">
        <f>Table_03[[#This Row],[Fcrx]]*Table_03[[#This Row],[Static Parameters Elastic Section Modulus Sx (in3)2]]</f>
        <v>175.26122170634721</v>
      </c>
      <c r="AM89" s="212" t="str">
        <f>IF($B$5&lt;Table_03[[#This Row],[Lp (ft)]],"Yielding Controls",IF(AND($B$5&gt;Table_03[[#This Row],[Lp (ft)]],Table_03[[#This Row],[Lr]]&gt;$B$5),"Mltb,p Controls","Mltb,r Controls"))</f>
        <v>Mltb,p Controls</v>
      </c>
      <c r="AN89" s="213">
        <f>IF(Table_03[[#This Row],[Controlling LTB]]="Yielding Controls",Table_03[[#This Row],[Mp (k-in)]],IF(Table_03[[#This Row],[Controlling LTB]]="Mltb,p Controls",Table_03[[#This Row],[Mnltbp (k-in)]],IF(Table_03[[#This Row],[Controlling LTB]]="Mltb,r Controls",Table_03[[#This Row],[Mnltbr (k-in)]],"ERROR")))</f>
        <v>169.09265119794554</v>
      </c>
      <c r="AO89" s="214">
        <f>MIN(Table_03[[#This Row],[Strength (ksi)]]*Table_03[[#This Row],[Static Parameters Plastic Section Modulus Zy (in3)]],1.6*Table_03[[#This Row],[Strength (ksi)]]*Table_03[[#This Row],[Static Parameters Elastic Section Modulus Sy (in3)3]])</f>
        <v>62.242234374999995</v>
      </c>
      <c r="AP89" s="206">
        <f>MIN(Table_03[[#This Row],[Mny (k-in)]],Table_03[[#This Row],[Mny (k-in)]]-(Table_03[[#This Row],[Mny (k-in)]]-0.7*Table_03[[#This Row],[Static Parameters Elastic Section Modulus Sy (in3)3]]*Table_03[[#This Row],[Strength (ksi)]])*((Table_03[[#This Row],[b/t]]-Table_03[[#This Row],[λpf]])/(Table_03[[#This Row],[λrf]]-Table_03[[#This Row],[λpf]])))</f>
        <v>55.387327731866705</v>
      </c>
      <c r="AQ89" s="211">
        <f>MIN(Table_03[[#This Row],[Mny (k-in)]],Table_03[[#This Row],[Fcry]]*Table_03[[#This Row],[Static Parameters Elastic Section Modulus Sy (in3)3]])</f>
        <v>62.242234374999995</v>
      </c>
      <c r="AR89" s="212" t="str">
        <f>IF(Table_03[[#This Row],[b/t]]&lt;Table_03[[#This Row],[λpf]],"Compact",IF(AND(Table_03[[#This Row],[b/t]]&gt;Table_03[[#This Row],[λpf]],Table_03[[#This Row],[λrf]]&gt;Table_03[[#This Row],[b/t]]),"Non-Compact","Slender"))</f>
        <v>Non-Compact</v>
      </c>
      <c r="AS89" s="213">
        <f>IF(Table_03[[#This Row],[Controlling Lby]]="Compact",Table_03[[#This Row],[Mny (k-in)]],IF(Table_03[[#This Row],[Controlling Lby]]="Non-Compact",Table_03[[#This Row],[Mlby,Non-Compact (k-in)]],IF(Table_03[[#This Row],[Controlling Lby]]="Slender",Table_03[[#This Row],[Mlby,Slender (k-in)]],"ERROR")))</f>
        <v>55.387327731866705</v>
      </c>
      <c r="AT89" s="214">
        <f>MIN(Table_03[[#This Row],[LBx]],Table_03[[#This Row],[LTB]],Table_03[[#This Row],[Mp (k-in)]])</f>
        <v>169.09265119794554</v>
      </c>
      <c r="AU89" s="206">
        <f>Table_03[[#This Row],[Mp (k-in)]]</f>
        <v>226.37271874999999</v>
      </c>
      <c r="AV89" s="206">
        <f>MIN(Table_03[[#This Row],[LBy]],Table_03[[#This Row],[Mny (k-in)]])</f>
        <v>55.387327731866705</v>
      </c>
      <c r="AW89" s="215">
        <f>Table_03[[#This Row],[Mny (k-in)]]</f>
        <v>62.242234374999995</v>
      </c>
      <c r="AX89" s="218">
        <f>SQRT(((Table_03[[#This Row],[Sectional Area (in2)]]-(Table_03[[#This Row],[Flange Thickness tf (in)]]*Table_03[[#This Row],[Width w (in)]]*2+Table_03[[#This Row],[Web Thickness tw (in)]]*((Table_03[[#This Row],[Depth h (in)]]-2*Table_03[[#This Row],[Flange Thickness tf (in)]]))))/4)/(1-PI()/4))</f>
        <v>0.30897814826471648</v>
      </c>
      <c r="AY89" s="165">
        <f>IF(4/SQRT((Table_03[[#This Row],[Depth h (in)]]-Table_03[[#This Row],[Flange Thickness tf (in)]]*2)/Table_03[[#This Row],[Web Thickness tw (in)]])&lt;0.35,0.35,IF(4/SQRT(Table_03[[#This Row],[Depth h (in)]]/Table_03[[#This Row],[Web Thickness tw (in)]])&gt;0.76,0.76,4/SQRT(Table_03[[#This Row],[Depth h (in)]]/Table_03[[#This Row],[Web Thickness tw (in)]])))</f>
        <v>0.61078391827114509</v>
      </c>
      <c r="AZ89" s="218"/>
      <c r="BA89" s="164">
        <v>0.30897814826471648</v>
      </c>
    </row>
    <row r="90" spans="1:60" s="233" customFormat="1" ht="14.4" thickBot="1" x14ac:dyDescent="0.35">
      <c r="A90" s="219" t="s">
        <v>35</v>
      </c>
      <c r="B90" s="220">
        <f>B89-$B$1*2</f>
        <v>5.79</v>
      </c>
      <c r="C90" s="220">
        <f>C89-$B$1*2</f>
        <v>3.9049999999999998</v>
      </c>
      <c r="D90" s="220">
        <f>D89-$B$1*2</f>
        <v>0.13500000000000001</v>
      </c>
      <c r="E90" s="220">
        <f>E89-$B$1*2</f>
        <v>0.16</v>
      </c>
      <c r="F90" s="221">
        <f>4*(Table_03[[#This Row],[Fillet Radius]]^2*(1-PI()/4))+2*Table_03[[#This Row],[Width w (in)]]*Table_03[[#This Row],[Flange Thickness tf (in)]]+Table_03[[#This Row],[Web Thickness tw (in)]]*(Table_03[[#This Row],[Depth h (in)]]-2*Table_03[[#This Row],[Flange Thickness tf (in)]])</f>
        <v>2.0699999999999998</v>
      </c>
      <c r="G90" s="220"/>
      <c r="H90" s="222">
        <f>2*(1/12*C90*E90^3+C90*E90*((B90/2-E90/2)^2))+
1/12*D90*(B90-2*E90)^3+
4*(1/12*AX90^4+
AX90^2*((AX90/(6-3*PI()/2))-AX90/2)^2-
(PI()*AX90^4/16+PI()*AX90^2/4*((AX90/(6-3*PI()/2))-4*AX90/(3*PI()))^2)+
(AX90^2-PI()*AX90^2/4)*((B90/2-E90-(AX90-AX90/(6-3*PI()/2)))^2))</f>
        <v>12.323609634883168</v>
      </c>
      <c r="I90" s="220">
        <f>2*((1/12)*E90*C90^3)+(1/12)*(B90-2*E90)*D90^3+4*((AX90^2-PI()*AX90^2/4)*(D90/2+(AX90-(AX90/(6-3*PI()/2))))^2)</f>
        <v>1.5905805909339368</v>
      </c>
      <c r="J90" s="223">
        <f>F90*((B90/2)-((C90*E90*(E90/2))+(D90*(B90/2-E90)*(E90+(B90/2-E90)/2))+(2*(AX90^2-PI()*AX90^2/4)*(E90+(AX90-AX90/(6-3*PI()/2)))))/(F90/2))</f>
        <v>4.7459317791937199</v>
      </c>
      <c r="K90" s="223">
        <f>(Table_03[[#This Row],[Width w (in)]]^2*Table_03[[#This Row],[Flange Thickness tf (in)]])/2+0.25*Table_03[[#This Row],[Web Thickness tw (in)]]^2*(Table_03[[#This Row],[Depth h (in)]]-2*Table_03[[#This Row],[Flange Thickness tf (in)]])</f>
        <v>1.2448446874999999</v>
      </c>
      <c r="L90" s="221">
        <f>Table_03[[#This Row],[Static Parameters Moment of Inertia Ix (in4)]]/(Table_03[[#This Row],[Depth h (in)]]/2)</f>
        <v>4.2568599775071387</v>
      </c>
      <c r="M90" s="221">
        <f>Table_03[[#This Row],[Static Parameters Moment of Inertia Iy (in4)]]/(Table_03[[#This Row],[Width w (in)]]/2)</f>
        <v>0.81463794670112</v>
      </c>
      <c r="N90" s="224">
        <v>50</v>
      </c>
      <c r="O90" s="221">
        <f>SQRT(Table_03[[#This Row],[Static Parameters Moment of Inertia Ix (in4)]]/Table_03[[#This Row],[Sectional Area (in2)]])</f>
        <v>2.439966107597348</v>
      </c>
      <c r="P90" s="221">
        <f>SQRT(Table_03[[#This Row],[Static Parameters Moment of Inertia Iy (in4)]]/Table_03[[#This Row],[Sectional Area (in2)]])</f>
        <v>0.87658223843575134</v>
      </c>
      <c r="Q90" s="223">
        <f>($B$6*$B$5*12)/Table_03[[#This Row],[ry (in)2]]</f>
        <v>204.82961224540034</v>
      </c>
      <c r="R90" s="223">
        <f>(PI()^2*$B$4)/(Table_03[[#This Row],[KL/ry]]^2)</f>
        <v>6.8220085217804263</v>
      </c>
      <c r="S90" s="223">
        <f>IF(Table_03[[#This Row],[Strength (ksi)]]/Table_03[[#This Row],[Fe,y]]&lt;2.25,(0.658^(Table_03[[#This Row],[Strength (ksi)]]/Table_03[[#This Row],[Fe,y]])*Table_03[[#This Row],[Strength (ksi)]]),0.877*Table_03[[#This Row],[Fe,y]])</f>
        <v>5.9829014736014337</v>
      </c>
      <c r="T90" s="223">
        <f>Table_03[[#This Row],[Fcr,y]]*Table_03[[#This Row],[Sectional Area (in2)]]</f>
        <v>12.384606050354966</v>
      </c>
      <c r="U90" s="223">
        <f>1.76*Table_03[[#This Row],[ry (in)2]]*SQRT($B$4/Table_03[[#This Row],[Strength (ksi)]])/12</f>
        <v>3.0962647261959773</v>
      </c>
      <c r="V90" s="22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8.5492816855760569</v>
      </c>
      <c r="W90" s="223">
        <f>Table_03[[#This Row],[Depth h (in)]]-Table_03[[#This Row],[Flange Thickness tf (in)]]</f>
        <v>5.63</v>
      </c>
      <c r="X90" s="223">
        <f>(Table_03[[#This Row],[Static Parameters Moment of Inertia Iy (in4)]]*Table_03[[#This Row],[ho]]^2)/4</f>
        <v>12.604118483193474</v>
      </c>
      <c r="Y90" s="223">
        <f>SQRT((SQRT(Table_03[[#This Row],[Static Parameters Moment of Inertia Iy (in4)]]*Table_03[[#This Row],[Cw*]])/Table_03[[#This Row],[Static Parameters Elastic Section Modulus Sx (in3)2]]))</f>
        <v>1.0255866438636756</v>
      </c>
      <c r="Z90" s="225">
        <f>(2*Table_03[[#This Row],[Width w (in)]]*Table_03[[#This Row],[Flange Thickness tf (in)]]^3/3)+((Table_03[[#This Row],[Depth h (in)]]-Table_03[[#This Row],[Flange Thickness tf (in)]]*2)*Table_03[[#This Row],[Web Thickness tw (in)]]^3)/3</f>
        <v>1.5149337083333336E-2</v>
      </c>
      <c r="AA90" s="223">
        <f>Table_03[[#This Row],[Width w (in)]]*0.5/Table_03[[#This Row],[Flange Thickness tf (in)]]</f>
        <v>12.203125</v>
      </c>
      <c r="AB90" s="223">
        <f>0.38*SQRT($B$4/Table_03[[#This Row],[Strength (ksi)]])</f>
        <v>9.1516118798821449</v>
      </c>
      <c r="AC90" s="223">
        <f>1*SQRT($B$4/Table_03[[#This Row],[Strength (ksi)]])</f>
        <v>24.083189157584592</v>
      </c>
      <c r="AD90" s="223">
        <f>(PI()^2*$B$4/(12*$B$5/Table_03[[#This Row],[rts]])^2)*SQRT(1+0.078*(Table_03[[#This Row],[J*]]/(Table_03[[#This Row],[Static Parameters Elastic Section Modulus Sx (in3)2]]*Table_03[[#This Row],[ho]])*$B$4/(12*$B$5/Table_03[[#This Row],[rts]])^2))</f>
        <v>41.186500820613972</v>
      </c>
      <c r="AE90" s="223">
        <f>0.69*$B$4/Table_03[[#This Row],[b/t]]^2</f>
        <v>134.37082042950286</v>
      </c>
      <c r="AF90" s="226">
        <f>Table_03[[#This Row],[Strength (ksi)]]*Table_03[[#This Row],[Static Parameters Plastic Section Modulus Zx (in3)]]</f>
        <v>237.29658895968601</v>
      </c>
      <c r="AG90" s="223">
        <f>Table_03[[#This Row],[Mp (k-in)]]-(Table_03[[#This Row],[Mp (k-in)]]-0.7*Table_03[[#This Row],[Strength (ksi)]]*Table_03[[#This Row],[Static Parameters Elastic Section Modulus Sx (in3)2]])*((Table_03[[#This Row],[b/t]]-Table_03[[#This Row],[λpf]])/(Table_03[[#This Row],[λrf]]-Table_03[[#This Row],[λpf]]))</f>
        <v>219.24970703672065</v>
      </c>
      <c r="AH90" s="227">
        <f>0.9*$B$4*Table_03[[#This Row],[kc]]*Table_03[[#This Row],[Static Parameters Elastic Section Modulus Sx (in3)2]]/Table_03[[#This Row],[b/t]]^2</f>
        <v>455.69613620361048</v>
      </c>
      <c r="AI90" s="228" t="str">
        <f>IF(Table_03[[#This Row],[b/t]]&lt;Table_03[[#This Row],[λpf]],"Compact",IF(AND(Table_03[[#This Row],[b/t]]&gt;Table_03[[#This Row],[λpf]],Table_03[[#This Row],[λrf]]&gt;Table_03[[#This Row],[b/t]]),"Non-Compact","Slender"))</f>
        <v>Non-Compact</v>
      </c>
      <c r="AJ90" s="229">
        <f>IF(Table_03[[#This Row],[Controlling LBx]]="Compact",Table_03[[#This Row],[Mp (k-in)]],IF(Table_03[[#This Row],[Controlling LBx]]="Non-Compact",Table_03[[#This Row],[Mnlb,Non-Compact (k-in)]],IF(Table_03[[#This Row],[Controlling LBx]]="Slender",Table_03[[#This Row],[Mnlb,slender (k-in)]],"ERROR")))</f>
        <v>219.24970703672065</v>
      </c>
      <c r="AK90" s="226">
        <f>Table_03[[#This Row],[Mp (k-in)]]-(Table_03[[#This Row],[Mp (k-in)]]-0.7*Table_03[[#This Row],[Strength (ksi)]]*Table_03[[#This Row],[Static Parameters Elastic Section Modulus Sx (in3)2]])*(($B$5-Table_03[[#This Row],[Lp (ft)]])/(Table_03[[#This Row],[Lr]]-Table_03[[#This Row],[Lp (ft)]]))</f>
        <v>172.05500383361675</v>
      </c>
      <c r="AL90" s="227">
        <f>Table_03[[#This Row],[Fcrx]]*Table_03[[#This Row],[Static Parameters Elastic Section Modulus Sx (in3)2]]</f>
        <v>175.32516695683654</v>
      </c>
      <c r="AM90" s="228" t="str">
        <f>IF($B$5&lt;Table_03[[#This Row],[Lp (ft)]],"Yielding Controls",IF(AND($B$5&gt;Table_03[[#This Row],[Lp (ft)]],Table_03[[#This Row],[Lr]]&gt;$B$5),"Mltb,p Controls","Mltb,r Controls"))</f>
        <v>Mltb,p Controls</v>
      </c>
      <c r="AN90" s="229">
        <f>IF(Table_03[[#This Row],[Controlling LTB]]="Yielding Controls",Table_03[[#This Row],[Mp (k-in)]],IF(Table_03[[#This Row],[Controlling LTB]]="Mltb,p Controls",Table_03[[#This Row],[Mnltbp (k-in)]],IF(Table_03[[#This Row],[Controlling LTB]]="Mltb,r Controls",Table_03[[#This Row],[Mnltbr (k-in)]],"ERROR")))</f>
        <v>172.05500383361675</v>
      </c>
      <c r="AO90" s="226">
        <f>MIN(Table_03[[#This Row],[Strength (ksi)]]*Table_03[[#This Row],[Static Parameters Plastic Section Modulus Zy (in3)]],1.6*Table_03[[#This Row],[Strength (ksi)]]*Table_03[[#This Row],[Static Parameters Elastic Section Modulus Sy (in3)3]])</f>
        <v>62.242234374999995</v>
      </c>
      <c r="AP90" s="223">
        <f>MIN(Table_03[[#This Row],[Mny (k-in)]],Table_03[[#This Row],[Mny (k-in)]]-(Table_03[[#This Row],[Mny (k-in)]]-0.7*Table_03[[#This Row],[Static Parameters Elastic Section Modulus Sy (in3)3]]*Table_03[[#This Row],[Strength (ksi)]])*((Table_03[[#This Row],[b/t]]-Table_03[[#This Row],[λpf]])/(Table_03[[#This Row],[λrf]]-Table_03[[#This Row],[λpf]])))</f>
        <v>55.348973902992526</v>
      </c>
      <c r="AQ90" s="227">
        <f>MIN(Table_03[[#This Row],[Mny (k-in)]],Table_03[[#This Row],[Fcry]]*Table_03[[#This Row],[Static Parameters Elastic Section Modulus Sy (in3)3]])</f>
        <v>62.242234374999995</v>
      </c>
      <c r="AR90" s="228" t="str">
        <f>IF(Table_03[[#This Row],[b/t]]&lt;Table_03[[#This Row],[λpf]],"Compact",IF(AND(Table_03[[#This Row],[b/t]]&gt;Table_03[[#This Row],[λpf]],Table_03[[#This Row],[λrf]]&gt;Table_03[[#This Row],[b/t]]),"Non-Compact","Slender"))</f>
        <v>Non-Compact</v>
      </c>
      <c r="AS90" s="229">
        <f>IF(Table_03[[#This Row],[Controlling Lby]]="Compact",Table_03[[#This Row],[Mny (k-in)]],IF(Table_03[[#This Row],[Controlling Lby]]="Non-Compact",Table_03[[#This Row],[Mlby,Non-Compact (k-in)]],IF(Table_03[[#This Row],[Controlling Lby]]="Slender",Table_03[[#This Row],[Mlby,Slender (k-in)]],"ERROR")))</f>
        <v>55.348973902992526</v>
      </c>
      <c r="AT90" s="226">
        <f>MIN(Table_03[[#This Row],[LBx]],Table_03[[#This Row],[LTB]],Table_03[[#This Row],[Mp (k-in)]])</f>
        <v>172.05500383361675</v>
      </c>
      <c r="AU90" s="223">
        <f>Table_03[[#This Row],[Mp (k-in)]]</f>
        <v>237.29658895968601</v>
      </c>
      <c r="AV90" s="223">
        <f>MIN(Table_03[[#This Row],[LBy]],Table_03[[#This Row],[Mny (k-in)]])</f>
        <v>55.348973902992526</v>
      </c>
      <c r="AW90" s="230">
        <f>Table_03[[#This Row],[Mny (k-in)]]</f>
        <v>62.242234374999995</v>
      </c>
      <c r="AX90" s="231">
        <f>AX89+$B$1</f>
        <v>0.30897814826471648</v>
      </c>
      <c r="AY90" s="232">
        <f>IF(4/SQRT((Table_03[[#This Row],[Depth h (in)]]-Table_03[[#This Row],[Flange Thickness tf (in)]]*2)/Table_03[[#This Row],[Web Thickness tw (in)]])&lt;0.35,0.35,IF(4/SQRT(Table_03[[#This Row],[Depth h (in)]]/Table_03[[#This Row],[Web Thickness tw (in)]])&gt;0.76,0.76,4/SQRT(Table_03[[#This Row],[Depth h (in)]]/Table_03[[#This Row],[Web Thickness tw (in)]])))</f>
        <v>0.61078391827114509</v>
      </c>
      <c r="AZ90" s="231"/>
      <c r="BF90" s="234">
        <f>Table_03[[#This Row],[Strength (ksi)]]*Table_03[[#This Row],[Static Parameters Plastic Section Modulus Zx (in3)]]</f>
        <v>237.29658895968601</v>
      </c>
      <c r="BG90" s="234">
        <f>IF(Table_03[[#This Row],[b/t]]&lt;Table_03[[#This Row],[λpf]],"N/A",IF(Table_03[[#This Row],[λrf]]&lt;Table_03[[#This Row],[b/t]],"SLENDER",Table_03[[#This Row],[Mp (k-in)]]-(Table_03[[#This Row],[Mp (k-in)]]-0.7*Table_03[[#This Row],[Strength (ksi)]]*Table_03[[#This Row],[Static Parameters Elastic Section Modulus Sx (in3)2]])*((Table_03[[#This Row],[b/t]]-Table_03[[#This Row],[λpf]])/(Table_03[[#This Row],[λrf]]-Table_03[[#This Row],[λpf]]))))</f>
        <v>219.24970703672065</v>
      </c>
      <c r="BH90" s="235">
        <f>IF($B$5&lt;Table_03[[#This Row],[Lp (ft)]],"Mp",IF($B$5&gt;Table_03[[#This Row],[Lr]],"Plastic",Table_03[[#This Row],[Mp (k-in)]]-(Table_03[[#This Row],[Mp (k-in)]]-0.7*Table_03[[#This Row],[Strength (ksi)]]*Table_03[[#This Row],[Static Parameters Elastic Section Modulus Sx (in3)2]])*(($B$5-Table_03[[#This Row],[Lp (ft)]])/(Table_03[[#This Row],[b/t]]-Table_03[[#This Row],[Lp (ft)]]))))</f>
        <v>198.23115263442998</v>
      </c>
    </row>
    <row r="91" spans="1:60" ht="14.4" thickBot="1" x14ac:dyDescent="0.35">
      <c r="A91" s="188" t="s">
        <v>188</v>
      </c>
      <c r="B91" s="189">
        <f>B89-$B$3*2</f>
        <v>5.71</v>
      </c>
      <c r="C91" s="189">
        <f>C89-$B$3*2</f>
        <v>3.8249999999999997</v>
      </c>
      <c r="D91" s="189">
        <f>D89-$B$3*2</f>
        <v>5.5000000000000007E-2</v>
      </c>
      <c r="E91" s="189">
        <f>E89-$B$3*2</f>
        <v>0.08</v>
      </c>
      <c r="F91" s="190">
        <f>4*(Table_03[[#This Row],[Fillet Radius]]^2*(1-PI()/4))+2*Table_03[[#This Row],[Width w (in)]]*Table_03[[#This Row],[Flange Thickness tf (in)]]+Table_03[[#This Row],[Web Thickness tw (in)]]*(Table_03[[#This Row],[Depth h (in)]]-2*Table_03[[#This Row],[Flange Thickness tf (in)]])</f>
        <v>1.0217917807423085</v>
      </c>
      <c r="G91" s="189"/>
      <c r="H91" s="203">
        <f>2*(1/12*C91*E91^3+C91*E91*((B91/2-E91/2)^2))+
1/12*D91*(B91-2*E91)^3+
4*(1/12*AX91^4+
AX91^2*((AX91/(6-3*PI()/2))-AX91/2)^2-
(PI()*AX91^4/16+PI()*AX91^2/4*((AX91/(6-3*PI()/2))-4*AX91/(3*PI()))^2)+
(AX91^2-PI()*AX91^2/4)*((B91/2-E91-(AX91-AX91/(6-3*PI()/2)))^2))</f>
        <v>6.3859901014648806</v>
      </c>
      <c r="I91" s="180">
        <f>2*((1/12)*E91*C91^3)+(1/12)*(B91-2*E91)*D91^3+4*((AX91^2-PI()*AX91^2/4)*(D91/2+(AX91-(AX91/(6-3*PI()/2))))^2)</f>
        <v>0.74740130861728671</v>
      </c>
      <c r="J91" s="181">
        <f>F91*((B91/2)-((C91*E91*(E91/2))+(D91*(B91/2-E91)*(E91+(B91/2-E91)/2))+(2*(AX91^2-PI()*AX91^2/4)*(E91+(AX91-AX91/(6-3*PI()/2)))))/(F91/2))</f>
        <v>2.428268729373694</v>
      </c>
      <c r="K91" s="190">
        <f>(Table_03[[#This Row],[Width w (in)]]^2*Table_03[[#This Row],[Flange Thickness tf (in)]])/2+0.25*Table_03[[#This Row],[Web Thickness tw (in)]]^2*(Table_03[[#This Row],[Depth h (in)]]-2*Table_03[[#This Row],[Flange Thickness tf (in)]])</f>
        <v>0.58942218749999997</v>
      </c>
      <c r="L91" s="190">
        <f>Table_03[[#This Row],[Static Parameters Moment of Inertia Ix (in4)]]/(Table_03[[#This Row],[Depth h (in)]]/2)</f>
        <v>2.2367741160997832</v>
      </c>
      <c r="M91" s="190">
        <f>Table_03[[#This Row],[Static Parameters Moment of Inertia Iy (in4)]]/(Table_03[[#This Row],[Width w (in)]]/2)</f>
        <v>0.39079806986524795</v>
      </c>
      <c r="N91" s="191">
        <v>50</v>
      </c>
      <c r="O91" s="169">
        <f>SQRT(Table_03[[#This Row],[Static Parameters Moment of Inertia Ix (in4)]]/Table_03[[#This Row],[Sectional Area (in2)]])</f>
        <v>2.4999591834890884</v>
      </c>
      <c r="P91" s="190">
        <f>SQRT(Table_03[[#This Row],[Static Parameters Moment of Inertia Iy (in4)]]/Table_03[[#This Row],[Sectional Area (in2)]])</f>
        <v>0.85525520217136763</v>
      </c>
      <c r="Q91" s="190">
        <f>($B$6*$B$5*12)/Table_03[[#This Row],[ry (in)2]]</f>
        <v>209.93733746856947</v>
      </c>
      <c r="R91" s="190">
        <f>(PI()^2*$B$4)/(Table_03[[#This Row],[KL/ry]]^2)</f>
        <v>6.4940910505546157</v>
      </c>
      <c r="S91" s="190">
        <f>IF(Table_03[[#This Row],[Strength (ksi)]]/Table_03[[#This Row],[Fe,y]]&lt;2.25,(0.658^(Table_03[[#This Row],[Strength (ksi)]]/Table_03[[#This Row],[Fe,y]])*Table_03[[#This Row],[Strength (ksi)]]),0.877*Table_03[[#This Row],[Fe,y]])</f>
        <v>5.695317851336398</v>
      </c>
      <c r="T91" s="190">
        <f>Table_03[[#This Row],[Fcr,y]]*Table_03[[#This Row],[Sectional Area (in2)]]</f>
        <v>5.8194289692104766</v>
      </c>
      <c r="U91" s="190">
        <f>1.76*Table_03[[#This Row],[ry (in)2]]*SQRT($B$4/Table_03[[#This Row],[Strength (ksi)]])/12</f>
        <v>3.0209333457455236</v>
      </c>
      <c r="V9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7.4657505506595099</v>
      </c>
      <c r="W91" s="190">
        <f>Table_03[[#This Row],[Depth h (in)]]-Table_03[[#This Row],[Flange Thickness tf (in)]]</f>
        <v>5.63</v>
      </c>
      <c r="X91" s="190">
        <f>(Table_03[[#This Row],[Static Parameters Moment of Inertia Iy (in4)]]*Table_03[[#This Row],[ho]]^2)/4</f>
        <v>5.9225761347778185</v>
      </c>
      <c r="Y91" s="190">
        <f>SQRT((SQRT(Table_03[[#This Row],[Static Parameters Moment of Inertia Iy (in4)]]*Table_03[[#This Row],[Cw*]])/Table_03[[#This Row],[Static Parameters Elastic Section Modulus Sx (in3)2]]))</f>
        <v>0.96985109915163259</v>
      </c>
      <c r="Z91" s="236">
        <f>(2*Table_03[[#This Row],[Width w (in)]]*Table_03[[#This Row],[Flange Thickness tf (in)]]^3/3)+((Table_03[[#This Row],[Depth h (in)]]-Table_03[[#This Row],[Flange Thickness tf (in)]]*2)*Table_03[[#This Row],[Web Thickness tw (in)]]^3)/3</f>
        <v>1.6133937500000003E-3</v>
      </c>
      <c r="AA91" s="190">
        <f>Table_03[[#This Row],[Width w (in)]]*0.5/Table_03[[#This Row],[Flange Thickness tf (in)]]</f>
        <v>23.906249999999996</v>
      </c>
      <c r="AB91" s="190">
        <f>0.38*SQRT($B$4/Table_03[[#This Row],[Strength (ksi)]])</f>
        <v>9.1516118798821449</v>
      </c>
      <c r="AC91" s="190">
        <f>1*SQRT($B$4/Table_03[[#This Row],[Strength (ksi)]])</f>
        <v>24.083189157584592</v>
      </c>
      <c r="AD91" s="190">
        <f>(PI()^2*$B$4/(12*$B$5/Table_03[[#This Row],[rts]])^2)*SQRT(1+0.078*(Table_03[[#This Row],[J*]]/(Table_03[[#This Row],[Static Parameters Elastic Section Modulus Sx (in3)2]]*Table_03[[#This Row],[ho]])*$B$4/(12*$B$5/Table_03[[#This Row],[rts]])^2))</f>
        <v>36.828474970001636</v>
      </c>
      <c r="AE91" s="190">
        <f>0.69*$B$4/Table_03[[#This Row],[b/t]]^2</f>
        <v>35.012584903242349</v>
      </c>
      <c r="AF91" s="192">
        <f>Table_03[[#This Row],[Strength (ksi)]]*Table_03[[#This Row],[Static Parameters Plastic Section Modulus Zx (in3)]]</f>
        <v>121.41343646868469</v>
      </c>
      <c r="AG91" s="190">
        <f>Table_03[[#This Row],[Mp (k-in)]]-(Table_03[[#This Row],[Mp (k-in)]]-0.7*Table_03[[#This Row],[Strength (ksi)]]*Table_03[[#This Row],[Static Parameters Elastic Section Modulus Sx (in3)2]])*((Table_03[[#This Row],[b/t]]-Table_03[[#This Row],[λpf]])/(Table_03[[#This Row],[λrf]]-Table_03[[#This Row],[λpf]]))</f>
        <v>78.798141125230131</v>
      </c>
      <c r="AH91" s="193">
        <f>0.9*$B$4*Table_03[[#This Row],[kc]]*Table_03[[#This Row],[Static Parameters Elastic Section Modulus Sx (in3)2]]/Table_03[[#This Row],[b/t]]^2</f>
        <v>40.101720347045394</v>
      </c>
      <c r="AI91" s="194" t="str">
        <f>IF(Table_03[[#This Row],[b/t]]&lt;Table_03[[#This Row],[λpf]],"Compact",IF(AND(Table_03[[#This Row],[b/t]]&gt;Table_03[[#This Row],[λpf]],Table_03[[#This Row],[λrf]]&gt;Table_03[[#This Row],[b/t]]),"Non-Compact","Slender"))</f>
        <v>Non-Compact</v>
      </c>
      <c r="AJ91" s="195">
        <f>IF(Table_03[[#This Row],[Controlling LBx]]="Compact",Table_03[[#This Row],[Mp (k-in)]],IF(Table_03[[#This Row],[Controlling LBx]]="Non-Compact",Table_03[[#This Row],[Mnlb,Non-Compact (k-in)]],IF(Table_03[[#This Row],[Controlling LBx]]="Slender",Table_03[[#This Row],[Mnlb,slender (k-in)]],"ERROR")))</f>
        <v>78.798141125230131</v>
      </c>
      <c r="AK91" s="192">
        <f>Table_03[[#This Row],[Mp (k-in)]]-(Table_03[[#This Row],[Mp (k-in)]]-0.7*Table_03[[#This Row],[Strength (ksi)]]*Table_03[[#This Row],[Static Parameters Elastic Section Modulus Sx (in3)2]])*(($B$5-Table_03[[#This Row],[Lp (ft)]])/(Table_03[[#This Row],[Lr]]-Table_03[[#This Row],[Lp (ft)]]))</f>
        <v>81.593264878853134</v>
      </c>
      <c r="AL91" s="196">
        <f>Table_03[[#This Row],[Fcrx]]*Table_03[[#This Row],[Static Parameters Elastic Section Modulus Sx (in3)2]]</f>
        <v>82.376979548328393</v>
      </c>
      <c r="AM91" s="197" t="str">
        <f>IF($B$5&lt;Table_03[[#This Row],[Lp (ft)]],"Yielding Controls",IF(AND($B$5&gt;Table_03[[#This Row],[Lp (ft)]],Table_03[[#This Row],[Lr]]&gt;$B$5),"Mltb,p Controls","Mltb,r Controls"))</f>
        <v>Mltb,p Controls</v>
      </c>
      <c r="AN91" s="198">
        <f>IF(Table_03[[#This Row],[Controlling LTB]]="Yielding Controls",Table_03[[#This Row],[Mp (k-in)]],IF(Table_03[[#This Row],[Controlling LTB]]="Mltb,p Controls",Table_03[[#This Row],[Mnltbp (k-in)]],IF(Table_03[[#This Row],[Controlling LTB]]="Mltb,r Controls",Table_03[[#This Row],[Mnltbr (k-in)]],"ERROR")))</f>
        <v>81.593264878853134</v>
      </c>
      <c r="AO91" s="199">
        <f>MIN(Table_03[[#This Row],[Strength (ksi)]]*Table_03[[#This Row],[Static Parameters Plastic Section Modulus Zy (in3)]],1.6*Table_03[[#This Row],[Strength (ksi)]]*Table_03[[#This Row],[Static Parameters Elastic Section Modulus Sy (in3)3]])</f>
        <v>29.471109374999997</v>
      </c>
      <c r="AP91" s="169">
        <f>MIN(Table_03[[#This Row],[Mny (k-in)]],Table_03[[#This Row],[Mny (k-in)]]-(Table_03[[#This Row],[Mny (k-in)]]-0.7*Table_03[[#This Row],[Static Parameters Elastic Section Modulus Sy (in3)3]]*Table_03[[#This Row],[Strength (ksi)]])*((Table_03[[#This Row],[b/t]]-Table_03[[#This Row],[λpf]])/(Table_03[[#This Row],[λrf]]-Table_03[[#This Row],[λpf]])))</f>
        <v>13.865081556831418</v>
      </c>
      <c r="AQ91" s="196">
        <f>MIN(Table_03[[#This Row],[Mny (k-in)]],Table_03[[#This Row],[Fcry]]*Table_03[[#This Row],[Static Parameters Elastic Section Modulus Sy (in3)3]])</f>
        <v>13.682850601180229</v>
      </c>
      <c r="AR91" s="197" t="str">
        <f>IF(Table_03[[#This Row],[b/t]]&lt;Table_03[[#This Row],[λpf]],"Compact",IF(AND(Table_03[[#This Row],[b/t]]&gt;Table_03[[#This Row],[λpf]],Table_03[[#This Row],[λrf]]&gt;Table_03[[#This Row],[b/t]]),"Non-Compact","Slender"))</f>
        <v>Non-Compact</v>
      </c>
      <c r="AS91" s="198">
        <f>IF(Table_03[[#This Row],[Controlling Lby]]="Compact",Table_03[[#This Row],[Mny (k-in)]],IF(Table_03[[#This Row],[Controlling Lby]]="Non-Compact",Table_03[[#This Row],[Mlby,Non-Compact (k-in)]],IF(Table_03[[#This Row],[Controlling Lby]]="Slender",Table_03[[#This Row],[Mlby,Slender (k-in)]],"ERROR")))</f>
        <v>13.865081556831418</v>
      </c>
      <c r="AT91" s="199">
        <f>MIN(Table_03[[#This Row],[LBx]],Table_03[[#This Row],[LTB]],Table_03[[#This Row],[Mp (k-in)]])</f>
        <v>78.798141125230131</v>
      </c>
      <c r="AU91" s="169">
        <f>Table_03[[#This Row],[Mp (k-in)]]</f>
        <v>121.41343646868469</v>
      </c>
      <c r="AV91" s="169">
        <f>MIN(Table_03[[#This Row],[LBy]],Table_03[[#This Row],[Mny (k-in)]])</f>
        <v>13.865081556831418</v>
      </c>
      <c r="AW91" s="200">
        <f>Table_03[[#This Row],[Mny (k-in)]]</f>
        <v>29.471109374999997</v>
      </c>
      <c r="AX91" s="165">
        <f>AX89+$B$3</f>
        <v>0.34897814826471646</v>
      </c>
      <c r="AY91" s="165">
        <f>IF(4/SQRT((Table_03[[#This Row],[Depth h (in)]]-Table_03[[#This Row],[Flange Thickness tf (in)]]*2)/Table_03[[#This Row],[Web Thickness tw (in)]])&lt;0.35,0.35,IF(4/SQRT(Table_03[[#This Row],[Depth h (in)]]/Table_03[[#This Row],[Web Thickness tw (in)]])&gt;0.76,0.76,4/SQRT(Table_03[[#This Row],[Depth h (in)]]/Table_03[[#This Row],[Web Thickness tw (in)]])))</f>
        <v>0.39257558086312189</v>
      </c>
      <c r="AZ91" s="165"/>
      <c r="BF91" s="164">
        <f>BF90/12</f>
        <v>19.774715746640499</v>
      </c>
      <c r="BG91" s="164">
        <f>BG90/12</f>
        <v>18.270808919726722</v>
      </c>
      <c r="BH91" s="164">
        <f>BH90/12</f>
        <v>16.519262719535831</v>
      </c>
    </row>
    <row r="92" spans="1:60" ht="14.4" thickBot="1" x14ac:dyDescent="0.35">
      <c r="A92" s="201" t="s">
        <v>189</v>
      </c>
      <c r="B92" s="202">
        <v>5.83</v>
      </c>
      <c r="C92" s="202">
        <v>3.94</v>
      </c>
      <c r="D92" s="202">
        <v>0.17</v>
      </c>
      <c r="E92" s="202">
        <v>0.19500000000000001</v>
      </c>
      <c r="F92" s="203">
        <v>2.52</v>
      </c>
      <c r="G92" s="204">
        <v>8.5</v>
      </c>
      <c r="H92" s="203">
        <v>14.9</v>
      </c>
      <c r="I92" s="203">
        <v>1.99</v>
      </c>
      <c r="J92" s="203">
        <f>Table_03[[#This Row],[Width w (in)]]*Table_03[[#This Row],[Flange Thickness tf (in)]]*(Table_03[[#This Row],[Depth h (in)]]-Table_03[[#This Row],[Flange Thickness tf (in)]])+0.25*Table_03[[#This Row],[Web Thickness tw (in)]]*(Table_03[[#This Row],[Depth h (in)]]-2*Table_03[[#This Row],[Flange Thickness tf (in)]])^2</f>
        <v>5.5870984999999997</v>
      </c>
      <c r="K92" s="203">
        <f>(Table_03[[#This Row],[Width w (in)]]^2*Table_03[[#This Row],[Flange Thickness tf (in)]])/2+0.25*Table_03[[#This Row],[Web Thickness tw (in)]]^2*(Table_03[[#This Row],[Depth h (in)]]-2*Table_03[[#This Row],[Flange Thickness tf (in)]])</f>
        <v>1.5528550000000001</v>
      </c>
      <c r="L92" s="203">
        <v>5.0999999999999996</v>
      </c>
      <c r="M92" s="203">
        <v>1.01</v>
      </c>
      <c r="N92" s="205">
        <v>50</v>
      </c>
      <c r="O92" s="206">
        <f>SQRT(Table_03[[#This Row],[Static Parameters Moment of Inertia Ix (in4)]]/Table_03[[#This Row],[Sectional Area (in2)]])</f>
        <v>2.4316040822260545</v>
      </c>
      <c r="P92" s="203">
        <f>SQRT(Table_03[[#This Row],[Static Parameters Moment of Inertia Iy (in4)]]/Table_03[[#This Row],[Sectional Area (in2)]])</f>
        <v>0.88864083840578678</v>
      </c>
      <c r="Q92" s="203">
        <f>($B$6*$B$5*12)/Table_03[[#This Row],[ry (in)2]]</f>
        <v>202.05013346236822</v>
      </c>
      <c r="R92" s="203">
        <f>(PI()^2*$B$4)/(Table_03[[#This Row],[KL/ry]]^2)</f>
        <v>7.0109918133404676</v>
      </c>
      <c r="S92" s="203">
        <f>IF(Table_03[[#This Row],[Strength (ksi)]]/Table_03[[#This Row],[Fe,y]]&lt;2.25,(0.658^(Table_03[[#This Row],[Strength (ksi)]]/Table_03[[#This Row],[Fe,y]])*Table_03[[#This Row],[Strength (ksi)]]),0.877*Table_03[[#This Row],[Fe,y]])</f>
        <v>6.1486398202995902</v>
      </c>
      <c r="T92" s="203">
        <f>Table_03[[#This Row],[Fcr,y]]*Table_03[[#This Row],[Sectional Area (in2)]]</f>
        <v>15.494572347154968</v>
      </c>
      <c r="U92" s="203">
        <f>1.76*Table_03[[#This Row],[ry (in)2]]*SQRT($B$4/Table_03[[#This Row],[Strength (ksi)]])/12</f>
        <v>3.1388581259905646</v>
      </c>
      <c r="V9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9.233101773587995</v>
      </c>
      <c r="W92" s="203">
        <f>Table_03[[#This Row],[Depth h (in)]]-Table_03[[#This Row],[Flange Thickness tf (in)]]</f>
        <v>5.6349999999999998</v>
      </c>
      <c r="X92" s="203">
        <f>(Table_03[[#This Row],[Static Parameters Moment of Inertia Iy (in4)]]*Table_03[[#This Row],[ho]]^2)/4</f>
        <v>15.797229437499999</v>
      </c>
      <c r="Y92" s="203">
        <f>SQRT((SQRT(Table_03[[#This Row],[Static Parameters Moment of Inertia Iy (in4)]]*Table_03[[#This Row],[Cw*]])/Table_03[[#This Row],[Static Parameters Elastic Section Modulus Sx (in3)2]]))</f>
        <v>1.0485120175660325</v>
      </c>
      <c r="Z92" s="202">
        <f>(2*Table_03[[#This Row],[Width w (in)]]*Table_03[[#This Row],[Flange Thickness tf (in)]]^3/3)+((Table_03[[#This Row],[Depth h (in)]]-Table_03[[#This Row],[Flange Thickness tf (in)]]*2)*Table_03[[#This Row],[Web Thickness tw (in)]]^3)/3</f>
        <v>2.838531166666667E-2</v>
      </c>
      <c r="AA92" s="203">
        <f>Table_03[[#This Row],[Width w (in)]]*0.5/Table_03[[#This Row],[Flange Thickness tf (in)]]</f>
        <v>10.102564102564102</v>
      </c>
      <c r="AB92" s="203">
        <f>0.38*SQRT($B$4/Table_03[[#This Row],[Strength (ksi)]])</f>
        <v>9.1516118798821449</v>
      </c>
      <c r="AC92" s="203">
        <f>1*SQRT($B$4/Table_03[[#This Row],[Strength (ksi)]])</f>
        <v>24.083189157584592</v>
      </c>
      <c r="AD92" s="203">
        <f>(PI()^2*$B$4/(12*$B$5/Table_03[[#This Row],[rts]])^2)*SQRT(1+0.078*(Table_03[[#This Row],[J*]]/(Table_03[[#This Row],[Static Parameters Elastic Section Modulus Sx (in3)2]]*Table_03[[#This Row],[ho]])*$B$4/(12*$B$5/Table_03[[#This Row],[rts]])^2))</f>
        <v>43.051202603807198</v>
      </c>
      <c r="AE92" s="203">
        <f>0.69*$B$4/Table_03[[#This Row],[b/t]]^2</f>
        <v>196.0576799196063</v>
      </c>
      <c r="AF92" s="207">
        <f>Table_03[[#This Row],[Strength (ksi)]]*Table_03[[#This Row],[Static Parameters Plastic Section Modulus Zx (in3)]]</f>
        <v>279.35492499999998</v>
      </c>
      <c r="AG92" s="203">
        <f>Table_03[[#This Row],[Mp (k-in)]]-(Table_03[[#This Row],[Mp (k-in)]]-0.7*Table_03[[#This Row],[Strength (ksi)]]*Table_03[[#This Row],[Static Parameters Elastic Section Modulus Sx (in3)2]])*((Table_03[[#This Row],[b/t]]-Table_03[[#This Row],[λpf]])/(Table_03[[#This Row],[λrf]]-Table_03[[#This Row],[λpf]]))</f>
        <v>272.93174456075775</v>
      </c>
      <c r="AH92" s="208">
        <f>0.9*$B$4*Table_03[[#This Row],[kc]]*Table_03[[#This Row],[Static Parameters Elastic Section Modulus Sx (in3)2]]/Table_03[[#This Row],[b/t]]^2</f>
        <v>890.83573185734281</v>
      </c>
      <c r="AI92" s="209" t="str">
        <f>IF(Table_03[[#This Row],[b/t]]&lt;Table_03[[#This Row],[λpf]],"Compact",IF(AND(Table_03[[#This Row],[b/t]]&gt;Table_03[[#This Row],[λpf]],Table_03[[#This Row],[λrf]]&gt;Table_03[[#This Row],[b/t]]),"Non-Compact","Slender"))</f>
        <v>Non-Compact</v>
      </c>
      <c r="AJ92" s="210">
        <f>IF(Table_03[[#This Row],[Controlling LBx]]="Compact",Table_03[[#This Row],[Mp (k-in)]],IF(Table_03[[#This Row],[Controlling LBx]]="Non-Compact",Table_03[[#This Row],[Mnlb,Non-Compact (k-in)]],IF(Table_03[[#This Row],[Controlling LBx]]="Slender",Table_03[[#This Row],[Mnlb,slender (k-in)]],"ERROR")))</f>
        <v>272.93174456075775</v>
      </c>
      <c r="AK92" s="207">
        <f>Table_03[[#This Row],[Mp (k-in)]]-(Table_03[[#This Row],[Mp (k-in)]]-0.7*Table_03[[#This Row],[Strength (ksi)]]*Table_03[[#This Row],[Static Parameters Elastic Section Modulus Sx (in3)2]])*(($B$5-Table_03[[#This Row],[Lp (ft)]])/(Table_03[[#This Row],[Lr]]-Table_03[[#This Row],[Lp (ft)]]))</f>
        <v>213.38742140321278</v>
      </c>
      <c r="AL92" s="211">
        <f>Table_03[[#This Row],[Fcrx]]*Table_03[[#This Row],[Static Parameters Elastic Section Modulus Sx (in3)2]]</f>
        <v>219.56113327941671</v>
      </c>
      <c r="AM92" s="212" t="str">
        <f>IF($B$5&lt;Table_03[[#This Row],[Lp (ft)]],"Yielding Controls",IF(AND($B$5&gt;Table_03[[#This Row],[Lp (ft)]],Table_03[[#This Row],[Lr]]&gt;$B$5),"Mltb,p Controls","Mltb,r Controls"))</f>
        <v>Mltb,p Controls</v>
      </c>
      <c r="AN92" s="213">
        <f>IF(Table_03[[#This Row],[Controlling LTB]]="Yielding Controls",Table_03[[#This Row],[Mp (k-in)]],IF(Table_03[[#This Row],[Controlling LTB]]="Mltb,p Controls",Table_03[[#This Row],[Mnltbp (k-in)]],IF(Table_03[[#This Row],[Controlling LTB]]="Mltb,r Controls",Table_03[[#This Row],[Mnltbr (k-in)]],"ERROR")))</f>
        <v>213.38742140321278</v>
      </c>
      <c r="AO92" s="214">
        <f>MIN(Table_03[[#This Row],[Strength (ksi)]]*Table_03[[#This Row],[Static Parameters Plastic Section Modulus Zy (in3)]],1.6*Table_03[[#This Row],[Strength (ksi)]]*Table_03[[#This Row],[Static Parameters Elastic Section Modulus Sy (in3)3]])</f>
        <v>77.642750000000007</v>
      </c>
      <c r="AP92" s="206">
        <f>MIN(Table_03[[#This Row],[Mny (k-in)]],Table_03[[#This Row],[Mny (k-in)]]-(Table_03[[#This Row],[Mny (k-in)]]-0.7*Table_03[[#This Row],[Static Parameters Elastic Section Modulus Sy (in3)3]]*Table_03[[#This Row],[Strength (ksi)]])*((Table_03[[#This Row],[b/t]]-Table_03[[#This Row],[λpf]])/(Table_03[[#This Row],[λrf]]-Table_03[[#This Row],[λpf]])))</f>
        <v>74.949237863416073</v>
      </c>
      <c r="AQ92" s="211">
        <f>MIN(Table_03[[#This Row],[Mny (k-in)]],Table_03[[#This Row],[Fcry]]*Table_03[[#This Row],[Static Parameters Elastic Section Modulus Sy (in3)3]])</f>
        <v>77.642750000000007</v>
      </c>
      <c r="AR92" s="212" t="str">
        <f>IF(Table_03[[#This Row],[b/t]]&lt;Table_03[[#This Row],[λpf]],"Compact",IF(AND(Table_03[[#This Row],[b/t]]&gt;Table_03[[#This Row],[λpf]],Table_03[[#This Row],[λrf]]&gt;Table_03[[#This Row],[b/t]]),"Non-Compact","Slender"))</f>
        <v>Non-Compact</v>
      </c>
      <c r="AS92" s="213">
        <f>IF(Table_03[[#This Row],[Controlling Lby]]="Compact",Table_03[[#This Row],[Mny (k-in)]],IF(Table_03[[#This Row],[Controlling Lby]]="Non-Compact",Table_03[[#This Row],[Mlby,Non-Compact (k-in)]],IF(Table_03[[#This Row],[Controlling Lby]]="Slender",Table_03[[#This Row],[Mlby,Slender (k-in)]],"ERROR")))</f>
        <v>74.949237863416073</v>
      </c>
      <c r="AT92" s="214">
        <f>MIN(Table_03[[#This Row],[LBx]],Table_03[[#This Row],[LTB]],Table_03[[#This Row],[Mp (k-in)]])</f>
        <v>213.38742140321278</v>
      </c>
      <c r="AU92" s="206">
        <f>Table_03[[#This Row],[Mp (k-in)]]</f>
        <v>279.35492499999998</v>
      </c>
      <c r="AV92" s="206">
        <f>MIN(Table_03[[#This Row],[LBy]],Table_03[[#This Row],[Mny (k-in)]])</f>
        <v>74.949237863416073</v>
      </c>
      <c r="AW92" s="215">
        <f>Table_03[[#This Row],[Mny (k-in)]]</f>
        <v>77.642750000000007</v>
      </c>
      <c r="AX92" s="165">
        <f>SQRT(((Table_03[[#This Row],[Sectional Area (in2)]]-(Table_03[[#This Row],[Flange Thickness tf (in)]]*Table_03[[#This Row],[Width w (in)]]*2+Table_03[[#This Row],[Web Thickness tw (in)]]*((Table_03[[#This Row],[Depth h (in)]]-2*Table_03[[#This Row],[Flange Thickness tf (in)]]))))/4)/(1-PI()/4))</f>
        <v>0.2612775500625113</v>
      </c>
      <c r="AY92" s="165">
        <f>IF(4/SQRT((Table_03[[#This Row],[Depth h (in)]]-Table_03[[#This Row],[Flange Thickness tf (in)]]*2)/Table_03[[#This Row],[Web Thickness tw (in)]])&lt;0.35,0.35,IF(4/SQRT(Table_03[[#This Row],[Depth h (in)]]/Table_03[[#This Row],[Web Thickness tw (in)]])&gt;0.76,0.76,4/SQRT(Table_03[[#This Row],[Depth h (in)]]/Table_03[[#This Row],[Web Thickness tw (in)]])))</f>
        <v>0.68304634953194754</v>
      </c>
      <c r="AZ92" s="165"/>
    </row>
    <row r="93" spans="1:60" ht="14.4" thickBot="1" x14ac:dyDescent="0.35">
      <c r="A93" s="179" t="s">
        <v>190</v>
      </c>
      <c r="B93" s="180">
        <f>B92-$B$1*2</f>
        <v>5.83</v>
      </c>
      <c r="C93" s="180">
        <f>C92-$B$1*2</f>
        <v>3.94</v>
      </c>
      <c r="D93" s="180">
        <f>D92-$B$1*2</f>
        <v>0.17</v>
      </c>
      <c r="E93" s="180">
        <f>E92-$B$1*2</f>
        <v>0.19500000000000001</v>
      </c>
      <c r="F93" s="181">
        <f>4*(Table_03[[#This Row],[Fillet Radius]]^2*(1-PI()/4))+2*Table_03[[#This Row],[Width w (in)]]*Table_03[[#This Row],[Flange Thickness tf (in)]]+Table_03[[#This Row],[Web Thickness tw (in)]]*(Table_03[[#This Row],[Depth h (in)]]-2*Table_03[[#This Row],[Flange Thickness tf (in)]])</f>
        <v>2.52</v>
      </c>
      <c r="G93" s="180"/>
      <c r="H93" s="203">
        <f>2*(1/12*C93*E93^3+C93*E93*((B93/2-E93/2)^2))+
1/12*D93*(B93-2*E93)^3+
4*(1/12*AX93^4+
AX93^2*((AX93/(6-3*PI()/2))-AX93/2)^2-
(PI()*AX93^4/16+PI()*AX93^2/4*((AX93/(6-3*PI()/2))-4*AX93/(3*PI()))^2)+
(AX93^2-PI()*AX93^2/4)*((B93/2-E93-(AX93-AX93/(6-3*PI()/2)))^2))</f>
        <v>14.896195353184302</v>
      </c>
      <c r="I93" s="180">
        <f>2*((1/12)*E93*C93^3)+(1/12)*(B93-2*E93)*D93^3+4*((AX93^2-PI()*AX93^2/4)*(D93/2+(AX93-(AX93/(6-3*PI()/2))))^2)</f>
        <v>1.991228576387015</v>
      </c>
      <c r="J93" s="181">
        <f>F93*((B93/2)-((C93*E93*(E93/2))+(D93*(B93/2-E93)*(E93+(B93/2-E93)/2))+(2*(AX93^2-PI()*AX93^2/4)*(E93+(AX93-AX93/(6-3*PI()/2)))))/(F93/2))</f>
        <v>5.743070543767975</v>
      </c>
      <c r="K93" s="181">
        <f>(Table_03[[#This Row],[Width w (in)]]^2*Table_03[[#This Row],[Flange Thickness tf (in)]])/2+0.25*Table_03[[#This Row],[Web Thickness tw (in)]]^2*(Table_03[[#This Row],[Depth h (in)]]-2*Table_03[[#This Row],[Flange Thickness tf (in)]])</f>
        <v>1.5528550000000001</v>
      </c>
      <c r="L93" s="181">
        <f>Table_03[[#This Row],[Static Parameters Moment of Inertia Ix (in4)]]/(Table_03[[#This Row],[Depth h (in)]]/2)</f>
        <v>5.1101870851404119</v>
      </c>
      <c r="M93" s="181">
        <f>Table_03[[#This Row],[Static Parameters Moment of Inertia Iy (in4)]]/(Table_03[[#This Row],[Width w (in)]]/2)</f>
        <v>1.0107759271000076</v>
      </c>
      <c r="N93" s="182">
        <v>50</v>
      </c>
      <c r="O93" s="181">
        <f>SQRT(Table_03[[#This Row],[Static Parameters Moment of Inertia Ix (in4)]]/Table_03[[#This Row],[Sectional Area (in2)]])</f>
        <v>2.4312936129180271</v>
      </c>
      <c r="P93" s="181">
        <f>SQRT(Table_03[[#This Row],[Static Parameters Moment of Inertia Iy (in4)]]/Table_03[[#This Row],[Sectional Area (in2)]])</f>
        <v>0.88891510842984733</v>
      </c>
      <c r="Q93" s="181">
        <f>($B$6*$B$5*12)/Table_03[[#This Row],[ry (in)2]]</f>
        <v>201.98779196941729</v>
      </c>
      <c r="R93" s="181">
        <f>(PI()^2*$B$4)/(Table_03[[#This Row],[KL/ry]]^2)</f>
        <v>7.0153202248939488</v>
      </c>
      <c r="S93" s="181">
        <f>IF(Table_03[[#This Row],[Strength (ksi)]]/Table_03[[#This Row],[Fe,y]]&lt;2.25,(0.658^(Table_03[[#This Row],[Strength (ksi)]]/Table_03[[#This Row],[Fe,y]])*Table_03[[#This Row],[Strength (ksi)]]),0.877*Table_03[[#This Row],[Fe,y]])</f>
        <v>6.1524358372319927</v>
      </c>
      <c r="T93" s="181">
        <f>Table_03[[#This Row],[Fcr,y]]*Table_03[[#This Row],[Sectional Area (in2)]]</f>
        <v>15.504138309824622</v>
      </c>
      <c r="U93" s="181">
        <f>1.76*Table_03[[#This Row],[ry (in)2]]*SQRT($B$4/Table_03[[#This Row],[Strength (ksi)]])/12</f>
        <v>3.1398269028647885</v>
      </c>
      <c r="V93"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9.2239799445842525</v>
      </c>
      <c r="W93" s="181">
        <f>Table_03[[#This Row],[Depth h (in)]]-Table_03[[#This Row],[Flange Thickness tf (in)]]</f>
        <v>5.6349999999999998</v>
      </c>
      <c r="X93" s="181">
        <f>(Table_03[[#This Row],[Static Parameters Moment of Inertia Iy (in4)]]*Table_03[[#This Row],[ho]]^2)/4</f>
        <v>15.806982253111642</v>
      </c>
      <c r="Y93" s="181">
        <f>SQRT((SQRT(Table_03[[#This Row],[Static Parameters Moment of Inertia Iy (in4)]]*Table_03[[#This Row],[Cw*]])/Table_03[[#This Row],[Static Parameters Elastic Section Modulus Sx (in3)2]]))</f>
        <v>1.0477896892463983</v>
      </c>
      <c r="Z93" s="181">
        <f>(2*Table_03[[#This Row],[Width w (in)]]*Table_03[[#This Row],[Flange Thickness tf (in)]]^3/3)+((Table_03[[#This Row],[Depth h (in)]]-Table_03[[#This Row],[Flange Thickness tf (in)]]*2)*Table_03[[#This Row],[Web Thickness tw (in)]]^3)/3</f>
        <v>2.838531166666667E-2</v>
      </c>
      <c r="AA93" s="181">
        <f>Table_03[[#This Row],[Width w (in)]]*0.5/Table_03[[#This Row],[Flange Thickness tf (in)]]</f>
        <v>10.102564102564102</v>
      </c>
      <c r="AB93" s="181">
        <f>0.38*SQRT($B$4/Table_03[[#This Row],[Strength (ksi)]])</f>
        <v>9.1516118798821449</v>
      </c>
      <c r="AC93" s="181">
        <f>1*SQRT($B$4/Table_03[[#This Row],[Strength (ksi)]])</f>
        <v>24.083189157584592</v>
      </c>
      <c r="AD93" s="181">
        <f>(PI()^2*$B$4/(12*$B$5/Table_03[[#This Row],[rts]])^2)*SQRT(1+0.078*(Table_03[[#This Row],[J*]]/(Table_03[[#This Row],[Static Parameters Elastic Section Modulus Sx (in3)2]]*Table_03[[#This Row],[ho]])*$B$4/(12*$B$5/Table_03[[#This Row],[rts]])^2))</f>
        <v>42.991882081540368</v>
      </c>
      <c r="AE93" s="181">
        <f>0.69*$B$4/Table_03[[#This Row],[b/t]]^2</f>
        <v>196.0576799196063</v>
      </c>
      <c r="AF93" s="183">
        <f>Table_03[[#This Row],[Strength (ksi)]]*Table_03[[#This Row],[Static Parameters Plastic Section Modulus Zx (in3)]]</f>
        <v>287.15352718839875</v>
      </c>
      <c r="AG93" s="181">
        <f>Table_03[[#This Row],[Mp (k-in)]]-(Table_03[[#This Row],[Mp (k-in)]]-0.7*Table_03[[#This Row],[Strength (ksi)]]*Table_03[[#This Row],[Static Parameters Elastic Section Modulus Sx (in3)2]])*((Table_03[[#This Row],[b/t]]-Table_03[[#This Row],[λpf]])/(Table_03[[#This Row],[λrf]]-Table_03[[#This Row],[λpf]]))</f>
        <v>280.25638222020848</v>
      </c>
      <c r="AH93" s="184">
        <f>0.9*$B$4*Table_03[[#This Row],[kc]]*Table_03[[#This Row],[Static Parameters Elastic Section Modulus Sx (in3)2]]/Table_03[[#This Row],[b/t]]^2</f>
        <v>892.61514743509804</v>
      </c>
      <c r="AI93" s="185" t="str">
        <f>IF(Table_03[[#This Row],[b/t]]&lt;Table_03[[#This Row],[λpf]],"Compact",IF(AND(Table_03[[#This Row],[b/t]]&gt;Table_03[[#This Row],[λpf]],Table_03[[#This Row],[λrf]]&gt;Table_03[[#This Row],[b/t]]),"Non-Compact","Slender"))</f>
        <v>Non-Compact</v>
      </c>
      <c r="AJ93" s="186">
        <f>IF(Table_03[[#This Row],[Controlling LBx]]="Compact",Table_03[[#This Row],[Mp (k-in)]],IF(Table_03[[#This Row],[Controlling LBx]]="Non-Compact",Table_03[[#This Row],[Mnlb,Non-Compact (k-in)]],IF(Table_03[[#This Row],[Controlling LBx]]="Slender",Table_03[[#This Row],[Mnlb,slender (k-in)]],"ERROR")))</f>
        <v>280.25638222020848</v>
      </c>
      <c r="AK93" s="183">
        <f>Table_03[[#This Row],[Mp (k-in)]]-(Table_03[[#This Row],[Mp (k-in)]]-0.7*Table_03[[#This Row],[Strength (ksi)]]*Table_03[[#This Row],[Static Parameters Elastic Section Modulus Sx (in3)2]])*(($B$5-Table_03[[#This Row],[Lp (ft)]])/(Table_03[[#This Row],[Lr]]-Table_03[[#This Row],[Lp (ft)]]))</f>
        <v>216.21806499945089</v>
      </c>
      <c r="AL93" s="184">
        <f>Table_03[[#This Row],[Fcrx]]*Table_03[[#This Row],[Static Parameters Elastic Section Modulus Sx (in3)2]]</f>
        <v>219.69656057896708</v>
      </c>
      <c r="AM93" s="185" t="str">
        <f>IF($B$5&lt;Table_03[[#This Row],[Lp (ft)]],"Yielding Controls",IF(AND($B$5&gt;Table_03[[#This Row],[Lp (ft)]],Table_03[[#This Row],[Lr]]&gt;$B$5),"Mltb,p Controls","Mltb,r Controls"))</f>
        <v>Mltb,p Controls</v>
      </c>
      <c r="AN93" s="186">
        <f>IF(Table_03[[#This Row],[Controlling LTB]]="Yielding Controls",Table_03[[#This Row],[Mp (k-in)]],IF(Table_03[[#This Row],[Controlling LTB]]="Mltb,p Controls",Table_03[[#This Row],[Mnltbp (k-in)]],IF(Table_03[[#This Row],[Controlling LTB]]="Mltb,r Controls",Table_03[[#This Row],[Mnltbr (k-in)]],"ERROR")))</f>
        <v>216.21806499945089</v>
      </c>
      <c r="AO93" s="183">
        <f>MIN(Table_03[[#This Row],[Strength (ksi)]]*Table_03[[#This Row],[Static Parameters Plastic Section Modulus Zy (in3)]],1.6*Table_03[[#This Row],[Strength (ksi)]]*Table_03[[#This Row],[Static Parameters Elastic Section Modulus Sy (in3)3]])</f>
        <v>77.642750000000007</v>
      </c>
      <c r="AP93" s="181">
        <f>MIN(Table_03[[#This Row],[Mny (k-in)]],Table_03[[#This Row],[Mny (k-in)]]-(Table_03[[#This Row],[Mny (k-in)]]-0.7*Table_03[[#This Row],[Static Parameters Elastic Section Modulus Sy (in3)3]]*Table_03[[#This Row],[Strength (ksi)]])*((Table_03[[#This Row],[b/t]]-Table_03[[#This Row],[λpf]])/(Table_03[[#This Row],[λrf]]-Table_03[[#This Row],[λpf]])))</f>
        <v>74.950967448679137</v>
      </c>
      <c r="AQ93" s="184">
        <f>MIN(Table_03[[#This Row],[Mny (k-in)]],Table_03[[#This Row],[Fcry]]*Table_03[[#This Row],[Static Parameters Elastic Section Modulus Sy (in3)3]])</f>
        <v>77.642750000000007</v>
      </c>
      <c r="AR93" s="185" t="str">
        <f>IF(Table_03[[#This Row],[b/t]]&lt;Table_03[[#This Row],[λpf]],"Compact",IF(AND(Table_03[[#This Row],[b/t]]&gt;Table_03[[#This Row],[λpf]],Table_03[[#This Row],[λrf]]&gt;Table_03[[#This Row],[b/t]]),"Non-Compact","Slender"))</f>
        <v>Non-Compact</v>
      </c>
      <c r="AS93" s="186">
        <f>IF(Table_03[[#This Row],[Controlling Lby]]="Compact",Table_03[[#This Row],[Mny (k-in)]],IF(Table_03[[#This Row],[Controlling Lby]]="Non-Compact",Table_03[[#This Row],[Mlby,Non-Compact (k-in)]],IF(Table_03[[#This Row],[Controlling Lby]]="Slender",Table_03[[#This Row],[Mlby,Slender (k-in)]],"ERROR")))</f>
        <v>74.950967448679137</v>
      </c>
      <c r="AT93" s="183">
        <f>MIN(Table_03[[#This Row],[LBx]],Table_03[[#This Row],[LTB]],Table_03[[#This Row],[Mp (k-in)]])</f>
        <v>216.21806499945089</v>
      </c>
      <c r="AU93" s="181">
        <f>Table_03[[#This Row],[Mp (k-in)]]</f>
        <v>287.15352718839875</v>
      </c>
      <c r="AV93" s="181">
        <f>MIN(Table_03[[#This Row],[LBy]],Table_03[[#This Row],[Mny (k-in)]])</f>
        <v>74.950967448679137</v>
      </c>
      <c r="AW93" s="187">
        <f>Table_03[[#This Row],[Mny (k-in)]]</f>
        <v>77.642750000000007</v>
      </c>
      <c r="AX93" s="165">
        <f>AX92+$B$1</f>
        <v>0.2612775500625113</v>
      </c>
      <c r="AY93" s="165">
        <f>IF(4/SQRT((Table_03[[#This Row],[Depth h (in)]]-Table_03[[#This Row],[Flange Thickness tf (in)]]*2)/Table_03[[#This Row],[Web Thickness tw (in)]])&lt;0.35,0.35,IF(4/SQRT(Table_03[[#This Row],[Depth h (in)]]/Table_03[[#This Row],[Web Thickness tw (in)]])&gt;0.76,0.76,4/SQRT(Table_03[[#This Row],[Depth h (in)]]/Table_03[[#This Row],[Web Thickness tw (in)]])))</f>
        <v>0.68304634953194754</v>
      </c>
      <c r="AZ93" s="165"/>
    </row>
    <row r="94" spans="1:60" ht="14.4" thickBot="1" x14ac:dyDescent="0.35">
      <c r="A94" s="188" t="s">
        <v>191</v>
      </c>
      <c r="B94" s="189">
        <f>B92-$B$3*2</f>
        <v>5.75</v>
      </c>
      <c r="C94" s="189">
        <f>C92-$B$3*2</f>
        <v>3.86</v>
      </c>
      <c r="D94" s="189">
        <f>D92-$B$3*2</f>
        <v>9.0000000000000011E-2</v>
      </c>
      <c r="E94" s="189">
        <f>E92-$B$3*2</f>
        <v>0.115</v>
      </c>
      <c r="F94" s="190">
        <f>4*(Table_03[[#This Row],[Fillet Radius]]^2*(1-PI()/4))+2*Table_03[[#This Row],[Width w (in)]]*Table_03[[#This Row],[Flange Thickness tf (in)]]+Table_03[[#This Row],[Web Thickness tw (in)]]*(Table_03[[#This Row],[Depth h (in)]]-2*Table_03[[#This Row],[Flange Thickness tf (in)]])</f>
        <v>1.4625160572283138</v>
      </c>
      <c r="G94" s="189"/>
      <c r="H94" s="203">
        <f>2*(1/12*C94*E94^3+C94*E94*((B94/2-E94/2)^2))+
1/12*D94*(B94-2*E94)^3+
4*(1/12*AX94^4+
AX94^2*((AX94/(6-3*PI()/2))-AX94/2)^2-
(PI()*AX94^4/16+PI()*AX94^2/4*((AX94/(6-3*PI()/2))-4*AX94/(3*PI()))^2)+
(AX94^2-PI()*AX94^2/4)*((B94/2-E94-(AX94-AX94/(6-3*PI()/2)))^2))</f>
        <v>8.8706102339187094</v>
      </c>
      <c r="I94" s="180">
        <f>2*((1/12)*E94*C94^3)+(1/12)*(B94-2*E94)*D94^3+4*((AX94^2-PI()*AX94^2/4)*(D94/2+(AX94-(AX94/(6-3*PI()/2))))^2)</f>
        <v>1.1036399608729757</v>
      </c>
      <c r="J94" s="181">
        <f>F94*((B94/2)-((C94*E94*(E94/2))+(D94*(B94/2-E94)*(E94+(B94/2-E94)/2))+(2*(AX94^2-PI()*AX94^2/4)*(E94+(AX94-AX94/(6-3*PI()/2)))))/(F94/2))</f>
        <v>3.3967653987997077</v>
      </c>
      <c r="K94" s="190">
        <f>(Table_03[[#This Row],[Width w (in)]]^2*Table_03[[#This Row],[Flange Thickness tf (in)]])/2+0.25*Table_03[[#This Row],[Web Thickness tw (in)]]^2*(Table_03[[#This Row],[Depth h (in)]]-2*Table_03[[#This Row],[Flange Thickness tf (in)]])</f>
        <v>0.86790500000000004</v>
      </c>
      <c r="L94" s="190">
        <f>Table_03[[#This Row],[Static Parameters Moment of Inertia Ix (in4)]]/(Table_03[[#This Row],[Depth h (in)]]/2)</f>
        <v>3.0854296465804207</v>
      </c>
      <c r="M94" s="190">
        <f>Table_03[[#This Row],[Static Parameters Moment of Inertia Iy (in4)]]/(Table_03[[#This Row],[Width w (in)]]/2)</f>
        <v>0.57183417661812208</v>
      </c>
      <c r="N94" s="191">
        <v>50</v>
      </c>
      <c r="O94" s="169">
        <f>SQRT(Table_03[[#This Row],[Static Parameters Moment of Inertia Ix (in4)]]/Table_03[[#This Row],[Sectional Area (in2)]])</f>
        <v>2.4627845878344505</v>
      </c>
      <c r="P94" s="190">
        <f>SQRT(Table_03[[#This Row],[Static Parameters Moment of Inertia Iy (in4)]]/Table_03[[#This Row],[Sectional Area (in2)]])</f>
        <v>0.86868712958176941</v>
      </c>
      <c r="Q94" s="190">
        <f>($B$6*$B$5*12)/Table_03[[#This Row],[ry (in)2]]</f>
        <v>206.6912169936771</v>
      </c>
      <c r="R94" s="190">
        <f>(PI()^2*$B$4)/(Table_03[[#This Row],[KL/ry]]^2)</f>
        <v>6.6996744269652195</v>
      </c>
      <c r="S94" s="190">
        <f>IF(Table_03[[#This Row],[Strength (ksi)]]/Table_03[[#This Row],[Fe,y]]&lt;2.25,(0.658^(Table_03[[#This Row],[Strength (ksi)]]/Table_03[[#This Row],[Fe,y]])*Table_03[[#This Row],[Strength (ksi)]]),0.877*Table_03[[#This Row],[Fe,y]])</f>
        <v>5.8756144724484978</v>
      </c>
      <c r="T94" s="190">
        <f>Table_03[[#This Row],[Fcr,y]]*Table_03[[#This Row],[Sectional Area (in2)]]</f>
        <v>8.5931805120389964</v>
      </c>
      <c r="U94" s="190">
        <f>1.76*Table_03[[#This Row],[ry (in)2]]*SQRT($B$4/Table_03[[#This Row],[Strength (ksi)]])/12</f>
        <v>3.0683776142032859</v>
      </c>
      <c r="V9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7.9446861669627458</v>
      </c>
      <c r="W94" s="190">
        <f>Table_03[[#This Row],[Depth h (in)]]-Table_03[[#This Row],[Flange Thickness tf (in)]]</f>
        <v>5.6349999999999998</v>
      </c>
      <c r="X94" s="190">
        <f>(Table_03[[#This Row],[Static Parameters Moment of Inertia Iy (in4)]]*Table_03[[#This Row],[ho]]^2)/4</f>
        <v>8.761031999147697</v>
      </c>
      <c r="Y94" s="190">
        <f>SQRT((SQRT(Table_03[[#This Row],[Static Parameters Moment of Inertia Iy (in4)]]*Table_03[[#This Row],[Cw*]])/Table_03[[#This Row],[Static Parameters Elastic Section Modulus Sx (in3)2]]))</f>
        <v>1.0038939728798555</v>
      </c>
      <c r="Z94" s="190">
        <f>(2*Table_03[[#This Row],[Width w (in)]]*Table_03[[#This Row],[Flange Thickness tf (in)]]^3/3)+((Table_03[[#This Row],[Depth h (in)]]-Table_03[[#This Row],[Flange Thickness tf (in)]]*2)*Table_03[[#This Row],[Web Thickness tw (in)]]^3)/3</f>
        <v>5.255078333333333E-3</v>
      </c>
      <c r="AA94" s="190">
        <f>Table_03[[#This Row],[Width w (in)]]*0.5/Table_03[[#This Row],[Flange Thickness tf (in)]]</f>
        <v>16.782608695652172</v>
      </c>
      <c r="AB94" s="190">
        <f>0.38*SQRT($B$4/Table_03[[#This Row],[Strength (ksi)]])</f>
        <v>9.1516118798821449</v>
      </c>
      <c r="AC94" s="190">
        <f>1*SQRT($B$4/Table_03[[#This Row],[Strength (ksi)]])</f>
        <v>24.083189157584592</v>
      </c>
      <c r="AD94" s="190">
        <f>(PI()^2*$B$4/(12*$B$5/Table_03[[#This Row],[rts]])^2)*SQRT(1+0.078*(Table_03[[#This Row],[J*]]/(Table_03[[#This Row],[Static Parameters Elastic Section Modulus Sx (in3)2]]*Table_03[[#This Row],[ho]])*$B$4/(12*$B$5/Table_03[[#This Row],[rts]])^2))</f>
        <v>39.460417314994643</v>
      </c>
      <c r="AE94" s="190">
        <f>0.69*$B$4/Table_03[[#This Row],[b/t]]^2</f>
        <v>71.044121989852087</v>
      </c>
      <c r="AF94" s="192">
        <f>Table_03[[#This Row],[Strength (ksi)]]*Table_03[[#This Row],[Static Parameters Plastic Section Modulus Zx (in3)]]</f>
        <v>169.83826993998539</v>
      </c>
      <c r="AG94" s="190">
        <f>Table_03[[#This Row],[Mp (k-in)]]-(Table_03[[#This Row],[Mp (k-in)]]-0.7*Table_03[[#This Row],[Strength (ksi)]]*Table_03[[#This Row],[Static Parameters Elastic Section Modulus Sx (in3)2]])*((Table_03[[#This Row],[b/t]]-Table_03[[#This Row],[λpf]])/(Table_03[[#This Row],[λrf]]-Table_03[[#This Row],[λpf]]))</f>
        <v>138.22984337939073</v>
      </c>
      <c r="AH94" s="193">
        <f>0.9*$B$4*Table_03[[#This Row],[kc]]*Table_03[[#This Row],[Static Parameters Elastic Section Modulus Sx (in3)2]]/Table_03[[#This Row],[b/t]]^2</f>
        <v>143.08184838437029</v>
      </c>
      <c r="AI94" s="194" t="str">
        <f>IF(Table_03[[#This Row],[b/t]]&lt;Table_03[[#This Row],[λpf]],"Compact",IF(AND(Table_03[[#This Row],[b/t]]&gt;Table_03[[#This Row],[λpf]],Table_03[[#This Row],[λrf]]&gt;Table_03[[#This Row],[b/t]]),"Non-Compact","Slender"))</f>
        <v>Non-Compact</v>
      </c>
      <c r="AJ94" s="195">
        <f>IF(Table_03[[#This Row],[Controlling LBx]]="Compact",Table_03[[#This Row],[Mp (k-in)]],IF(Table_03[[#This Row],[Controlling LBx]]="Non-Compact",Table_03[[#This Row],[Mnlb,Non-Compact (k-in)]],IF(Table_03[[#This Row],[Controlling LBx]]="Slender",Table_03[[#This Row],[Mnlb,slender (k-in)]],"ERROR")))</f>
        <v>138.22984337939073</v>
      </c>
      <c r="AK94" s="192">
        <f>Table_03[[#This Row],[Mp (k-in)]]-(Table_03[[#This Row],[Mp (k-in)]]-0.7*Table_03[[#This Row],[Strength (ksi)]]*Table_03[[#This Row],[Static Parameters Elastic Section Modulus Sx (in3)2]])*(($B$5-Table_03[[#This Row],[Lp (ft)]])/(Table_03[[#This Row],[Lr]]-Table_03[[#This Row],[Lp (ft)]]))</f>
        <v>118.3864553152963</v>
      </c>
      <c r="AL94" s="196">
        <f>Table_03[[#This Row],[Fcrx]]*Table_03[[#This Row],[Static Parameters Elastic Section Modulus Sx (in3)2]]</f>
        <v>121.75234145011984</v>
      </c>
      <c r="AM94" s="197" t="str">
        <f>IF($B$5&lt;Table_03[[#This Row],[Lp (ft)]],"Yielding Controls",IF(AND($B$5&gt;Table_03[[#This Row],[Lp (ft)]],Table_03[[#This Row],[Lr]]&gt;$B$5),"Mltb,p Controls","Mltb,r Controls"))</f>
        <v>Mltb,p Controls</v>
      </c>
      <c r="AN94" s="198">
        <f>IF(Table_03[[#This Row],[Controlling LTB]]="Yielding Controls",Table_03[[#This Row],[Mp (k-in)]],IF(Table_03[[#This Row],[Controlling LTB]]="Mltb,p Controls",Table_03[[#This Row],[Mnltbp (k-in)]],IF(Table_03[[#This Row],[Controlling LTB]]="Mltb,r Controls",Table_03[[#This Row],[Mnltbr (k-in)]],"ERROR")))</f>
        <v>118.3864553152963</v>
      </c>
      <c r="AO94" s="199">
        <f>MIN(Table_03[[#This Row],[Strength (ksi)]]*Table_03[[#This Row],[Static Parameters Plastic Section Modulus Zy (in3)]],1.6*Table_03[[#This Row],[Strength (ksi)]]*Table_03[[#This Row],[Static Parameters Elastic Section Modulus Sy (in3)3]])</f>
        <v>43.395250000000004</v>
      </c>
      <c r="AP94" s="169">
        <f>MIN(Table_03[[#This Row],[Mny (k-in)]],Table_03[[#This Row],[Mny (k-in)]]-(Table_03[[#This Row],[Mny (k-in)]]-0.7*Table_03[[#This Row],[Static Parameters Elastic Section Modulus Sy (in3)3]]*Table_03[[#This Row],[Strength (ksi)]])*((Table_03[[#This Row],[b/t]]-Table_03[[#This Row],[λpf]])/(Table_03[[#This Row],[λrf]]-Table_03[[#This Row],[λpf]])))</f>
        <v>31.446026959528922</v>
      </c>
      <c r="AQ94" s="196">
        <f>MIN(Table_03[[#This Row],[Mny (k-in)]],Table_03[[#This Row],[Fcry]]*Table_03[[#This Row],[Static Parameters Elastic Section Modulus Sy (in3)3]])</f>
        <v>40.62545700162449</v>
      </c>
      <c r="AR94" s="197" t="str">
        <f>IF(Table_03[[#This Row],[b/t]]&lt;Table_03[[#This Row],[λpf]],"Compact",IF(AND(Table_03[[#This Row],[b/t]]&gt;Table_03[[#This Row],[λpf]],Table_03[[#This Row],[λrf]]&gt;Table_03[[#This Row],[b/t]]),"Non-Compact","Slender"))</f>
        <v>Non-Compact</v>
      </c>
      <c r="AS94" s="198">
        <f>IF(Table_03[[#This Row],[Controlling Lby]]="Compact",Table_03[[#This Row],[Mny (k-in)]],IF(Table_03[[#This Row],[Controlling Lby]]="Non-Compact",Table_03[[#This Row],[Mlby,Non-Compact (k-in)]],IF(Table_03[[#This Row],[Controlling Lby]]="Slender",Table_03[[#This Row],[Mlby,Slender (k-in)]],"ERROR")))</f>
        <v>31.446026959528922</v>
      </c>
      <c r="AT94" s="199">
        <f>MIN(Table_03[[#This Row],[LBx]],Table_03[[#This Row],[LTB]],Table_03[[#This Row],[Mp (k-in)]])</f>
        <v>118.3864553152963</v>
      </c>
      <c r="AU94" s="169">
        <f>Table_03[[#This Row],[Mp (k-in)]]</f>
        <v>169.83826993998539</v>
      </c>
      <c r="AV94" s="169">
        <f>MIN(Table_03[[#This Row],[LBy]],Table_03[[#This Row],[Mny (k-in)]])</f>
        <v>31.446026959528922</v>
      </c>
      <c r="AW94" s="200">
        <f>Table_03[[#This Row],[Mny (k-in)]]</f>
        <v>43.395250000000004</v>
      </c>
      <c r="AX94" s="165">
        <f>AX92+$B$3</f>
        <v>0.30127755006251128</v>
      </c>
      <c r="AY94" s="165">
        <f>IF(4/SQRT((Table_03[[#This Row],[Depth h (in)]]-Table_03[[#This Row],[Flange Thickness tf (in)]]*2)/Table_03[[#This Row],[Web Thickness tw (in)]])&lt;0.35,0.35,IF(4/SQRT(Table_03[[#This Row],[Depth h (in)]]/Table_03[[#This Row],[Web Thickness tw (in)]])&gt;0.76,0.76,4/SQRT(Table_03[[#This Row],[Depth h (in)]]/Table_03[[#This Row],[Web Thickness tw (in)]])))</f>
        <v>0.50043459373697941</v>
      </c>
      <c r="AZ94" s="165"/>
    </row>
    <row r="95" spans="1:60" ht="14.4" thickBot="1" x14ac:dyDescent="0.35">
      <c r="A95" s="201" t="s">
        <v>192</v>
      </c>
      <c r="B95" s="202">
        <v>5.9</v>
      </c>
      <c r="C95" s="202">
        <v>3.94</v>
      </c>
      <c r="D95" s="202">
        <v>0.17</v>
      </c>
      <c r="E95" s="202">
        <v>0.215</v>
      </c>
      <c r="F95" s="203">
        <v>2.68</v>
      </c>
      <c r="G95" s="204">
        <v>9</v>
      </c>
      <c r="H95" s="203">
        <v>16.399999999999999</v>
      </c>
      <c r="I95" s="203">
        <v>2.2000000000000002</v>
      </c>
      <c r="J95" s="203">
        <f>Table_03[[#This Row],[Width w (in)]]*Table_03[[#This Row],[Flange Thickness tf (in)]]*(Table_03[[#This Row],[Depth h (in)]]-Table_03[[#This Row],[Flange Thickness tf (in)]])+0.25*Table_03[[#This Row],[Web Thickness tw (in)]]*(Table_03[[#This Row],[Depth h (in)]]-2*Table_03[[#This Row],[Flange Thickness tf (in)]])^2</f>
        <v>6.0874017500000006</v>
      </c>
      <c r="K95" s="203">
        <f>(Table_03[[#This Row],[Width w (in)]]^2*Table_03[[#This Row],[Flange Thickness tf (in)]])/2+0.25*Table_03[[#This Row],[Web Thickness tw (in)]]^2*(Table_03[[#This Row],[Depth h (in)]]-2*Table_03[[#This Row],[Flange Thickness tf (in)]])</f>
        <v>1.7083077500000001</v>
      </c>
      <c r="L95" s="203">
        <v>5.56</v>
      </c>
      <c r="M95" s="203">
        <v>1.1100000000000001</v>
      </c>
      <c r="N95" s="205">
        <v>50</v>
      </c>
      <c r="O95" s="206">
        <f>SQRT(Table_03[[#This Row],[Static Parameters Moment of Inertia Ix (in4)]]/Table_03[[#This Row],[Sectional Area (in2)]])</f>
        <v>2.4737427079376357</v>
      </c>
      <c r="P95" s="203">
        <f>SQRT(Table_03[[#This Row],[Static Parameters Moment of Inertia Iy (in4)]]/Table_03[[#This Row],[Sectional Area (in2)]])</f>
        <v>0.90603284840454856</v>
      </c>
      <c r="Q95" s="203">
        <f>($B$6*$B$5*12)/Table_03[[#This Row],[ry (in)2]]</f>
        <v>198.17162293417198</v>
      </c>
      <c r="R95" s="203">
        <f>(PI()^2*$B$4)/(Table_03[[#This Row],[KL/ry]]^2)</f>
        <v>7.2881081926722331</v>
      </c>
      <c r="S95" s="203">
        <f>IF(Table_03[[#This Row],[Strength (ksi)]]/Table_03[[#This Row],[Fe,y]]&lt;2.25,(0.658^(Table_03[[#This Row],[Strength (ksi)]]/Table_03[[#This Row],[Fe,y]])*Table_03[[#This Row],[Strength (ksi)]]),0.877*Table_03[[#This Row],[Fe,y]])</f>
        <v>6.3916708849735482</v>
      </c>
      <c r="T95" s="203">
        <f>Table_03[[#This Row],[Fcr,y]]*Table_03[[#This Row],[Sectional Area (in2)]]</f>
        <v>17.129677971729109</v>
      </c>
      <c r="U95" s="203">
        <f>1.76*Table_03[[#This Row],[ry (in)2]]*SQRT($B$4/Table_03[[#This Row],[Strength (ksi)]])/12</f>
        <v>3.2002902024297466</v>
      </c>
      <c r="V9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9.512118629639005</v>
      </c>
      <c r="W95" s="203">
        <f>Table_03[[#This Row],[Depth h (in)]]-Table_03[[#This Row],[Flange Thickness tf (in)]]</f>
        <v>5.6850000000000005</v>
      </c>
      <c r="X95" s="203">
        <f>(Table_03[[#This Row],[Static Parameters Moment of Inertia Iy (in4)]]*Table_03[[#This Row],[ho]]^2)/4</f>
        <v>17.775573750000003</v>
      </c>
      <c r="Y95" s="203">
        <f>SQRT((SQRT(Table_03[[#This Row],[Static Parameters Moment of Inertia Iy (in4)]]*Table_03[[#This Row],[Cw*]])/Table_03[[#This Row],[Static Parameters Elastic Section Modulus Sx (in3)2]]))</f>
        <v>1.0605329866757272</v>
      </c>
      <c r="Z95" s="203">
        <f>(2*Table_03[[#This Row],[Width w (in)]]*Table_03[[#This Row],[Flange Thickness tf (in)]]^3/3)+((Table_03[[#This Row],[Depth h (in)]]-Table_03[[#This Row],[Flange Thickness tf (in)]]*2)*Table_03[[#This Row],[Web Thickness tw (in)]]^3)/3</f>
        <v>3.5062835000000001E-2</v>
      </c>
      <c r="AA95" s="203">
        <f>Table_03[[#This Row],[Width w (in)]]*0.5/Table_03[[#This Row],[Flange Thickness tf (in)]]</f>
        <v>9.1627906976744189</v>
      </c>
      <c r="AB95" s="203">
        <f>0.38*SQRT($B$4/Table_03[[#This Row],[Strength (ksi)]])</f>
        <v>9.1516118798821449</v>
      </c>
      <c r="AC95" s="203">
        <f>1*SQRT($B$4/Table_03[[#This Row],[Strength (ksi)]])</f>
        <v>24.083189157584592</v>
      </c>
      <c r="AD95" s="203">
        <f>(PI()^2*$B$4/(12*$B$5/Table_03[[#This Row],[rts]])^2)*SQRT(1+0.078*(Table_03[[#This Row],[J*]]/(Table_03[[#This Row],[Static Parameters Elastic Section Modulus Sx (in3)2]]*Table_03[[#This Row],[ho]])*$B$4/(12*$B$5/Table_03[[#This Row],[rts]])^2))</f>
        <v>44.045109222960626</v>
      </c>
      <c r="AE95" s="203">
        <f>0.69*$B$4/Table_03[[#This Row],[b/t]]^2</f>
        <v>238.33704810739778</v>
      </c>
      <c r="AF95" s="207">
        <f>Table_03[[#This Row],[Strength (ksi)]]*Table_03[[#This Row],[Static Parameters Plastic Section Modulus Zx (in3)]]</f>
        <v>304.37008750000001</v>
      </c>
      <c r="AG95" s="203">
        <f>Table_03[[#This Row],[Mp (k-in)]]-(Table_03[[#This Row],[Mp (k-in)]]-0.7*Table_03[[#This Row],[Strength (ksi)]]*Table_03[[#This Row],[Static Parameters Elastic Section Modulus Sx (in3)2]])*((Table_03[[#This Row],[b/t]]-Table_03[[#This Row],[λpf]])/(Table_03[[#This Row],[λrf]]-Table_03[[#This Row],[λpf]]))</f>
        <v>304.28790597393731</v>
      </c>
      <c r="AH95" s="208">
        <f>0.9*$B$4*Table_03[[#This Row],[kc]]*Table_03[[#This Row],[Static Parameters Elastic Section Modulus Sx (in3)2]]/Table_03[[#This Row],[b/t]]^2</f>
        <v>1173.5948974727705</v>
      </c>
      <c r="AI95" s="209" t="str">
        <f>IF(Table_03[[#This Row],[b/t]]&lt;Table_03[[#This Row],[λpf]],"Compact",IF(AND(Table_03[[#This Row],[b/t]]&gt;Table_03[[#This Row],[λpf]],Table_03[[#This Row],[λrf]]&gt;Table_03[[#This Row],[b/t]]),"Non-Compact","Slender"))</f>
        <v>Non-Compact</v>
      </c>
      <c r="AJ95" s="210">
        <f>IF(Table_03[[#This Row],[Controlling LBx]]="Compact",Table_03[[#This Row],[Mp (k-in)]],IF(Table_03[[#This Row],[Controlling LBx]]="Non-Compact",Table_03[[#This Row],[Mnlb,Non-Compact (k-in)]],IF(Table_03[[#This Row],[Controlling LBx]]="Slender",Table_03[[#This Row],[Mnlb,slender (k-in)]],"ERROR")))</f>
        <v>304.28790597393731</v>
      </c>
      <c r="AK95" s="207">
        <f>Table_03[[#This Row],[Mp (k-in)]]-(Table_03[[#This Row],[Mp (k-in)]]-0.7*Table_03[[#This Row],[Strength (ksi)]]*Table_03[[#This Row],[Static Parameters Elastic Section Modulus Sx (in3)2]])*(($B$5-Table_03[[#This Row],[Lp (ft)]])/(Table_03[[#This Row],[Lr]]-Table_03[[#This Row],[Lp (ft)]]))</f>
        <v>236.11478828524031</v>
      </c>
      <c r="AL95" s="211">
        <f>Table_03[[#This Row],[Fcrx]]*Table_03[[#This Row],[Static Parameters Elastic Section Modulus Sx (in3)2]]</f>
        <v>244.89080727966106</v>
      </c>
      <c r="AM95" s="212" t="str">
        <f>IF($B$5&lt;Table_03[[#This Row],[Lp (ft)]],"Yielding Controls",IF(AND($B$5&gt;Table_03[[#This Row],[Lp (ft)]],Table_03[[#This Row],[Lr]]&gt;$B$5),"Mltb,p Controls","Mltb,r Controls"))</f>
        <v>Mltb,p Controls</v>
      </c>
      <c r="AN95" s="213">
        <f>IF(Table_03[[#This Row],[Controlling LTB]]="Yielding Controls",Table_03[[#This Row],[Mp (k-in)]],IF(Table_03[[#This Row],[Controlling LTB]]="Mltb,p Controls",Table_03[[#This Row],[Mnltbp (k-in)]],IF(Table_03[[#This Row],[Controlling LTB]]="Mltb,r Controls",Table_03[[#This Row],[Mnltbr (k-in)]],"ERROR")))</f>
        <v>236.11478828524031</v>
      </c>
      <c r="AO95" s="214">
        <f>MIN(Table_03[[#This Row],[Strength (ksi)]]*Table_03[[#This Row],[Static Parameters Plastic Section Modulus Zy (in3)]],1.6*Table_03[[#This Row],[Strength (ksi)]]*Table_03[[#This Row],[Static Parameters Elastic Section Modulus Sy (in3)3]])</f>
        <v>85.415387500000008</v>
      </c>
      <c r="AP95" s="206">
        <f>MIN(Table_03[[#This Row],[Mny (k-in)]],Table_03[[#This Row],[Mny (k-in)]]-(Table_03[[#This Row],[Mny (k-in)]]-0.7*Table_03[[#This Row],[Static Parameters Elastic Section Modulus Sy (in3)3]]*Table_03[[#This Row],[Strength (ksi)]])*((Table_03[[#This Row],[b/t]]-Table_03[[#This Row],[λpf]])/(Table_03[[#This Row],[λrf]]-Table_03[[#This Row],[λpf]])))</f>
        <v>85.38052541057651</v>
      </c>
      <c r="AQ95" s="211">
        <f>MIN(Table_03[[#This Row],[Mny (k-in)]],Table_03[[#This Row],[Fcry]]*Table_03[[#This Row],[Static Parameters Elastic Section Modulus Sy (in3)3]])</f>
        <v>85.415387500000008</v>
      </c>
      <c r="AR95" s="212" t="str">
        <f>IF(Table_03[[#This Row],[b/t]]&lt;Table_03[[#This Row],[λpf]],"Compact",IF(AND(Table_03[[#This Row],[b/t]]&gt;Table_03[[#This Row],[λpf]],Table_03[[#This Row],[λrf]]&gt;Table_03[[#This Row],[b/t]]),"Non-Compact","Slender"))</f>
        <v>Non-Compact</v>
      </c>
      <c r="AS95" s="213">
        <f>IF(Table_03[[#This Row],[Controlling Lby]]="Compact",Table_03[[#This Row],[Mny (k-in)]],IF(Table_03[[#This Row],[Controlling Lby]]="Non-Compact",Table_03[[#This Row],[Mlby,Non-Compact (k-in)]],IF(Table_03[[#This Row],[Controlling Lby]]="Slender",Table_03[[#This Row],[Mlby,Slender (k-in)]],"ERROR")))</f>
        <v>85.38052541057651</v>
      </c>
      <c r="AT95" s="214">
        <f>MIN(Table_03[[#This Row],[LBx]],Table_03[[#This Row],[LTB]],Table_03[[#This Row],[Mp (k-in)]])</f>
        <v>236.11478828524031</v>
      </c>
      <c r="AU95" s="206">
        <f>Table_03[[#This Row],[Mp (k-in)]]</f>
        <v>304.37008750000001</v>
      </c>
      <c r="AV95" s="206">
        <f>MIN(Table_03[[#This Row],[LBy]],Table_03[[#This Row],[Mny (k-in)]])</f>
        <v>85.38052541057651</v>
      </c>
      <c r="AW95" s="215">
        <f>Table_03[[#This Row],[Mny (k-in)]]</f>
        <v>85.415387500000008</v>
      </c>
      <c r="AX95" s="165">
        <f>SQRT(((Table_03[[#This Row],[Sectional Area (in2)]]-(Table_03[[#This Row],[Flange Thickness tf (in)]]*Table_03[[#This Row],[Width w (in)]]*2+Table_03[[#This Row],[Web Thickness tw (in)]]*((Table_03[[#This Row],[Depth h (in)]]-2*Table_03[[#This Row],[Flange Thickness tf (in)]]))))/4)/(1-PI()/4))</f>
        <v>0.25518737884033077</v>
      </c>
      <c r="AY95" s="165">
        <f>IF(4/SQRT((Table_03[[#This Row],[Depth h (in)]]-Table_03[[#This Row],[Flange Thickness tf (in)]]*2)/Table_03[[#This Row],[Web Thickness tw (in)]])&lt;0.35,0.35,IF(4/SQRT(Table_03[[#This Row],[Depth h (in)]]/Table_03[[#This Row],[Web Thickness tw (in)]])&gt;0.76,0.76,4/SQRT(Table_03[[#This Row],[Depth h (in)]]/Table_03[[#This Row],[Web Thickness tw (in)]])))</f>
        <v>0.67898228927752047</v>
      </c>
      <c r="AZ95" s="165"/>
    </row>
    <row r="96" spans="1:60" ht="14.4" thickBot="1" x14ac:dyDescent="0.35">
      <c r="A96" s="179" t="s">
        <v>193</v>
      </c>
      <c r="B96" s="180">
        <f>B95-$B$1*2</f>
        <v>5.9</v>
      </c>
      <c r="C96" s="180">
        <f>C95-$B$1*2</f>
        <v>3.94</v>
      </c>
      <c r="D96" s="180">
        <f>D95-$B$1*2</f>
        <v>0.17</v>
      </c>
      <c r="E96" s="180">
        <f>E95-$B$1*2</f>
        <v>0.215</v>
      </c>
      <c r="F96" s="181">
        <f>4*(Table_03[[#This Row],[Fillet Radius]]^2*(1-PI()/4))+2*Table_03[[#This Row],[Width w (in)]]*Table_03[[#This Row],[Flange Thickness tf (in)]]+Table_03[[#This Row],[Web Thickness tw (in)]]*(Table_03[[#This Row],[Depth h (in)]]-2*Table_03[[#This Row],[Flange Thickness tf (in)]])</f>
        <v>2.6799999999999997</v>
      </c>
      <c r="G96" s="180"/>
      <c r="H96" s="203">
        <f>2*(1/12*C96*E96^3+C96*E96*((B96/2-E96/2)^2))+
1/12*D96*(B96-2*E96)^3+
4*(1/12*AX96^4+
AX96^2*((AX96/(6-3*PI()/2))-AX96/2)^2-
(PI()*AX96^4/16+PI()*AX96^2/4*((AX96/(6-3*PI()/2))-4*AX96/(3*PI()))^2)+
(AX96^2-PI()*AX96^2/4)*((B96/2-E96-(AX96-AX96/(6-3*PI()/2)))^2))</f>
        <v>16.412579534943497</v>
      </c>
      <c r="I96" s="180">
        <f>2*((1/12)*E96*C96^3)+(1/12)*(B96-2*E96)*D96^3+4*((AX96^2-PI()*AX96^2/4)*(D96/2+(AX96-(AX96/(6-3*PI()/2))))^2)</f>
        <v>2.1950402808772798</v>
      </c>
      <c r="J96" s="181">
        <f>F96*((B96/2)-((C96*E96*(E96/2))+(D96*(B96/2-E96)*(E96+(B96/2-E96)/2))+(2*(AX96^2-PI()*AX96^2/4)*(E96+(AX96-AX96/(6-3*PI()/2)))))/(F96/2))</f>
        <v>6.2371019120519193</v>
      </c>
      <c r="K96" s="181">
        <f>(Table_03[[#This Row],[Width w (in)]]^2*Table_03[[#This Row],[Flange Thickness tf (in)]])/2+0.25*Table_03[[#This Row],[Web Thickness tw (in)]]^2*(Table_03[[#This Row],[Depth h (in)]]-2*Table_03[[#This Row],[Flange Thickness tf (in)]])</f>
        <v>1.7083077500000001</v>
      </c>
      <c r="L96" s="181">
        <f>Table_03[[#This Row],[Static Parameters Moment of Inertia Ix (in4)]]/(Table_03[[#This Row],[Depth h (in)]]/2)</f>
        <v>5.5635862830316931</v>
      </c>
      <c r="M96" s="181">
        <f>Table_03[[#This Row],[Static Parameters Moment of Inertia Iy (in4)]]/(Table_03[[#This Row],[Width w (in)]]/2)</f>
        <v>1.1142336451153705</v>
      </c>
      <c r="N96" s="182">
        <v>50</v>
      </c>
      <c r="O96" s="181">
        <f>SQRT(Table_03[[#This Row],[Static Parameters Moment of Inertia Ix (in4)]]/Table_03[[#This Row],[Sectional Area (in2)]])</f>
        <v>2.4746912618338528</v>
      </c>
      <c r="P96" s="181">
        <f>SQRT(Table_03[[#This Row],[Static Parameters Moment of Inertia Iy (in4)]]/Table_03[[#This Row],[Sectional Area (in2)]])</f>
        <v>0.90501098386945455</v>
      </c>
      <c r="Q96" s="181">
        <f>($B$6*$B$5*12)/Table_03[[#This Row],[ry (in)2]]</f>
        <v>198.39538215582544</v>
      </c>
      <c r="R96" s="181">
        <f>(PI()^2*$B$4)/(Table_03[[#This Row],[KL/ry]]^2)</f>
        <v>7.2716777519578466</v>
      </c>
      <c r="S96" s="181">
        <f>IF(Table_03[[#This Row],[Strength (ksi)]]/Table_03[[#This Row],[Fe,y]]&lt;2.25,(0.658^(Table_03[[#This Row],[Strength (ksi)]]/Table_03[[#This Row],[Fe,y]])*Table_03[[#This Row],[Strength (ksi)]]),0.877*Table_03[[#This Row],[Fe,y]])</f>
        <v>6.3772613884670317</v>
      </c>
      <c r="T96" s="181">
        <f>Table_03[[#This Row],[Fcr,y]]*Table_03[[#This Row],[Sectional Area (in2)]]</f>
        <v>17.091060521091642</v>
      </c>
      <c r="U96" s="181">
        <f>1.76*Table_03[[#This Row],[ry (in)2]]*SQRT($B$4/Table_03[[#This Row],[Strength (ksi)]])/12</f>
        <v>3.1966807714189058</v>
      </c>
      <c r="V96"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9.4973073481795947</v>
      </c>
      <c r="W96" s="181">
        <f>Table_03[[#This Row],[Depth h (in)]]-Table_03[[#This Row],[Flange Thickness tf (in)]]</f>
        <v>5.6850000000000005</v>
      </c>
      <c r="X96" s="181">
        <f>(Table_03[[#This Row],[Static Parameters Moment of Inertia Iy (in4)]]*Table_03[[#This Row],[ho]]^2)/4</f>
        <v>17.735500180434002</v>
      </c>
      <c r="Y96" s="181">
        <f>SQRT((SQRT(Table_03[[#This Row],[Static Parameters Moment of Inertia Iy (in4)]]*Table_03[[#This Row],[Cw*]])/Table_03[[#This Row],[Static Parameters Elastic Section Modulus Sx (in3)2]]))</f>
        <v>1.058995391081158</v>
      </c>
      <c r="Z96" s="181">
        <f>(2*Table_03[[#This Row],[Width w (in)]]*Table_03[[#This Row],[Flange Thickness tf (in)]]^3/3)+((Table_03[[#This Row],[Depth h (in)]]-Table_03[[#This Row],[Flange Thickness tf (in)]]*2)*Table_03[[#This Row],[Web Thickness tw (in)]]^3)/3</f>
        <v>3.5062835000000001E-2</v>
      </c>
      <c r="AA96" s="181">
        <f>Table_03[[#This Row],[Width w (in)]]*0.5/Table_03[[#This Row],[Flange Thickness tf (in)]]</f>
        <v>9.1627906976744189</v>
      </c>
      <c r="AB96" s="181">
        <f>0.38*SQRT($B$4/Table_03[[#This Row],[Strength (ksi)]])</f>
        <v>9.1516118798821449</v>
      </c>
      <c r="AC96" s="181">
        <f>1*SQRT($B$4/Table_03[[#This Row],[Strength (ksi)]])</f>
        <v>24.083189157584592</v>
      </c>
      <c r="AD96" s="181">
        <f>(PI()^2*$B$4/(12*$B$5/Table_03[[#This Row],[rts]])^2)*SQRT(1+0.078*(Table_03[[#This Row],[J*]]/(Table_03[[#This Row],[Static Parameters Elastic Section Modulus Sx (in3)2]]*Table_03[[#This Row],[ho]])*$B$4/(12*$B$5/Table_03[[#This Row],[rts]])^2))</f>
        <v>43.917455710733478</v>
      </c>
      <c r="AE96" s="181">
        <f>0.69*$B$4/Table_03[[#This Row],[b/t]]^2</f>
        <v>238.33704810739778</v>
      </c>
      <c r="AF96" s="183">
        <f>Table_03[[#This Row],[Strength (ksi)]]*Table_03[[#This Row],[Static Parameters Plastic Section Modulus Zx (in3)]]</f>
        <v>311.85509560259595</v>
      </c>
      <c r="AG96" s="181">
        <f>Table_03[[#This Row],[Mp (k-in)]]-(Table_03[[#This Row],[Mp (k-in)]]-0.7*Table_03[[#This Row],[Strength (ksi)]]*Table_03[[#This Row],[Static Parameters Elastic Section Modulus Sx (in3)2]])*((Table_03[[#This Row],[b/t]]-Table_03[[#This Row],[λpf]])/(Table_03[[#This Row],[λrf]]-Table_03[[#This Row],[λpf]]))</f>
        <v>311.76740425154543</v>
      </c>
      <c r="AH96" s="184">
        <f>0.9*$B$4*Table_03[[#This Row],[kc]]*Table_03[[#This Row],[Static Parameters Elastic Section Modulus Sx (in3)2]]/Table_03[[#This Row],[b/t]]^2</f>
        <v>1174.3518837078225</v>
      </c>
      <c r="AI96" s="185" t="str">
        <f>IF(Table_03[[#This Row],[b/t]]&lt;Table_03[[#This Row],[λpf]],"Compact",IF(AND(Table_03[[#This Row],[b/t]]&gt;Table_03[[#This Row],[λpf]],Table_03[[#This Row],[λrf]]&gt;Table_03[[#This Row],[b/t]]),"Non-Compact","Slender"))</f>
        <v>Non-Compact</v>
      </c>
      <c r="AJ96" s="186">
        <f>IF(Table_03[[#This Row],[Controlling LBx]]="Compact",Table_03[[#This Row],[Mp (k-in)]],IF(Table_03[[#This Row],[Controlling LBx]]="Non-Compact",Table_03[[#This Row],[Mnlb,Non-Compact (k-in)]],IF(Table_03[[#This Row],[Controlling LBx]]="Slender",Table_03[[#This Row],[Mnlb,slender (k-in)]],"ERROR")))</f>
        <v>311.76740425154543</v>
      </c>
      <c r="AK96" s="183">
        <f>Table_03[[#This Row],[Mp (k-in)]]-(Table_03[[#This Row],[Mp (k-in)]]-0.7*Table_03[[#This Row],[Strength (ksi)]]*Table_03[[#This Row],[Static Parameters Elastic Section Modulus Sx (in3)2]])*(($B$5-Table_03[[#This Row],[Lp (ft)]])/(Table_03[[#This Row],[Lr]]-Table_03[[#This Row],[Lp (ft)]]))</f>
        <v>238.82706278103902</v>
      </c>
      <c r="AL96" s="184">
        <f>Table_03[[#This Row],[Fcrx]]*Table_03[[#This Row],[Static Parameters Elastic Section Modulus Sx (in3)2]]</f>
        <v>244.33855417788868</v>
      </c>
      <c r="AM96" s="185" t="str">
        <f>IF($B$5&lt;Table_03[[#This Row],[Lp (ft)]],"Yielding Controls",IF(AND($B$5&gt;Table_03[[#This Row],[Lp (ft)]],Table_03[[#This Row],[Lr]]&gt;$B$5),"Mltb,p Controls","Mltb,r Controls"))</f>
        <v>Mltb,p Controls</v>
      </c>
      <c r="AN96" s="186">
        <f>IF(Table_03[[#This Row],[Controlling LTB]]="Yielding Controls",Table_03[[#This Row],[Mp (k-in)]],IF(Table_03[[#This Row],[Controlling LTB]]="Mltb,p Controls",Table_03[[#This Row],[Mnltbp (k-in)]],IF(Table_03[[#This Row],[Controlling LTB]]="Mltb,r Controls",Table_03[[#This Row],[Mnltbr (k-in)]],"ERROR")))</f>
        <v>238.82706278103902</v>
      </c>
      <c r="AO96" s="183">
        <f>MIN(Table_03[[#This Row],[Strength (ksi)]]*Table_03[[#This Row],[Static Parameters Plastic Section Modulus Zy (in3)]],1.6*Table_03[[#This Row],[Strength (ksi)]]*Table_03[[#This Row],[Static Parameters Elastic Section Modulus Sy (in3)3]])</f>
        <v>85.415387500000008</v>
      </c>
      <c r="AP96" s="181">
        <f>MIN(Table_03[[#This Row],[Mny (k-in)]],Table_03[[#This Row],[Mny (k-in)]]-(Table_03[[#This Row],[Mny (k-in)]]-0.7*Table_03[[#This Row],[Static Parameters Elastic Section Modulus Sy (in3)3]]*Table_03[[#This Row],[Strength (ksi)]])*((Table_03[[#This Row],[b/t]]-Table_03[[#This Row],[λpf]])/(Table_03[[#This Row],[λrf]]-Table_03[[#This Row],[λpf]])))</f>
        <v>85.38063634662339</v>
      </c>
      <c r="AQ96" s="184">
        <f>MIN(Table_03[[#This Row],[Mny (k-in)]],Table_03[[#This Row],[Fcry]]*Table_03[[#This Row],[Static Parameters Elastic Section Modulus Sy (in3)3]])</f>
        <v>85.415387500000008</v>
      </c>
      <c r="AR96" s="185" t="str">
        <f>IF(Table_03[[#This Row],[b/t]]&lt;Table_03[[#This Row],[λpf]],"Compact",IF(AND(Table_03[[#This Row],[b/t]]&gt;Table_03[[#This Row],[λpf]],Table_03[[#This Row],[λrf]]&gt;Table_03[[#This Row],[b/t]]),"Non-Compact","Slender"))</f>
        <v>Non-Compact</v>
      </c>
      <c r="AS96" s="186">
        <f>IF(Table_03[[#This Row],[Controlling Lby]]="Compact",Table_03[[#This Row],[Mny (k-in)]],IF(Table_03[[#This Row],[Controlling Lby]]="Non-Compact",Table_03[[#This Row],[Mlby,Non-Compact (k-in)]],IF(Table_03[[#This Row],[Controlling Lby]]="Slender",Table_03[[#This Row],[Mlby,Slender (k-in)]],"ERROR")))</f>
        <v>85.38063634662339</v>
      </c>
      <c r="AT96" s="183">
        <f>MIN(Table_03[[#This Row],[LBx]],Table_03[[#This Row],[LTB]],Table_03[[#This Row],[Mp (k-in)]])</f>
        <v>238.82706278103902</v>
      </c>
      <c r="AU96" s="181">
        <f>Table_03[[#This Row],[Mp (k-in)]]</f>
        <v>311.85509560259595</v>
      </c>
      <c r="AV96" s="181">
        <f>MIN(Table_03[[#This Row],[LBy]],Table_03[[#This Row],[Mny (k-in)]])</f>
        <v>85.38063634662339</v>
      </c>
      <c r="AW96" s="187">
        <f>Table_03[[#This Row],[Mny (k-in)]]</f>
        <v>85.415387500000008</v>
      </c>
      <c r="AX96" s="165">
        <f>AX95+$B$1</f>
        <v>0.25518737884033077</v>
      </c>
      <c r="AY96" s="165">
        <f>IF(4/SQRT((Table_03[[#This Row],[Depth h (in)]]-Table_03[[#This Row],[Flange Thickness tf (in)]]*2)/Table_03[[#This Row],[Web Thickness tw (in)]])&lt;0.35,0.35,IF(4/SQRT(Table_03[[#This Row],[Depth h (in)]]/Table_03[[#This Row],[Web Thickness tw (in)]])&gt;0.76,0.76,4/SQRT(Table_03[[#This Row],[Depth h (in)]]/Table_03[[#This Row],[Web Thickness tw (in)]])))</f>
        <v>0.67898228927752047</v>
      </c>
      <c r="AZ96" s="165"/>
    </row>
    <row r="97" spans="1:55" ht="14.4" thickBot="1" x14ac:dyDescent="0.35">
      <c r="A97" s="188" t="s">
        <v>194</v>
      </c>
      <c r="B97" s="189">
        <f>B96-$B$1*2</f>
        <v>5.9</v>
      </c>
      <c r="C97" s="189">
        <f>C96-$B$1*2</f>
        <v>3.94</v>
      </c>
      <c r="D97" s="189">
        <f>D95-$B$3*2</f>
        <v>9.0000000000000011E-2</v>
      </c>
      <c r="E97" s="189">
        <f>E95-$B$3*2</f>
        <v>0.13500000000000001</v>
      </c>
      <c r="F97" s="190">
        <f>4*(Table_03[[#This Row],[Fillet Radius]]^2*(1-PI()/4))+2*Table_03[[#This Row],[Width w (in)]]*Table_03[[#This Row],[Flange Thickness tf (in)]]+Table_03[[#This Row],[Web Thickness tw (in)]]*(Table_03[[#This Row],[Depth h (in)]]-2*Table_03[[#This Row],[Flange Thickness tf (in)]])</f>
        <v>1.6452978294108727</v>
      </c>
      <c r="G97" s="189"/>
      <c r="H97" s="203">
        <f>2*(1/12*C97*E97^3+C97*E97*((B97/2-E97/2)^2))+
1/12*D97*(B97-2*E97)^3+
4*(1/12*AX97^4+
AX97^2*((AX97/(6-3*PI()/2))-AX97/2)^2-
(PI()*AX97^4/16+PI()*AX97^2/4*((AX97/(6-3*PI()/2))-4*AX97/(3*PI()))^2)+
(AX97^2-PI()*AX97^2/4)*((B97/2-E97-(AX97-AX97/(6-3*PI()/2)))^2))</f>
        <v>10.740131786642472</v>
      </c>
      <c r="I97" s="180">
        <f>2*((1/12)*E97*C97^3)+(1/12)*(B97-2*E97)*D97^3+4*((AX97^2-PI()*AX97^2/4)*(D97/2+(AX97-(AX97/(6-3*PI()/2))))^2)</f>
        <v>1.3774296741181782</v>
      </c>
      <c r="J97" s="181">
        <f>F97*((B97/2)-((C97*E97*(E97/2))+(D97*(B97/2-E97)*(E97+(B97/2-E97)/2))+(2*(AX97^2-PI()*AX97^2/4)*(E97+(AX97-AX97/(6-3*PI()/2)))))/(F97/2))</f>
        <v>3.9852078152584665</v>
      </c>
      <c r="K97" s="190">
        <f>(Table_03[[#This Row],[Width w (in)]]^2*Table_03[[#This Row],[Flange Thickness tf (in)]])/2+0.25*Table_03[[#This Row],[Web Thickness tw (in)]]^2*(Table_03[[#This Row],[Depth h (in)]]-2*Table_03[[#This Row],[Flange Thickness tf (in)]])</f>
        <v>1.05924375</v>
      </c>
      <c r="L97" s="190">
        <f>Table_03[[#This Row],[Static Parameters Moment of Inertia Ix (in4)]]/(Table_03[[#This Row],[Depth h (in)]]/2)</f>
        <v>3.6407226395398209</v>
      </c>
      <c r="M97" s="190">
        <f>Table_03[[#This Row],[Static Parameters Moment of Inertia Iy (in4)]]/(Table_03[[#This Row],[Width w (in)]]/2)</f>
        <v>0.69920288026303457</v>
      </c>
      <c r="N97" s="191">
        <v>50</v>
      </c>
      <c r="O97" s="169">
        <f>SQRT(Table_03[[#This Row],[Static Parameters Moment of Inertia Ix (in4)]]/Table_03[[#This Row],[Sectional Area (in2)]])</f>
        <v>2.5549508080213261</v>
      </c>
      <c r="P97" s="190">
        <f>SQRT(Table_03[[#This Row],[Static Parameters Moment of Inertia Iy (in4)]]/Table_03[[#This Row],[Sectional Area (in2)]])</f>
        <v>0.91498179888209696</v>
      </c>
      <c r="Q97" s="190">
        <f>($B$6*$B$5*12)/Table_03[[#This Row],[ry (in)2]]</f>
        <v>196.23341165842854</v>
      </c>
      <c r="R97" s="190">
        <f>(PI()^2*$B$4)/(Table_03[[#This Row],[KL/ry]]^2)</f>
        <v>7.4327895145941003</v>
      </c>
      <c r="S97" s="190">
        <f>IF(Table_03[[#This Row],[Strength (ksi)]]/Table_03[[#This Row],[Fe,y]]&lt;2.25,(0.658^(Table_03[[#This Row],[Strength (ksi)]]/Table_03[[#This Row],[Fe,y]])*Table_03[[#This Row],[Strength (ksi)]]),0.877*Table_03[[#This Row],[Fe,y]])</f>
        <v>6.5185564042990256</v>
      </c>
      <c r="T97" s="190">
        <f>Table_03[[#This Row],[Fcr,y]]*Table_03[[#This Row],[Sectional Area (in2)]]</f>
        <v>10.72496670288553</v>
      </c>
      <c r="U97" s="190">
        <f>1.76*Table_03[[#This Row],[ry (in)2]]*SQRT($B$4/Table_03[[#This Row],[Strength (ksi)]])/12</f>
        <v>3.2318996949396031</v>
      </c>
      <c r="V9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8.3577270921095188</v>
      </c>
      <c r="W97" s="190">
        <f>Table_03[[#This Row],[Depth h (in)]]-Table_03[[#This Row],[Flange Thickness tf (in)]]</f>
        <v>5.7650000000000006</v>
      </c>
      <c r="X97" s="190">
        <f>(Table_03[[#This Row],[Static Parameters Moment of Inertia Iy (in4)]]*Table_03[[#This Row],[ho]]^2)/4</f>
        <v>11.444796285248584</v>
      </c>
      <c r="Y97" s="190">
        <f>SQRT((SQRT(Table_03[[#This Row],[Static Parameters Moment of Inertia Iy (in4)]]*Table_03[[#This Row],[Cw*]])/Table_03[[#This Row],[Static Parameters Elastic Section Modulus Sx (in3)2]]))</f>
        <v>1.0443007217856692</v>
      </c>
      <c r="Z97" s="190">
        <f>(2*Table_03[[#This Row],[Width w (in)]]*Table_03[[#This Row],[Flange Thickness tf (in)]]^3/3)+((Table_03[[#This Row],[Depth h (in)]]-Table_03[[#This Row],[Flange Thickness tf (in)]]*2)*Table_03[[#This Row],[Web Thickness tw (in)]]^3)/3</f>
        <v>7.8306750000000022E-3</v>
      </c>
      <c r="AA97" s="190">
        <f>Table_03[[#This Row],[Width w (in)]]*0.5/Table_03[[#This Row],[Flange Thickness tf (in)]]</f>
        <v>14.592592592592592</v>
      </c>
      <c r="AB97" s="190">
        <f>0.38*SQRT($B$4/Table_03[[#This Row],[Strength (ksi)]])</f>
        <v>9.1516118798821449</v>
      </c>
      <c r="AC97" s="190">
        <f>1*SQRT($B$4/Table_03[[#This Row],[Strength (ksi)]])</f>
        <v>24.083189157584592</v>
      </c>
      <c r="AD97" s="190">
        <f>(PI()^2*$B$4/(12*$B$5/Table_03[[#This Row],[rts]])^2)*SQRT(1+0.078*(Table_03[[#This Row],[J*]]/(Table_03[[#This Row],[Static Parameters Elastic Section Modulus Sx (in3)2]]*Table_03[[#This Row],[ho]])*$B$4/(12*$B$5/Table_03[[#This Row],[rts]])^2))</f>
        <v>42.701586148652339</v>
      </c>
      <c r="AE97" s="190">
        <f>0.69*$B$4/Table_03[[#This Row],[b/t]]^2</f>
        <v>93.968473807621947</v>
      </c>
      <c r="AF97" s="192">
        <f>Table_03[[#This Row],[Strength (ksi)]]*Table_03[[#This Row],[Static Parameters Plastic Section Modulus Zx (in3)]]</f>
        <v>199.26039076292332</v>
      </c>
      <c r="AG97" s="190">
        <f>Table_03[[#This Row],[Mp (k-in)]]-(Table_03[[#This Row],[Mp (k-in)]]-0.7*Table_03[[#This Row],[Strength (ksi)]]*Table_03[[#This Row],[Static Parameters Elastic Section Modulus Sx (in3)2]])*((Table_03[[#This Row],[b/t]]-Table_03[[#This Row],[λpf]])/(Table_03[[#This Row],[λrf]]-Table_03[[#This Row],[λpf]]))</f>
        <v>173.08409488294117</v>
      </c>
      <c r="AH97" s="193">
        <f>0.9*$B$4*Table_03[[#This Row],[kc]]*Table_03[[#This Row],[Static Parameters Elastic Section Modulus Sx (in3)2]]/Table_03[[#This Row],[b/t]]^2</f>
        <v>220.45422508566676</v>
      </c>
      <c r="AI97" s="194" t="str">
        <f>IF(Table_03[[#This Row],[b/t]]&lt;Table_03[[#This Row],[λpf]],"Compact",IF(AND(Table_03[[#This Row],[b/t]]&gt;Table_03[[#This Row],[λpf]],Table_03[[#This Row],[λrf]]&gt;Table_03[[#This Row],[b/t]]),"Non-Compact","Slender"))</f>
        <v>Non-Compact</v>
      </c>
      <c r="AJ97" s="195">
        <f>IF(Table_03[[#This Row],[Controlling LBx]]="Compact",Table_03[[#This Row],[Mp (k-in)]],IF(Table_03[[#This Row],[Controlling LBx]]="Non-Compact",Table_03[[#This Row],[Mnlb,Non-Compact (k-in)]],IF(Table_03[[#This Row],[Controlling LBx]]="Slender",Table_03[[#This Row],[Mnlb,slender (k-in)]],"ERROR")))</f>
        <v>173.08409488294117</v>
      </c>
      <c r="AK97" s="192">
        <f>Table_03[[#This Row],[Mp (k-in)]]-(Table_03[[#This Row],[Mp (k-in)]]-0.7*Table_03[[#This Row],[Strength (ksi)]]*Table_03[[#This Row],[Static Parameters Elastic Section Modulus Sx (in3)2]])*(($B$5-Table_03[[#This Row],[Lp (ft)]])/(Table_03[[#This Row],[Lr]]-Table_03[[#This Row],[Lp (ft)]]))</f>
        <v>144.70115149399066</v>
      </c>
      <c r="AL97" s="196">
        <f>Table_03[[#This Row],[Fcrx]]*Table_03[[#This Row],[Static Parameters Elastic Section Modulus Sx (in3)2]]</f>
        <v>155.46463143565859</v>
      </c>
      <c r="AM97" s="197" t="str">
        <f>IF($B$5&lt;Table_03[[#This Row],[Lp (ft)]],"Yielding Controls",IF(AND($B$5&gt;Table_03[[#This Row],[Lp (ft)]],Table_03[[#This Row],[Lr]]&gt;$B$5),"Mltb,p Controls","Mltb,r Controls"))</f>
        <v>Mltb,p Controls</v>
      </c>
      <c r="AN97" s="198">
        <f>IF(Table_03[[#This Row],[Controlling LTB]]="Yielding Controls",Table_03[[#This Row],[Mp (k-in)]],IF(Table_03[[#This Row],[Controlling LTB]]="Mltb,p Controls",Table_03[[#This Row],[Mnltbp (k-in)]],IF(Table_03[[#This Row],[Controlling LTB]]="Mltb,r Controls",Table_03[[#This Row],[Mnltbr (k-in)]],"ERROR")))</f>
        <v>144.70115149399066</v>
      </c>
      <c r="AO97" s="199">
        <f>MIN(Table_03[[#This Row],[Strength (ksi)]]*Table_03[[#This Row],[Static Parameters Plastic Section Modulus Zy (in3)]],1.6*Table_03[[#This Row],[Strength (ksi)]]*Table_03[[#This Row],[Static Parameters Elastic Section Modulus Sy (in3)3]])</f>
        <v>52.962187499999999</v>
      </c>
      <c r="AP97" s="169">
        <f>MIN(Table_03[[#This Row],[Mny (k-in)]],Table_03[[#This Row],[Mny (k-in)]]-(Table_03[[#This Row],[Mny (k-in)]]-0.7*Table_03[[#This Row],[Static Parameters Elastic Section Modulus Sy (in3)3]]*Table_03[[#This Row],[Strength (ksi)]])*((Table_03[[#This Row],[b/t]]-Table_03[[#This Row],[λpf]])/(Table_03[[#This Row],[λrf]]-Table_03[[#This Row],[λpf]])))</f>
        <v>42.580564091765531</v>
      </c>
      <c r="AQ97" s="196">
        <f>MIN(Table_03[[#This Row],[Mny (k-in)]],Table_03[[#This Row],[Fcry]]*Table_03[[#This Row],[Static Parameters Elastic Section Modulus Sy (in3)3]])</f>
        <v>52.962187499999999</v>
      </c>
      <c r="AR97" s="197" t="str">
        <f>IF(Table_03[[#This Row],[b/t]]&lt;Table_03[[#This Row],[λpf]],"Compact",IF(AND(Table_03[[#This Row],[b/t]]&gt;Table_03[[#This Row],[λpf]],Table_03[[#This Row],[λrf]]&gt;Table_03[[#This Row],[b/t]]),"Non-Compact","Slender"))</f>
        <v>Non-Compact</v>
      </c>
      <c r="AS97" s="198">
        <f>IF(Table_03[[#This Row],[Controlling Lby]]="Compact",Table_03[[#This Row],[Mny (k-in)]],IF(Table_03[[#This Row],[Controlling Lby]]="Non-Compact",Table_03[[#This Row],[Mlby,Non-Compact (k-in)]],IF(Table_03[[#This Row],[Controlling Lby]]="Slender",Table_03[[#This Row],[Mlby,Slender (k-in)]],"ERROR")))</f>
        <v>42.580564091765531</v>
      </c>
      <c r="AT97" s="199">
        <f>MIN(Table_03[[#This Row],[LBx]],Table_03[[#This Row],[LTB]],Table_03[[#This Row],[Mp (k-in)]])</f>
        <v>144.70115149399066</v>
      </c>
      <c r="AU97" s="169">
        <f>Table_03[[#This Row],[Mp (k-in)]]</f>
        <v>199.26039076292332</v>
      </c>
      <c r="AV97" s="169">
        <f>MIN(Table_03[[#This Row],[LBy]],Table_03[[#This Row],[Mny (k-in)]])</f>
        <v>42.580564091765531</v>
      </c>
      <c r="AW97" s="200">
        <f>Table_03[[#This Row],[Mny (k-in)]]</f>
        <v>52.962187499999999</v>
      </c>
      <c r="AX97" s="165">
        <f>AX95+$B$3</f>
        <v>0.29518737884033075</v>
      </c>
      <c r="AY97" s="165">
        <f>IF(4/SQRT((Table_03[[#This Row],[Depth h (in)]]-Table_03[[#This Row],[Flange Thickness tf (in)]]*2)/Table_03[[#This Row],[Web Thickness tw (in)]])&lt;0.35,0.35,IF(4/SQRT(Table_03[[#This Row],[Depth h (in)]]/Table_03[[#This Row],[Web Thickness tw (in)]])&gt;0.76,0.76,4/SQRT(Table_03[[#This Row],[Depth h (in)]]/Table_03[[#This Row],[Web Thickness tw (in)]])))</f>
        <v>0.49403218175557095</v>
      </c>
      <c r="AZ97" s="165"/>
    </row>
    <row r="98" spans="1:55" ht="14.4" thickBot="1" x14ac:dyDescent="0.35">
      <c r="A98" s="201" t="s">
        <v>614</v>
      </c>
      <c r="B98" s="202">
        <v>5.96</v>
      </c>
      <c r="C98" s="202">
        <v>3.97</v>
      </c>
      <c r="D98" s="202">
        <v>0.2</v>
      </c>
      <c r="E98" s="202">
        <v>0.247</v>
      </c>
      <c r="F98" s="203">
        <v>3.13</v>
      </c>
      <c r="G98" s="204">
        <v>10.5</v>
      </c>
      <c r="H98" s="203">
        <v>19.3</v>
      </c>
      <c r="I98" s="203">
        <v>2.58</v>
      </c>
      <c r="J98" s="203">
        <f>Table_03[[#This Row],[Width w (in)]]*Table_03[[#This Row],[Flange Thickness tf (in)]]*(Table_03[[#This Row],[Depth h (in)]]-Table_03[[#This Row],[Flange Thickness tf (in)]])+0.25*Table_03[[#This Row],[Web Thickness tw (in)]]*(Table_03[[#This Row],[Depth h (in)]]-2*Table_03[[#This Row],[Flange Thickness tf (in)]])^2</f>
        <v>7.0959684700000007</v>
      </c>
      <c r="K98" s="203">
        <f>(Table_03[[#This Row],[Width w (in)]]^2*Table_03[[#This Row],[Flange Thickness tf (in)]])/2+0.25*Table_03[[#This Row],[Web Thickness tw (in)]]^2*(Table_03[[#This Row],[Depth h (in)]]-2*Table_03[[#This Row],[Flange Thickness tf (in)]])</f>
        <v>2.00113115</v>
      </c>
      <c r="L98" s="203">
        <v>6.48</v>
      </c>
      <c r="M98" s="203">
        <v>1.3</v>
      </c>
      <c r="N98" s="205">
        <v>50</v>
      </c>
      <c r="O98" s="206">
        <f>SQRT(Table_03[[#This Row],[Static Parameters Moment of Inertia Ix (in4)]]/Table_03[[#This Row],[Sectional Area (in2)]])</f>
        <v>2.4831701885500146</v>
      </c>
      <c r="P98" s="203">
        <f>SQRT(Table_03[[#This Row],[Static Parameters Moment of Inertia Iy (in4)]]/Table_03[[#This Row],[Sectional Area (in2)]])</f>
        <v>0.90789930617868875</v>
      </c>
      <c r="Q98" s="203">
        <f>($B$6*$B$5*12)/Table_03[[#This Row],[ry (in)2]]</f>
        <v>197.76422206524055</v>
      </c>
      <c r="R98" s="203">
        <f>(PI()^2*$B$4)/(Table_03[[#This Row],[KL/ry]]^2)</f>
        <v>7.318166611590601</v>
      </c>
      <c r="S98" s="203">
        <f>IF(Table_03[[#This Row],[Strength (ksi)]]/Table_03[[#This Row],[Fe,y]]&lt;2.25,(0.658^(Table_03[[#This Row],[Strength (ksi)]]/Table_03[[#This Row],[Fe,y]])*Table_03[[#This Row],[Strength (ksi)]]),0.877*Table_03[[#This Row],[Fe,y]])</f>
        <v>6.4180321183649571</v>
      </c>
      <c r="T98" s="203">
        <f>Table_03[[#This Row],[Fcr,y]]*Table_03[[#This Row],[Sectional Area (in2)]]</f>
        <v>20.088440530482316</v>
      </c>
      <c r="U98" s="203">
        <f>1.76*Table_03[[#This Row],[ry (in)2]]*SQRT($B$4/Table_03[[#This Row],[Strength (ksi)]])/12</f>
        <v>3.2068829065887048</v>
      </c>
      <c r="V9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10.088841850649557</v>
      </c>
      <c r="W98" s="203">
        <f>Table_03[[#This Row],[Depth h (in)]]-Table_03[[#This Row],[Flange Thickness tf (in)]]</f>
        <v>5.7130000000000001</v>
      </c>
      <c r="X98" s="203">
        <f>(Table_03[[#This Row],[Static Parameters Moment of Inertia Iy (in4)]]*Table_03[[#This Row],[ho]]^2)/4</f>
        <v>21.051748005000004</v>
      </c>
      <c r="Y98" s="203">
        <f>SQRT((SQRT(Table_03[[#This Row],[Static Parameters Moment of Inertia Iy (in4)]]*Table_03[[#This Row],[Cw*]])/Table_03[[#This Row],[Static Parameters Elastic Section Modulus Sx (in3)2]]))</f>
        <v>1.0664474601147425</v>
      </c>
      <c r="Z98" s="203">
        <f>(2*Table_03[[#This Row],[Width w (in)]]*Table_03[[#This Row],[Flange Thickness tf (in)]]^3/3)+((Table_03[[#This Row],[Depth h (in)]]-Table_03[[#This Row],[Flange Thickness tf (in)]]*2)*Table_03[[#This Row],[Web Thickness tw (in)]]^3)/3</f>
        <v>5.4459210206666671E-2</v>
      </c>
      <c r="AA98" s="203">
        <f>Table_03[[#This Row],[Width w (in)]]*0.5/Table_03[[#This Row],[Flange Thickness tf (in)]]</f>
        <v>8.0364372469635637</v>
      </c>
      <c r="AB98" s="203">
        <f>0.38*SQRT($B$4/Table_03[[#This Row],[Strength (ksi)]])</f>
        <v>9.1516118798821449</v>
      </c>
      <c r="AC98" s="203">
        <f>1*SQRT($B$4/Table_03[[#This Row],[Strength (ksi)]])</f>
        <v>24.083189157584592</v>
      </c>
      <c r="AD98" s="203">
        <f>(PI()^2*$B$4/(12*$B$5/Table_03[[#This Row],[rts]])^2)*SQRT(1+0.078*(Table_03[[#This Row],[J*]]/(Table_03[[#This Row],[Static Parameters Elastic Section Modulus Sx (in3)2]]*Table_03[[#This Row],[ho]])*$B$4/(12*$B$5/Table_03[[#This Row],[rts]])^2))</f>
        <v>44.540678514135124</v>
      </c>
      <c r="AE98" s="203">
        <f>0.69*$B$4/Table_03[[#This Row],[b/t]]^2</f>
        <v>309.82750731239963</v>
      </c>
      <c r="AF98" s="207">
        <f>Table_03[[#This Row],[Strength (ksi)]]*Table_03[[#This Row],[Static Parameters Plastic Section Modulus Zx (in3)]]</f>
        <v>354.79842350000001</v>
      </c>
      <c r="AG98" s="203">
        <f>Table_03[[#This Row],[Mp (k-in)]]-(Table_03[[#This Row],[Mp (k-in)]]-0.7*Table_03[[#This Row],[Strength (ksi)]]*Table_03[[#This Row],[Static Parameters Elastic Section Modulus Sx (in3)2]])*((Table_03[[#This Row],[b/t]]-Table_03[[#This Row],[λpf]])/(Table_03[[#This Row],[λrf]]-Table_03[[#This Row],[λpf]]))</f>
        <v>364.35806963021332</v>
      </c>
      <c r="AH98" s="208">
        <f>0.9*$B$4*Table_03[[#This Row],[kc]]*Table_03[[#This Row],[Static Parameters Elastic Section Modulus Sx (in3)2]]/Table_03[[#This Row],[b/t]]^2</f>
        <v>1918.8465994386468</v>
      </c>
      <c r="AI98" s="209" t="str">
        <f>IF(Table_03[[#This Row],[b/t]]&lt;Table_03[[#This Row],[λpf]],"Compact",IF(AND(Table_03[[#This Row],[b/t]]&gt;Table_03[[#This Row],[λpf]],Table_03[[#This Row],[λrf]]&gt;Table_03[[#This Row],[b/t]]),"Non-Compact","Slender"))</f>
        <v>Compact</v>
      </c>
      <c r="AJ98" s="210">
        <f>IF(Table_03[[#This Row],[Controlling LBx]]="Compact",Table_03[[#This Row],[Mp (k-in)]],IF(Table_03[[#This Row],[Controlling LBx]]="Non-Compact",Table_03[[#This Row],[Mnlb,Non-Compact (k-in)]],IF(Table_03[[#This Row],[Controlling LBx]]="Slender",Table_03[[#This Row],[Mnlb,slender (k-in)]],"ERROR")))</f>
        <v>354.79842350000001</v>
      </c>
      <c r="AK98" s="207">
        <f>Table_03[[#This Row],[Mp (k-in)]]-(Table_03[[#This Row],[Mp (k-in)]]-0.7*Table_03[[#This Row],[Strength (ksi)]]*Table_03[[#This Row],[Static Parameters Elastic Section Modulus Sx (in3)2]])*(($B$5-Table_03[[#This Row],[Lp (ft)]])/(Table_03[[#This Row],[Lr]]-Table_03[[#This Row],[Lp (ft)]]))</f>
        <v>281.92486887383433</v>
      </c>
      <c r="AL98" s="211">
        <f>Table_03[[#This Row],[Fcrx]]*Table_03[[#This Row],[Static Parameters Elastic Section Modulus Sx (in3)2]]</f>
        <v>288.6235967715956</v>
      </c>
      <c r="AM98" s="212" t="str">
        <f>IF($B$5&lt;Table_03[[#This Row],[Lp (ft)]],"Yielding Controls",IF(AND($B$5&gt;Table_03[[#This Row],[Lp (ft)]],Table_03[[#This Row],[Lr]]&gt;$B$5),"Mltb,p Controls","Mltb,r Controls"))</f>
        <v>Mltb,p Controls</v>
      </c>
      <c r="AN98" s="213">
        <f>IF(Table_03[[#This Row],[Controlling LTB]]="Yielding Controls",Table_03[[#This Row],[Mp (k-in)]],IF(Table_03[[#This Row],[Controlling LTB]]="Mltb,p Controls",Table_03[[#This Row],[Mnltbp (k-in)]],IF(Table_03[[#This Row],[Controlling LTB]]="Mltb,r Controls",Table_03[[#This Row],[Mnltbr (k-in)]],"ERROR")))</f>
        <v>281.92486887383433</v>
      </c>
      <c r="AO98" s="214">
        <f>MIN(Table_03[[#This Row],[Strength (ksi)]]*Table_03[[#This Row],[Static Parameters Plastic Section Modulus Zy (in3)]],1.6*Table_03[[#This Row],[Strength (ksi)]]*Table_03[[#This Row],[Static Parameters Elastic Section Modulus Sy (in3)3]])</f>
        <v>100.0565575</v>
      </c>
      <c r="AP98" s="206">
        <f>MIN(Table_03[[#This Row],[Mny (k-in)]],Table_03[[#This Row],[Mny (k-in)]]-(Table_03[[#This Row],[Mny (k-in)]]-0.7*Table_03[[#This Row],[Static Parameters Elastic Section Modulus Sy (in3)3]]*Table_03[[#This Row],[Strength (ksi)]])*((Table_03[[#This Row],[b/t]]-Table_03[[#This Row],[λpf]])/(Table_03[[#This Row],[λrf]]-Table_03[[#This Row],[λpf]])))</f>
        <v>100.0565575</v>
      </c>
      <c r="AQ98" s="211">
        <f>MIN(Table_03[[#This Row],[Mny (k-in)]],Table_03[[#This Row],[Fcry]]*Table_03[[#This Row],[Static Parameters Elastic Section Modulus Sy (in3)3]])</f>
        <v>100.0565575</v>
      </c>
      <c r="AR98" s="212" t="str">
        <f>IF(Table_03[[#This Row],[b/t]]&lt;Table_03[[#This Row],[λpf]],"Compact",IF(AND(Table_03[[#This Row],[b/t]]&gt;Table_03[[#This Row],[λpf]],Table_03[[#This Row],[λrf]]&gt;Table_03[[#This Row],[b/t]]),"Non-Compact","Slender"))</f>
        <v>Compact</v>
      </c>
      <c r="AS98" s="213">
        <f>IF(Table_03[[#This Row],[Controlling Lby]]="Compact",Table_03[[#This Row],[Mny (k-in)]],IF(Table_03[[#This Row],[Controlling Lby]]="Non-Compact",Table_03[[#This Row],[Mlby,Non-Compact (k-in)]],IF(Table_03[[#This Row],[Controlling Lby]]="Slender",Table_03[[#This Row],[Mlby,Slender (k-in)]],"ERROR")))</f>
        <v>100.0565575</v>
      </c>
      <c r="AT98" s="214">
        <f>MIN(Table_03[[#This Row],[LBx]],Table_03[[#This Row],[LTB]],Table_03[[#This Row],[Mp (k-in)]])</f>
        <v>281.92486887383433</v>
      </c>
      <c r="AU98" s="206">
        <f>Table_03[[#This Row],[Mp (k-in)]]</f>
        <v>354.79842350000001</v>
      </c>
      <c r="AV98" s="206">
        <f>MIN(Table_03[[#This Row],[LBy]],Table_03[[#This Row],[Mny (k-in)]])</f>
        <v>100.0565575</v>
      </c>
      <c r="AW98" s="215">
        <f>Table_03[[#This Row],[Mny (k-in)]]</f>
        <v>100.0565575</v>
      </c>
      <c r="AX98" s="165">
        <f>SQRT(((Table_03[[#This Row],[Sectional Area (in2)]]-(Table_03[[#This Row],[Flange Thickness tf (in)]]*Table_03[[#This Row],[Width w (in)]]*2+Table_03[[#This Row],[Web Thickness tw (in)]]*((Table_03[[#This Row],[Depth h (in)]]-2*Table_03[[#This Row],[Flange Thickness tf (in)]]))))/4)/(1-PI()/4))</f>
        <v>0.29680528075723839</v>
      </c>
      <c r="AY98" s="165">
        <f>IF(4/SQRT((Table_03[[#This Row],[Depth h (in)]]-Table_03[[#This Row],[Flange Thickness tf (in)]]*2)/Table_03[[#This Row],[Web Thickness tw (in)]])&lt;0.35,0.35,IF(4/SQRT(Table_03[[#This Row],[Depth h (in)]]/Table_03[[#This Row],[Web Thickness tw (in)]])&gt;0.76,0.76,4/SQRT(Table_03[[#This Row],[Depth h (in)]]/Table_03[[#This Row],[Web Thickness tw (in)]])))</f>
        <v>0.73274330544731181</v>
      </c>
      <c r="AZ98" s="165"/>
    </row>
    <row r="99" spans="1:55" ht="14.4" thickBot="1" x14ac:dyDescent="0.35">
      <c r="A99" s="179" t="s">
        <v>615</v>
      </c>
      <c r="B99" s="180">
        <f>B98-$B$1*2</f>
        <v>5.96</v>
      </c>
      <c r="C99" s="180">
        <f>C98-$B$1*2</f>
        <v>3.97</v>
      </c>
      <c r="D99" s="180">
        <f>D98-$B$1*2</f>
        <v>0.2</v>
      </c>
      <c r="E99" s="180">
        <f>E98-$B$1*2</f>
        <v>0.247</v>
      </c>
      <c r="F99" s="181">
        <f>4*(Table_03[[#This Row],[Fillet Radius]]^2*(1-PI()/4))+2*Table_03[[#This Row],[Width w (in)]]*Table_03[[#This Row],[Flange Thickness tf (in)]]+Table_03[[#This Row],[Web Thickness tw (in)]]*(Table_03[[#This Row],[Depth h (in)]]-2*Table_03[[#This Row],[Flange Thickness tf (in)]])</f>
        <v>3.13</v>
      </c>
      <c r="G99" s="180"/>
      <c r="H99" s="203">
        <f>2*(1/12*C99*E99^3+C99*E99*((B99/2-E99/2)^2))+
1/12*D99*(B99-2*E99)^3+
4*(1/12*AX99^4+
AX99^2*((AX99/(6-3*PI()/2))-AX99/2)^2-
(PI()*AX99^4/16+PI()*AX99^2/4*((AX99/(6-3*PI()/2))-4*AX99/(3*PI()))^2)+
(AX99^2-PI()*AX99^2/4)*((B99/2-E99-(AX99-AX99/(6-3*PI()/2)))^2))</f>
        <v>19.267808507522176</v>
      </c>
      <c r="I99" s="180">
        <f>2*((1/12)*E99*C99^3)+(1/12)*(B99-2*E99)*D99^3+4*((AX99^2-PI()*AX99^2/4)*(D99/2+(AX99-(AX99/(6-3*PI()/2))))^2)</f>
        <v>2.5815653975546997</v>
      </c>
      <c r="J99" s="181">
        <f>F99*((B99/2)-((C99*E99*(E99/2))+(D99*(B99/2-E99)*(E99+(B99/2-E99)/2))+(2*(AX99^2-PI()*AX99^2/4)*(E99+(AX99-AX99/(6-3*PI()/2)))))/(F99/2))</f>
        <v>7.2976245672067019</v>
      </c>
      <c r="K99" s="181">
        <f>(Table_03[[#This Row],[Width w (in)]]^2*Table_03[[#This Row],[Flange Thickness tf (in)]])/2+0.25*Table_03[[#This Row],[Web Thickness tw (in)]]^2*(Table_03[[#This Row],[Depth h (in)]]-2*Table_03[[#This Row],[Flange Thickness tf (in)]])</f>
        <v>2.00113115</v>
      </c>
      <c r="L99" s="181">
        <f>Table_03[[#This Row],[Static Parameters Moment of Inertia Ix (in4)]]/(Table_03[[#This Row],[Depth h (in)]]/2)</f>
        <v>6.4657075528597909</v>
      </c>
      <c r="M99" s="181">
        <f>Table_03[[#This Row],[Static Parameters Moment of Inertia Iy (in4)]]/(Table_03[[#This Row],[Width w (in)]]/2)</f>
        <v>1.3005367242089168</v>
      </c>
      <c r="N99" s="182">
        <v>50</v>
      </c>
      <c r="O99" s="181">
        <f>SQRT(Table_03[[#This Row],[Static Parameters Moment of Inertia Ix (in4)]]/Table_03[[#This Row],[Sectional Area (in2)]])</f>
        <v>2.4810984187302236</v>
      </c>
      <c r="P99" s="181">
        <f>SQRT(Table_03[[#This Row],[Static Parameters Moment of Inertia Iy (in4)]]/Table_03[[#This Row],[Sectional Area (in2)]])</f>
        <v>0.90817469529492256</v>
      </c>
      <c r="Q99" s="181">
        <f>($B$6*$B$5*12)/Table_03[[#This Row],[ry (in)2]]</f>
        <v>197.70425330083941</v>
      </c>
      <c r="R99" s="181">
        <f>(PI()^2*$B$4)/(Table_03[[#This Row],[KL/ry]]^2)</f>
        <v>7.3226068596986131</v>
      </c>
      <c r="S99" s="181">
        <f>IF(Table_03[[#This Row],[Strength (ksi)]]/Table_03[[#This Row],[Fe,y]]&lt;2.25,(0.658^(Table_03[[#This Row],[Strength (ksi)]]/Table_03[[#This Row],[Fe,y]])*Table_03[[#This Row],[Strength (ksi)]]),0.877*Table_03[[#This Row],[Fe,y]])</f>
        <v>6.4219262159556836</v>
      </c>
      <c r="T99" s="181">
        <f>Table_03[[#This Row],[Fcr,y]]*Table_03[[#This Row],[Sectional Area (in2)]]</f>
        <v>20.10062905594129</v>
      </c>
      <c r="U99" s="181">
        <f>1.76*Table_03[[#This Row],[ry (in)2]]*SQRT($B$4/Table_03[[#This Row],[Strength (ksi)]])/12</f>
        <v>3.2078556363215078</v>
      </c>
      <c r="V9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10.107789961497602</v>
      </c>
      <c r="W99" s="181">
        <f>Table_03[[#This Row],[Depth h (in)]]-Table_03[[#This Row],[Flange Thickness tf (in)]]</f>
        <v>5.7130000000000001</v>
      </c>
      <c r="X99" s="181">
        <f>(Table_03[[#This Row],[Static Parameters Moment of Inertia Iy (in4)]]*Table_03[[#This Row],[ho]]^2)/4</f>
        <v>21.064521010755499</v>
      </c>
      <c r="Y99" s="181">
        <f>SQRT((SQRT(Table_03[[#This Row],[Static Parameters Moment of Inertia Iy (in4)]]*Table_03[[#This Row],[Cw*]])/Table_03[[#This Row],[Static Parameters Elastic Section Modulus Sx (in3)2]]))</f>
        <v>1.0679493387263346</v>
      </c>
      <c r="Z99" s="181">
        <f>(2*Table_03[[#This Row],[Width w (in)]]*Table_03[[#This Row],[Flange Thickness tf (in)]]^3/3)+((Table_03[[#This Row],[Depth h (in)]]-Table_03[[#This Row],[Flange Thickness tf (in)]]*2)*Table_03[[#This Row],[Web Thickness tw (in)]]^3)/3</f>
        <v>5.4459210206666671E-2</v>
      </c>
      <c r="AA99" s="181">
        <f>Table_03[[#This Row],[Width w (in)]]*0.5/Table_03[[#This Row],[Flange Thickness tf (in)]]</f>
        <v>8.0364372469635637</v>
      </c>
      <c r="AB99" s="181">
        <f>0.38*SQRT($B$4/Table_03[[#This Row],[Strength (ksi)]])</f>
        <v>9.1516118798821449</v>
      </c>
      <c r="AC99" s="181">
        <f>1*SQRT($B$4/Table_03[[#This Row],[Strength (ksi)]])</f>
        <v>24.083189157584592</v>
      </c>
      <c r="AD99" s="181">
        <f>(PI()^2*$B$4/(12*$B$5/Table_03[[#This Row],[rts]])^2)*SQRT(1+0.078*(Table_03[[#This Row],[J*]]/(Table_03[[#This Row],[Static Parameters Elastic Section Modulus Sx (in3)2]]*Table_03[[#This Row],[ho]])*$B$4/(12*$B$5/Table_03[[#This Row],[rts]])^2))</f>
        <v>44.666278368324285</v>
      </c>
      <c r="AE99" s="181">
        <f>0.69*$B$4/Table_03[[#This Row],[b/t]]^2</f>
        <v>309.82750731239963</v>
      </c>
      <c r="AF99" s="183">
        <f>Table_03[[#This Row],[Strength (ksi)]]*Table_03[[#This Row],[Static Parameters Plastic Section Modulus Zx (in3)]]</f>
        <v>364.88122836033511</v>
      </c>
      <c r="AG99" s="181">
        <f>Table_03[[#This Row],[Mp (k-in)]]-(Table_03[[#This Row],[Mp (k-in)]]-0.7*Table_03[[#This Row],[Strength (ksi)]]*Table_03[[#This Row],[Static Parameters Elastic Section Modulus Sx (in3)2]])*((Table_03[[#This Row],[b/t]]-Table_03[[#This Row],[λpf]])/(Table_03[[#This Row],[λrf]]-Table_03[[#This Row],[λpf]]))</f>
        <v>375.23127580560549</v>
      </c>
      <c r="AH99" s="184">
        <f>0.9*$B$4*Table_03[[#This Row],[kc]]*Table_03[[#This Row],[Static Parameters Elastic Section Modulus Sx (in3)2]]/Table_03[[#This Row],[b/t]]^2</f>
        <v>1914.6143442545961</v>
      </c>
      <c r="AI99" s="185" t="str">
        <f>IF(Table_03[[#This Row],[b/t]]&lt;Table_03[[#This Row],[λpf]],"Compact",IF(AND(Table_03[[#This Row],[b/t]]&gt;Table_03[[#This Row],[λpf]],Table_03[[#This Row],[λrf]]&gt;Table_03[[#This Row],[b/t]]),"Non-Compact","Slender"))</f>
        <v>Compact</v>
      </c>
      <c r="AJ99" s="186">
        <f>IF(Table_03[[#This Row],[Controlling LBx]]="Compact",Table_03[[#This Row],[Mp (k-in)]],IF(Table_03[[#This Row],[Controlling LBx]]="Non-Compact",Table_03[[#This Row],[Mnlb,Non-Compact (k-in)]],IF(Table_03[[#This Row],[Controlling LBx]]="Slender",Table_03[[#This Row],[Mnlb,slender (k-in)]],"ERROR")))</f>
        <v>364.88122836033511</v>
      </c>
      <c r="AK99" s="183">
        <f>Table_03[[#This Row],[Mp (k-in)]]-(Table_03[[#This Row],[Mp (k-in)]]-0.7*Table_03[[#This Row],[Strength (ksi)]]*Table_03[[#This Row],[Static Parameters Elastic Section Modulus Sx (in3)2]])*(($B$5-Table_03[[#This Row],[Lp (ft)]])/(Table_03[[#This Row],[Lr]]-Table_03[[#This Row],[Lp (ft)]]))</f>
        <v>286.20749393400331</v>
      </c>
      <c r="AL99" s="184">
        <f>Table_03[[#This Row],[Fcrx]]*Table_03[[#This Row],[Static Parameters Elastic Section Modulus Sx (in3)2]]</f>
        <v>288.79909340421221</v>
      </c>
      <c r="AM99" s="185" t="str">
        <f>IF($B$5&lt;Table_03[[#This Row],[Lp (ft)]],"Yielding Controls",IF(AND($B$5&gt;Table_03[[#This Row],[Lp (ft)]],Table_03[[#This Row],[Lr]]&gt;$B$5),"Mltb,p Controls","Mltb,r Controls"))</f>
        <v>Mltb,p Controls</v>
      </c>
      <c r="AN99" s="186">
        <f>IF(Table_03[[#This Row],[Controlling LTB]]="Yielding Controls",Table_03[[#This Row],[Mp (k-in)]],IF(Table_03[[#This Row],[Controlling LTB]]="Mltb,p Controls",Table_03[[#This Row],[Mnltbp (k-in)]],IF(Table_03[[#This Row],[Controlling LTB]]="Mltb,r Controls",Table_03[[#This Row],[Mnltbr (k-in)]],"ERROR")))</f>
        <v>286.20749393400331</v>
      </c>
      <c r="AO99" s="183">
        <f>MIN(Table_03[[#This Row],[Strength (ksi)]]*Table_03[[#This Row],[Static Parameters Plastic Section Modulus Zy (in3)]],1.6*Table_03[[#This Row],[Strength (ksi)]]*Table_03[[#This Row],[Static Parameters Elastic Section Modulus Sy (in3)3]])</f>
        <v>100.0565575</v>
      </c>
      <c r="AP99" s="181">
        <f>MIN(Table_03[[#This Row],[Mny (k-in)]],Table_03[[#This Row],[Mny (k-in)]]-(Table_03[[#This Row],[Mny (k-in)]]-0.7*Table_03[[#This Row],[Static Parameters Elastic Section Modulus Sy (in3)3]]*Table_03[[#This Row],[Strength (ksi)]])*((Table_03[[#This Row],[b/t]]-Table_03[[#This Row],[λpf]])/(Table_03[[#This Row],[λrf]]-Table_03[[#This Row],[λpf]])))</f>
        <v>100.0565575</v>
      </c>
      <c r="AQ99" s="184">
        <f>MIN(Table_03[[#This Row],[Mny (k-in)]],Table_03[[#This Row],[Fcry]]*Table_03[[#This Row],[Static Parameters Elastic Section Modulus Sy (in3)3]])</f>
        <v>100.0565575</v>
      </c>
      <c r="AR99" s="185" t="str">
        <f>IF(Table_03[[#This Row],[b/t]]&lt;Table_03[[#This Row],[λpf]],"Compact",IF(AND(Table_03[[#This Row],[b/t]]&gt;Table_03[[#This Row],[λpf]],Table_03[[#This Row],[λrf]]&gt;Table_03[[#This Row],[b/t]]),"Non-Compact","Slender"))</f>
        <v>Compact</v>
      </c>
      <c r="AS99" s="186">
        <f>IF(Table_03[[#This Row],[Controlling Lby]]="Compact",Table_03[[#This Row],[Mny (k-in)]],IF(Table_03[[#This Row],[Controlling Lby]]="Non-Compact",Table_03[[#This Row],[Mlby,Non-Compact (k-in)]],IF(Table_03[[#This Row],[Controlling Lby]]="Slender",Table_03[[#This Row],[Mlby,Slender (k-in)]],"ERROR")))</f>
        <v>100.0565575</v>
      </c>
      <c r="AT99" s="183">
        <f>MIN(Table_03[[#This Row],[LBx]],Table_03[[#This Row],[LTB]],Table_03[[#This Row],[Mp (k-in)]])</f>
        <v>286.20749393400331</v>
      </c>
      <c r="AU99" s="181">
        <f>Table_03[[#This Row],[Mp (k-in)]]</f>
        <v>364.88122836033511</v>
      </c>
      <c r="AV99" s="181">
        <f>MIN(Table_03[[#This Row],[LBy]],Table_03[[#This Row],[Mny (k-in)]])</f>
        <v>100.0565575</v>
      </c>
      <c r="AW99" s="187">
        <f>Table_03[[#This Row],[Mny (k-in)]]</f>
        <v>100.0565575</v>
      </c>
      <c r="AX99" s="165">
        <f>AX98+$B$1</f>
        <v>0.29680528075723839</v>
      </c>
      <c r="AY99" s="165">
        <f>IF(4/SQRT((Table_03[[#This Row],[Depth h (in)]]-Table_03[[#This Row],[Flange Thickness tf (in)]]*2)/Table_03[[#This Row],[Web Thickness tw (in)]])&lt;0.35,0.35,IF(4/SQRT(Table_03[[#This Row],[Depth h (in)]]/Table_03[[#This Row],[Web Thickness tw (in)]])&gt;0.76,0.76,4/SQRT(Table_03[[#This Row],[Depth h (in)]]/Table_03[[#This Row],[Web Thickness tw (in)]])))</f>
        <v>0.73274330544731181</v>
      </c>
      <c r="AZ99" s="165"/>
    </row>
    <row r="100" spans="1:55" ht="14.4" thickBot="1" x14ac:dyDescent="0.35">
      <c r="A100" s="188" t="s">
        <v>616</v>
      </c>
      <c r="B100" s="189">
        <f>B98-$B$3*2</f>
        <v>5.88</v>
      </c>
      <c r="C100" s="189">
        <f>C98-$B$3*2</f>
        <v>3.89</v>
      </c>
      <c r="D100" s="189">
        <f>D98-$B$3*2</f>
        <v>0.12000000000000001</v>
      </c>
      <c r="E100" s="189">
        <f>E98-$B$3*2</f>
        <v>0.16699999999999998</v>
      </c>
      <c r="F100" s="190">
        <f>4*(Table_03[[#This Row],[Fillet Radius]]^2*(1-PI()/4))+2*Table_03[[#This Row],[Width w (in)]]*Table_03[[#This Row],[Flange Thickness tf (in)]]+Table_03[[#This Row],[Web Thickness tw (in)]]*(Table_03[[#This Row],[Depth h (in)]]-2*Table_03[[#This Row],[Flange Thickness tf (in)]])</f>
        <v>2.0621558384306846</v>
      </c>
      <c r="G100" s="189"/>
      <c r="H100" s="203">
        <f>2*(1/12*C100*E100^3+C100*E100*((B100/2-E100/2)^2))+
1/12*D100*(B100-2*E100)^3+
4*(1/12*AX100^4+
AX100^2*((AX100/(6-3*PI()/2))-AX100/2)^2-
(PI()*AX100^4/16+PI()*AX100^2/4*((AX100/(6-3*PI()/2))-4*AX100/(3*PI()))^2)+
(AX100^2-PI()*AX100^2/4)*((B100/2-E100-(AX100-AX100/(6-3*PI()/2)))^2))</f>
        <v>13.012099978414303</v>
      </c>
      <c r="I100" s="180">
        <f>2*((1/12)*E100*C100^3)+(1/12)*(B100-2*E100)*D100^3+4*((AX100^2-PI()*AX100^2/4)*(D100/2+(AX100-(AX100/(6-3*PI()/2))))^2)</f>
        <v>1.6409570775540132</v>
      </c>
      <c r="J100" s="181">
        <f>F100*((B100/2)-((C100*E100*(E100/2))+(D100*(B100/2-E100)*(E100+(B100/2-E100)/2))+(2*(AX100^2-PI()*AX100^2/4)*(E100+(AX100-AX100/(6-3*PI()/2)))))/(F100/2))</f>
        <v>4.896777139444155</v>
      </c>
      <c r="K100" s="190">
        <f>(Table_03[[#This Row],[Width w (in)]]^2*Table_03[[#This Row],[Flange Thickness tf (in)]])/2+0.25*Table_03[[#This Row],[Web Thickness tw (in)]]^2*(Table_03[[#This Row],[Depth h (in)]]-2*Table_03[[#This Row],[Flange Thickness tf (in)]])</f>
        <v>1.2834959499999998</v>
      </c>
      <c r="L100" s="190">
        <f>Table_03[[#This Row],[Static Parameters Moment of Inertia Ix (in4)]]/(Table_03[[#This Row],[Depth h (in)]]/2)</f>
        <v>4.4258843463994229</v>
      </c>
      <c r="M100" s="190">
        <f>Table_03[[#This Row],[Static Parameters Moment of Inertia Iy (in4)]]/(Table_03[[#This Row],[Width w (in)]]/2)</f>
        <v>0.84367973139023811</v>
      </c>
      <c r="N100" s="191">
        <v>50</v>
      </c>
      <c r="O100" s="169">
        <f>SQRT(Table_03[[#This Row],[Static Parameters Moment of Inertia Ix (in4)]]/Table_03[[#This Row],[Sectional Area (in2)]])</f>
        <v>2.5119613605082836</v>
      </c>
      <c r="P100" s="190">
        <f>SQRT(Table_03[[#This Row],[Static Parameters Moment of Inertia Iy (in4)]]/Table_03[[#This Row],[Sectional Area (in2)]])</f>
        <v>0.89204727243950754</v>
      </c>
      <c r="Q100" s="190">
        <f>($B$6*$B$5*12)/Table_03[[#This Row],[ry (in)2]]</f>
        <v>201.27857070733418</v>
      </c>
      <c r="R100" s="190">
        <f>(PI()^2*$B$4)/(Table_03[[#This Row],[KL/ry]]^2)</f>
        <v>7.0648454166004404</v>
      </c>
      <c r="S100" s="190">
        <f>IF(Table_03[[#This Row],[Strength (ksi)]]/Table_03[[#This Row],[Fe,y]]&lt;2.25,(0.658^(Table_03[[#This Row],[Strength (ksi)]]/Table_03[[#This Row],[Fe,y]])*Table_03[[#This Row],[Strength (ksi)]]),0.877*Table_03[[#This Row],[Fe,y]])</f>
        <v>6.1958694303585862</v>
      </c>
      <c r="T100" s="190">
        <f>Table_03[[#This Row],[Fcr,y]]*Table_03[[#This Row],[Sectional Area (in2)]]</f>
        <v>12.776848319968158</v>
      </c>
      <c r="U100" s="190">
        <f>1.76*Table_03[[#This Row],[ry (in)2]]*SQRT($B$4/Table_03[[#This Row],[Strength (ksi)]])/12</f>
        <v>3.1508903359513152</v>
      </c>
      <c r="V10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8.5411405959881108</v>
      </c>
      <c r="W100" s="190">
        <f>Table_03[[#This Row],[Depth h (in)]]-Table_03[[#This Row],[Flange Thickness tf (in)]]</f>
        <v>5.7130000000000001</v>
      </c>
      <c r="X100" s="190">
        <f>(Table_03[[#This Row],[Static Parameters Moment of Inertia Iy (in4)]]*Table_03[[#This Row],[ho]]^2)/4</f>
        <v>13.389540652592377</v>
      </c>
      <c r="Y100" s="190">
        <f>SQRT((SQRT(Table_03[[#This Row],[Static Parameters Moment of Inertia Iy (in4)]]*Table_03[[#This Row],[Cw*]])/Table_03[[#This Row],[Static Parameters Elastic Section Modulus Sx (in3)2]]))</f>
        <v>1.0291192320871969</v>
      </c>
      <c r="Z100" s="190">
        <f>(2*Table_03[[#This Row],[Width w (in)]]*Table_03[[#This Row],[Flange Thickness tf (in)]]^3/3)+((Table_03[[#This Row],[Depth h (in)]]-Table_03[[#This Row],[Flange Thickness tf (in)]]*2)*Table_03[[#This Row],[Web Thickness tw (in)]]^3)/3</f>
        <v>1.5272850046666665E-2</v>
      </c>
      <c r="AA100" s="190">
        <f>Table_03[[#This Row],[Width w (in)]]*0.5/Table_03[[#This Row],[Flange Thickness tf (in)]]</f>
        <v>11.646706586826349</v>
      </c>
      <c r="AB100" s="190">
        <f>0.38*SQRT($B$4/Table_03[[#This Row],[Strength (ksi)]])</f>
        <v>9.1516118798821449</v>
      </c>
      <c r="AC100" s="190">
        <f>1*SQRT($B$4/Table_03[[#This Row],[Strength (ksi)]])</f>
        <v>24.083189157584592</v>
      </c>
      <c r="AD100" s="190">
        <f>(PI()^2*$B$4/(12*$B$5/Table_03[[#This Row],[rts]])^2)*SQRT(1+0.078*(Table_03[[#This Row],[J*]]/(Table_03[[#This Row],[Static Parameters Elastic Section Modulus Sx (in3)2]]*Table_03[[#This Row],[ho]])*$B$4/(12*$B$5/Table_03[[#This Row],[rts]])^2))</f>
        <v>41.470558264904241</v>
      </c>
      <c r="AE100" s="190">
        <f>0.69*$B$4/Table_03[[#This Row],[b/t]]^2</f>
        <v>147.516574698819</v>
      </c>
      <c r="AF100" s="192">
        <f>Table_03[[#This Row],[Strength (ksi)]]*Table_03[[#This Row],[Static Parameters Plastic Section Modulus Zx (in3)]]</f>
        <v>244.83885697220776</v>
      </c>
      <c r="AG100" s="190">
        <f>Table_03[[#This Row],[Mp (k-in)]]-(Table_03[[#This Row],[Mp (k-in)]]-0.7*Table_03[[#This Row],[Strength (ksi)]]*Table_03[[#This Row],[Static Parameters Elastic Section Modulus Sx (in3)2]])*((Table_03[[#This Row],[b/t]]-Table_03[[#This Row],[λpf]])/(Table_03[[#This Row],[λrf]]-Table_03[[#This Row],[λpf]]))</f>
        <v>229.81089906169171</v>
      </c>
      <c r="AH100" s="193">
        <f>0.9*$B$4*Table_03[[#This Row],[kc]]*Table_03[[#This Row],[Static Parameters Elastic Section Modulus Sx (in3)2]]/Table_03[[#This Row],[b/t]]^2</f>
        <v>486.62705500171251</v>
      </c>
      <c r="AI100" s="194" t="str">
        <f>IF(Table_03[[#This Row],[b/t]]&lt;Table_03[[#This Row],[λpf]],"Compact",IF(AND(Table_03[[#This Row],[b/t]]&gt;Table_03[[#This Row],[λpf]],Table_03[[#This Row],[λrf]]&gt;Table_03[[#This Row],[b/t]]),"Non-Compact","Slender"))</f>
        <v>Non-Compact</v>
      </c>
      <c r="AJ100" s="195">
        <f>IF(Table_03[[#This Row],[Controlling LBx]]="Compact",Table_03[[#This Row],[Mp (k-in)]],IF(Table_03[[#This Row],[Controlling LBx]]="Non-Compact",Table_03[[#This Row],[Mnlb,Non-Compact (k-in)]],IF(Table_03[[#This Row],[Controlling LBx]]="Slender",Table_03[[#This Row],[Mnlb,slender (k-in)]],"ERROR")))</f>
        <v>229.81089906169171</v>
      </c>
      <c r="AK100" s="192">
        <f>Table_03[[#This Row],[Mp (k-in)]]-(Table_03[[#This Row],[Mp (k-in)]]-0.7*Table_03[[#This Row],[Strength (ksi)]]*Table_03[[#This Row],[Static Parameters Elastic Section Modulus Sx (in3)2]])*(($B$5-Table_03[[#This Row],[Lp (ft)]])/(Table_03[[#This Row],[Lr]]-Table_03[[#This Row],[Lp (ft)]]))</f>
        <v>178.53335926218608</v>
      </c>
      <c r="AL100" s="196">
        <f>Table_03[[#This Row],[Fcrx]]*Table_03[[#This Row],[Static Parameters Elastic Section Modulus Sx (in3)2]]</f>
        <v>183.54389466108489</v>
      </c>
      <c r="AM100" s="197" t="str">
        <f>IF($B$5&lt;Table_03[[#This Row],[Lp (ft)]],"Yielding Controls",IF(AND($B$5&gt;Table_03[[#This Row],[Lp (ft)]],Table_03[[#This Row],[Lr]]&gt;$B$5),"Mltb,p Controls","Mltb,r Controls"))</f>
        <v>Mltb,p Controls</v>
      </c>
      <c r="AN100" s="198">
        <f>IF(Table_03[[#This Row],[Controlling LTB]]="Yielding Controls",Table_03[[#This Row],[Mp (k-in)]],IF(Table_03[[#This Row],[Controlling LTB]]="Mltb,p Controls",Table_03[[#This Row],[Mnltbp (k-in)]],IF(Table_03[[#This Row],[Controlling LTB]]="Mltb,r Controls",Table_03[[#This Row],[Mnltbr (k-in)]],"ERROR")))</f>
        <v>178.53335926218608</v>
      </c>
      <c r="AO100" s="199">
        <f>MIN(Table_03[[#This Row],[Strength (ksi)]]*Table_03[[#This Row],[Static Parameters Plastic Section Modulus Zy (in3)]],1.6*Table_03[[#This Row],[Strength (ksi)]]*Table_03[[#This Row],[Static Parameters Elastic Section Modulus Sy (in3)3]])</f>
        <v>64.174797499999997</v>
      </c>
      <c r="AP100" s="169">
        <f>MIN(Table_03[[#This Row],[Mny (k-in)]],Table_03[[#This Row],[Mny (k-in)]]-(Table_03[[#This Row],[Mny (k-in)]]-0.7*Table_03[[#This Row],[Static Parameters Elastic Section Modulus Sy (in3)3]]*Table_03[[#This Row],[Strength (ksi)]])*((Table_03[[#This Row],[b/t]]-Table_03[[#This Row],[λpf]])/(Table_03[[#This Row],[λrf]]-Table_03[[#This Row],[λpf]])))</f>
        <v>58.38538444412815</v>
      </c>
      <c r="AQ100" s="196">
        <f>MIN(Table_03[[#This Row],[Mny (k-in)]],Table_03[[#This Row],[Fcry]]*Table_03[[#This Row],[Static Parameters Elastic Section Modulus Sy (in3)3]])</f>
        <v>64.174797499999997</v>
      </c>
      <c r="AR100" s="197" t="str">
        <f>IF(Table_03[[#This Row],[b/t]]&lt;Table_03[[#This Row],[λpf]],"Compact",IF(AND(Table_03[[#This Row],[b/t]]&gt;Table_03[[#This Row],[λpf]],Table_03[[#This Row],[λrf]]&gt;Table_03[[#This Row],[b/t]]),"Non-Compact","Slender"))</f>
        <v>Non-Compact</v>
      </c>
      <c r="AS100" s="198">
        <f>IF(Table_03[[#This Row],[Controlling Lby]]="Compact",Table_03[[#This Row],[Mny (k-in)]],IF(Table_03[[#This Row],[Controlling Lby]]="Non-Compact",Table_03[[#This Row],[Mlby,Non-Compact (k-in)]],IF(Table_03[[#This Row],[Controlling Lby]]="Slender",Table_03[[#This Row],[Mlby,Slender (k-in)]],"ERROR")))</f>
        <v>58.38538444412815</v>
      </c>
      <c r="AT100" s="199">
        <f>MIN(Table_03[[#This Row],[LBx]],Table_03[[#This Row],[LTB]],Table_03[[#This Row],[Mp (k-in)]])</f>
        <v>178.53335926218608</v>
      </c>
      <c r="AU100" s="169">
        <f>Table_03[[#This Row],[Mp (k-in)]]</f>
        <v>244.83885697220776</v>
      </c>
      <c r="AV100" s="169">
        <f>MIN(Table_03[[#This Row],[LBy]],Table_03[[#This Row],[Mny (k-in)]])</f>
        <v>58.38538444412815</v>
      </c>
      <c r="AW100" s="200">
        <f>Table_03[[#This Row],[Mny (k-in)]]</f>
        <v>64.174797499999997</v>
      </c>
      <c r="AX100" s="165">
        <f>AX98+$B$3</f>
        <v>0.33680528075723837</v>
      </c>
      <c r="AY100" s="165">
        <f>IF(4/SQRT((Table_03[[#This Row],[Depth h (in)]]-Table_03[[#This Row],[Flange Thickness tf (in)]]*2)/Table_03[[#This Row],[Web Thickness tw (in)]])&lt;0.35,0.35,IF(4/SQRT(Table_03[[#This Row],[Depth h (in)]]/Table_03[[#This Row],[Web Thickness tw (in)]])&gt;0.76,0.76,4/SQRT(Table_03[[#This Row],[Depth h (in)]]/Table_03[[#This Row],[Web Thickness tw (in)]])))</f>
        <v>0.57142857142857151</v>
      </c>
      <c r="AZ100" s="165"/>
    </row>
    <row r="101" spans="1:55" ht="14.4" thickBot="1" x14ac:dyDescent="0.35">
      <c r="A101" s="201" t="s">
        <v>195</v>
      </c>
      <c r="B101" s="202">
        <v>6.03</v>
      </c>
      <c r="C101" s="202">
        <v>4</v>
      </c>
      <c r="D101" s="202">
        <v>0.23</v>
      </c>
      <c r="E101" s="202">
        <v>0.28000000000000003</v>
      </c>
      <c r="F101" s="203">
        <v>3.55</v>
      </c>
      <c r="G101" s="204">
        <v>12</v>
      </c>
      <c r="H101" s="203">
        <v>22.1</v>
      </c>
      <c r="I101" s="203">
        <v>2.99</v>
      </c>
      <c r="J101" s="203">
        <f>Table_03[[#This Row],[Width w (in)]]*Table_03[[#This Row],[Flange Thickness tf (in)]]*(Table_03[[#This Row],[Depth h (in)]]-Table_03[[#This Row],[Flange Thickness tf (in)]])+0.25*Table_03[[#This Row],[Web Thickness tw (in)]]*(Table_03[[#This Row],[Depth h (in)]]-2*Table_03[[#This Row],[Flange Thickness tf (in)]])^2</f>
        <v>8.16045175</v>
      </c>
      <c r="K101" s="203">
        <f>(Table_03[[#This Row],[Width w (in)]]^2*Table_03[[#This Row],[Flange Thickness tf (in)]])/2+0.25*Table_03[[#This Row],[Web Thickness tw (in)]]^2*(Table_03[[#This Row],[Depth h (in)]]-2*Table_03[[#This Row],[Flange Thickness tf (in)]])</f>
        <v>2.3123407500000002</v>
      </c>
      <c r="L101" s="203">
        <v>7.31</v>
      </c>
      <c r="M101" s="203">
        <v>1.5</v>
      </c>
      <c r="N101" s="205">
        <v>50</v>
      </c>
      <c r="O101" s="206">
        <f>SQRT(Table_03[[#This Row],[Static Parameters Moment of Inertia Ix (in4)]]/Table_03[[#This Row],[Sectional Area (in2)]])</f>
        <v>2.4950655527813406</v>
      </c>
      <c r="P101" s="203">
        <f>SQRT(Table_03[[#This Row],[Static Parameters Moment of Inertia Iy (in4)]]/Table_03[[#This Row],[Sectional Area (in2)]])</f>
        <v>0.91774371211507666</v>
      </c>
      <c r="Q101" s="203">
        <f>($B$6*$B$5*12)/Table_03[[#This Row],[ry (in)2]]</f>
        <v>195.64285500382277</v>
      </c>
      <c r="R101" s="203">
        <f>(PI()^2*$B$4)/(Table_03[[#This Row],[KL/ry]]^2)</f>
        <v>7.4777296503868307</v>
      </c>
      <c r="S101" s="203">
        <f>IF(Table_03[[#This Row],[Strength (ksi)]]/Table_03[[#This Row],[Fe,y]]&lt;2.25,(0.658^(Table_03[[#This Row],[Strength (ksi)]]/Table_03[[#This Row],[Fe,y]])*Table_03[[#This Row],[Strength (ksi)]]),0.877*Table_03[[#This Row],[Fe,y]])</f>
        <v>6.5579689033892503</v>
      </c>
      <c r="T101" s="203">
        <f>Table_03[[#This Row],[Fcr,y]]*Table_03[[#This Row],[Sectional Area (in2)]]</f>
        <v>23.280789607031839</v>
      </c>
      <c r="U101" s="203">
        <f>1.76*Table_03[[#This Row],[ry (in)2]]*SQRT($B$4/Table_03[[#This Row],[Strength (ksi)]])/12</f>
        <v>3.2416553278341831</v>
      </c>
      <c r="V10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10.925789799504964</v>
      </c>
      <c r="W101" s="203">
        <f>Table_03[[#This Row],[Depth h (in)]]-Table_03[[#This Row],[Flange Thickness tf (in)]]</f>
        <v>5.75</v>
      </c>
      <c r="X101" s="203">
        <f>(Table_03[[#This Row],[Static Parameters Moment of Inertia Iy (in4)]]*Table_03[[#This Row],[ho]]^2)/4</f>
        <v>24.714218750000001</v>
      </c>
      <c r="Y101" s="203">
        <f>SQRT((SQRT(Table_03[[#This Row],[Static Parameters Moment of Inertia Iy (in4)]]*Table_03[[#This Row],[Cw*]])/Table_03[[#This Row],[Static Parameters Elastic Section Modulus Sx (in3)2]]))</f>
        <v>1.084415783885158</v>
      </c>
      <c r="Z101" s="203">
        <f>(2*Table_03[[#This Row],[Width w (in)]]*Table_03[[#This Row],[Flange Thickness tf (in)]]^3/3)+((Table_03[[#This Row],[Depth h (in)]]-Table_03[[#This Row],[Flange Thickness tf (in)]]*2)*Table_03[[#This Row],[Web Thickness tw (in)]]^3)/3</f>
        <v>8.0723163333333348E-2</v>
      </c>
      <c r="AA101" s="203">
        <f>Table_03[[#This Row],[Width w (in)]]*0.5/Table_03[[#This Row],[Flange Thickness tf (in)]]</f>
        <v>7.1428571428571423</v>
      </c>
      <c r="AB101" s="203">
        <f>0.38*SQRT($B$4/Table_03[[#This Row],[Strength (ksi)]])</f>
        <v>9.1516118798821449</v>
      </c>
      <c r="AC101" s="203">
        <f>1*SQRT($B$4/Table_03[[#This Row],[Strength (ksi)]])</f>
        <v>24.083189157584592</v>
      </c>
      <c r="AD101" s="203">
        <f>(PI()^2*$B$4/(12*$B$5/Table_03[[#This Row],[rts]])^2)*SQRT(1+0.078*(Table_03[[#This Row],[J*]]/(Table_03[[#This Row],[Static Parameters Elastic Section Modulus Sx (in3)2]]*Table_03[[#This Row],[ho]])*$B$4/(12*$B$5/Table_03[[#This Row],[rts]])^2))</f>
        <v>46.058402205069051</v>
      </c>
      <c r="AE101" s="203">
        <f>0.69*$B$4/Table_03[[#This Row],[b/t]]^2</f>
        <v>392.19600000000003</v>
      </c>
      <c r="AF101" s="207">
        <f>Table_03[[#This Row],[Strength (ksi)]]*Table_03[[#This Row],[Static Parameters Plastic Section Modulus Zx (in3)]]</f>
        <v>408.02258749999999</v>
      </c>
      <c r="AG101" s="203">
        <f>Table_03[[#This Row],[Mp (k-in)]]-(Table_03[[#This Row],[Mp (k-in)]]-0.7*Table_03[[#This Row],[Strength (ksi)]]*Table_03[[#This Row],[Static Parameters Elastic Section Modulus Sx (in3)2]])*((Table_03[[#This Row],[b/t]]-Table_03[[#This Row],[λpf]])/(Table_03[[#This Row],[λrf]]-Table_03[[#This Row],[λpf]]))</f>
        <v>428.49446400044508</v>
      </c>
      <c r="AH101" s="208">
        <f>0.9*$B$4*Table_03[[#This Row],[kc]]*Table_03[[#This Row],[Static Parameters Elastic Section Modulus Sx (in3)2]]/Table_03[[#This Row],[b/t]]^2</f>
        <v>2842.0227360000004</v>
      </c>
      <c r="AI101" s="209" t="str">
        <f>IF(Table_03[[#This Row],[b/t]]&lt;Table_03[[#This Row],[λpf]],"Compact",IF(AND(Table_03[[#This Row],[b/t]]&gt;Table_03[[#This Row],[λpf]],Table_03[[#This Row],[λrf]]&gt;Table_03[[#This Row],[b/t]]),"Non-Compact","Slender"))</f>
        <v>Compact</v>
      </c>
      <c r="AJ101" s="210">
        <f>IF(Table_03[[#This Row],[Controlling LBx]]="Compact",Table_03[[#This Row],[Mp (k-in)]],IF(Table_03[[#This Row],[Controlling LBx]]="Non-Compact",Table_03[[#This Row],[Mnlb,Non-Compact (k-in)]],IF(Table_03[[#This Row],[Controlling LBx]]="Slender",Table_03[[#This Row],[Mnlb,slender (k-in)]],"ERROR")))</f>
        <v>408.02258749999999</v>
      </c>
      <c r="AK101" s="207">
        <f>Table_03[[#This Row],[Mp (k-in)]]-(Table_03[[#This Row],[Mp (k-in)]]-0.7*Table_03[[#This Row],[Strength (ksi)]]*Table_03[[#This Row],[Static Parameters Elastic Section Modulus Sx (in3)2]])*(($B$5-Table_03[[#This Row],[Lp (ft)]])/(Table_03[[#This Row],[Lr]]-Table_03[[#This Row],[Lp (ft)]]))</f>
        <v>331.11885695019839</v>
      </c>
      <c r="AL101" s="211">
        <f>Table_03[[#This Row],[Fcrx]]*Table_03[[#This Row],[Static Parameters Elastic Section Modulus Sx (in3)2]]</f>
        <v>336.68692011905472</v>
      </c>
      <c r="AM101" s="212" t="str">
        <f>IF($B$5&lt;Table_03[[#This Row],[Lp (ft)]],"Yielding Controls",IF(AND($B$5&gt;Table_03[[#This Row],[Lp (ft)]],Table_03[[#This Row],[Lr]]&gt;$B$5),"Mltb,p Controls","Mltb,r Controls"))</f>
        <v>Mltb,p Controls</v>
      </c>
      <c r="AN101" s="213">
        <f>IF(Table_03[[#This Row],[Controlling LTB]]="Yielding Controls",Table_03[[#This Row],[Mp (k-in)]],IF(Table_03[[#This Row],[Controlling LTB]]="Mltb,p Controls",Table_03[[#This Row],[Mnltbp (k-in)]],IF(Table_03[[#This Row],[Controlling LTB]]="Mltb,r Controls",Table_03[[#This Row],[Mnltbr (k-in)]],"ERROR")))</f>
        <v>331.11885695019839</v>
      </c>
      <c r="AO101" s="214">
        <f>MIN(Table_03[[#This Row],[Strength (ksi)]]*Table_03[[#This Row],[Static Parameters Plastic Section Modulus Zy (in3)]],1.6*Table_03[[#This Row],[Strength (ksi)]]*Table_03[[#This Row],[Static Parameters Elastic Section Modulus Sy (in3)3]])</f>
        <v>115.61703750000001</v>
      </c>
      <c r="AP101" s="206">
        <f>MIN(Table_03[[#This Row],[Mny (k-in)]],Table_03[[#This Row],[Mny (k-in)]]-(Table_03[[#This Row],[Mny (k-in)]]-0.7*Table_03[[#This Row],[Static Parameters Elastic Section Modulus Sy (in3)3]]*Table_03[[#This Row],[Strength (ksi)]])*((Table_03[[#This Row],[b/t]]-Table_03[[#This Row],[λpf]])/(Table_03[[#This Row],[λrf]]-Table_03[[#This Row],[λpf]])))</f>
        <v>115.61703750000001</v>
      </c>
      <c r="AQ101" s="211">
        <f>MIN(Table_03[[#This Row],[Mny (k-in)]],Table_03[[#This Row],[Fcry]]*Table_03[[#This Row],[Static Parameters Elastic Section Modulus Sy (in3)3]])</f>
        <v>115.61703750000001</v>
      </c>
      <c r="AR101" s="212" t="str">
        <f>IF(Table_03[[#This Row],[b/t]]&lt;Table_03[[#This Row],[λpf]],"Compact",IF(AND(Table_03[[#This Row],[b/t]]&gt;Table_03[[#This Row],[λpf]],Table_03[[#This Row],[λrf]]&gt;Table_03[[#This Row],[b/t]]),"Non-Compact","Slender"))</f>
        <v>Compact</v>
      </c>
      <c r="AS101" s="213">
        <f>IF(Table_03[[#This Row],[Controlling Lby]]="Compact",Table_03[[#This Row],[Mny (k-in)]],IF(Table_03[[#This Row],[Controlling Lby]]="Non-Compact",Table_03[[#This Row],[Mlby,Non-Compact (k-in)]],IF(Table_03[[#This Row],[Controlling Lby]]="Slender",Table_03[[#This Row],[Mlby,Slender (k-in)]],"ERROR")))</f>
        <v>115.61703750000001</v>
      </c>
      <c r="AT101" s="214">
        <f>MIN(Table_03[[#This Row],[LBx]],Table_03[[#This Row],[LTB]],Table_03[[#This Row],[Mp (k-in)]])</f>
        <v>331.11885695019839</v>
      </c>
      <c r="AU101" s="206">
        <f>Table_03[[#This Row],[Mp (k-in)]]</f>
        <v>408.02258749999999</v>
      </c>
      <c r="AV101" s="206">
        <f>MIN(Table_03[[#This Row],[LBy]],Table_03[[#This Row],[Mny (k-in)]])</f>
        <v>115.61703750000001</v>
      </c>
      <c r="AW101" s="215">
        <f>Table_03[[#This Row],[Mny (k-in)]]</f>
        <v>115.61703750000001</v>
      </c>
      <c r="AX101" s="165">
        <f>SQRT(((Table_03[[#This Row],[Sectional Area (in2)]]-(Table_03[[#This Row],[Flange Thickness tf (in)]]*Table_03[[#This Row],[Width w (in)]]*2+Table_03[[#This Row],[Web Thickness tw (in)]]*((Table_03[[#This Row],[Depth h (in)]]-2*Table_03[[#This Row],[Flange Thickness tf (in)]]))))/4)/(1-PI()/4))</f>
        <v>0.24588779138678782</v>
      </c>
      <c r="AY101"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01" s="165"/>
    </row>
    <row r="102" spans="1:55" ht="14.4" thickBot="1" x14ac:dyDescent="0.35">
      <c r="A102" s="179" t="s">
        <v>196</v>
      </c>
      <c r="B102" s="180">
        <f>B101-$B$1*2</f>
        <v>6.03</v>
      </c>
      <c r="C102" s="180">
        <f>C101-$B$1*2</f>
        <v>4</v>
      </c>
      <c r="D102" s="180">
        <f>D101-$B$1*2</f>
        <v>0.23</v>
      </c>
      <c r="E102" s="180">
        <f>E101-$B$1*2</f>
        <v>0.28000000000000003</v>
      </c>
      <c r="F102" s="181">
        <f>4*(Table_03[[#This Row],[Fillet Radius]]^2*(1-PI()/4))+2*Table_03[[#This Row],[Width w (in)]]*Table_03[[#This Row],[Flange Thickness tf (in)]]+Table_03[[#This Row],[Web Thickness tw (in)]]*(Table_03[[#This Row],[Depth h (in)]]-2*Table_03[[#This Row],[Flange Thickness tf (in)]])</f>
        <v>3.55</v>
      </c>
      <c r="G102" s="180"/>
      <c r="H102" s="203">
        <f>2*(1/12*C102*E102^3+C102*E102*((B102/2-E102/2)^2))+
1/12*D102*(B102-2*E102)^3+
4*(1/12*AX102^4+
AX102^2*((AX102/(6-3*PI()/2))-AX102/2)^2-
(PI()*AX102^4/16+PI()*AX102^2/4*((AX102/(6-3*PI()/2))-4*AX102/(3*PI()))^2)+
(AX102^2-PI()*AX102^2/4)*((B102/2-E102-(AX102-AX102/(6-3*PI()/2)))^2))</f>
        <v>22.037421276334751</v>
      </c>
      <c r="I102" s="180">
        <f>2*((1/12)*E102*C102^3)+(1/12)*(B102-2*E102)*D102^3+4*((AX102^2-PI()*AX102^2/4)*(D102/2+(AX102-(AX102/(6-3*PI()/2))))^2)</f>
        <v>2.9937113503215929</v>
      </c>
      <c r="J102" s="181">
        <f>F102*((B102/2)-((C102*E102*(E102/2))+(D102*(B102/2-E102)*(E102+(B102/2-E102)/2))+(2*(AX102^2-PI()*AX102^2/4)*(E102+(AX102-AX102/(6-3*PI()/2)))))/(F102/2))</f>
        <v>8.2995477229878691</v>
      </c>
      <c r="K102" s="181">
        <f>(Table_03[[#This Row],[Width w (in)]]^2*Table_03[[#This Row],[Flange Thickness tf (in)]])/2+0.25*Table_03[[#This Row],[Web Thickness tw (in)]]^2*(Table_03[[#This Row],[Depth h (in)]]-2*Table_03[[#This Row],[Flange Thickness tf (in)]])</f>
        <v>2.3123407500000002</v>
      </c>
      <c r="L102" s="181">
        <f>Table_03[[#This Row],[Static Parameters Moment of Inertia Ix (in4)]]/(Table_03[[#This Row],[Depth h (in)]]/2)</f>
        <v>7.3092607881707297</v>
      </c>
      <c r="M102" s="181">
        <f>Table_03[[#This Row],[Static Parameters Moment of Inertia Iy (in4)]]/(Table_03[[#This Row],[Width w (in)]]/2)</f>
        <v>1.4968556751607964</v>
      </c>
      <c r="N102" s="182">
        <v>50</v>
      </c>
      <c r="O102" s="181">
        <f>SQRT(Table_03[[#This Row],[Static Parameters Moment of Inertia Ix (in4)]]/Table_03[[#This Row],[Sectional Area (in2)]])</f>
        <v>2.4915305142006363</v>
      </c>
      <c r="P102" s="181">
        <f>SQRT(Table_03[[#This Row],[Static Parameters Moment of Inertia Iy (in4)]]/Table_03[[#This Row],[Sectional Area (in2)]])</f>
        <v>0.91831311213636468</v>
      </c>
      <c r="Q102" s="181">
        <f>($B$6*$B$5*12)/Table_03[[#This Row],[ry (in)2]]</f>
        <v>195.52154665666777</v>
      </c>
      <c r="R102" s="181">
        <f>(PI()^2*$B$4)/(Table_03[[#This Row],[KL/ry]]^2)</f>
        <v>7.48701141438106</v>
      </c>
      <c r="S102" s="181">
        <f>IF(Table_03[[#This Row],[Strength (ksi)]]/Table_03[[#This Row],[Fe,y]]&lt;2.25,(0.658^(Table_03[[#This Row],[Strength (ksi)]]/Table_03[[#This Row],[Fe,y]])*Table_03[[#This Row],[Strength (ksi)]]),0.877*Table_03[[#This Row],[Fe,y]])</f>
        <v>6.5661090104121893</v>
      </c>
      <c r="T102" s="181">
        <f>Table_03[[#This Row],[Fcr,y]]*Table_03[[#This Row],[Sectional Area (in2)]]</f>
        <v>23.309686986963271</v>
      </c>
      <c r="U102" s="181">
        <f>1.76*Table_03[[#This Row],[ry (in)2]]*SQRT($B$4/Table_03[[#This Row],[Strength (ksi)]])/12</f>
        <v>3.2436665632023054</v>
      </c>
      <c r="V10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10.933409948246407</v>
      </c>
      <c r="W102" s="181">
        <f>Table_03[[#This Row],[Depth h (in)]]-Table_03[[#This Row],[Flange Thickness tf (in)]]</f>
        <v>5.75</v>
      </c>
      <c r="X102" s="181">
        <f>(Table_03[[#This Row],[Static Parameters Moment of Inertia Iy (in4)]]*Table_03[[#This Row],[ho]]^2)/4</f>
        <v>24.744895380001918</v>
      </c>
      <c r="Y102" s="181">
        <f>SQRT((SQRT(Table_03[[#This Row],[Static Parameters Moment of Inertia Iy (in4)]]*Table_03[[#This Row],[Cw*]])/Table_03[[#This Row],[Static Parameters Elastic Section Modulus Sx (in3)2]]))</f>
        <v>1.0851434611076438</v>
      </c>
      <c r="Z102" s="181">
        <f>(2*Table_03[[#This Row],[Width w (in)]]*Table_03[[#This Row],[Flange Thickness tf (in)]]^3/3)+((Table_03[[#This Row],[Depth h (in)]]-Table_03[[#This Row],[Flange Thickness tf (in)]]*2)*Table_03[[#This Row],[Web Thickness tw (in)]]^3)/3</f>
        <v>8.0723163333333348E-2</v>
      </c>
      <c r="AA102" s="181">
        <f>Table_03[[#This Row],[Width w (in)]]*0.5/Table_03[[#This Row],[Flange Thickness tf (in)]]</f>
        <v>7.1428571428571423</v>
      </c>
      <c r="AB102" s="181">
        <f>0.38*SQRT($B$4/Table_03[[#This Row],[Strength (ksi)]])</f>
        <v>9.1516118798821449</v>
      </c>
      <c r="AC102" s="181">
        <f>1*SQRT($B$4/Table_03[[#This Row],[Strength (ksi)]])</f>
        <v>24.083189157584592</v>
      </c>
      <c r="AD102" s="181">
        <f>(PI()^2*$B$4/(12*$B$5/Table_03[[#This Row],[rts]])^2)*SQRT(1+0.078*(Table_03[[#This Row],[J*]]/(Table_03[[#This Row],[Static Parameters Elastic Section Modulus Sx (in3)2]]*Table_03[[#This Row],[ho]])*$B$4/(12*$B$5/Table_03[[#This Row],[rts]])^2))</f>
        <v>46.12025947809262</v>
      </c>
      <c r="AE102" s="181">
        <f>0.69*$B$4/Table_03[[#This Row],[b/t]]^2</f>
        <v>392.19600000000003</v>
      </c>
      <c r="AF102" s="183">
        <f>Table_03[[#This Row],[Strength (ksi)]]*Table_03[[#This Row],[Static Parameters Plastic Section Modulus Zx (in3)]]</f>
        <v>414.97738614939345</v>
      </c>
      <c r="AG102" s="181">
        <f>Table_03[[#This Row],[Mp (k-in)]]-(Table_03[[#This Row],[Mp (k-in)]]-0.7*Table_03[[#This Row],[Strength (ksi)]]*Table_03[[#This Row],[Static Parameters Elastic Section Modulus Sx (in3)2]])*((Table_03[[#This Row],[b/t]]-Table_03[[#This Row],[λpf]])/(Table_03[[#This Row],[λrf]]-Table_03[[#This Row],[λpf]]))</f>
        <v>436.38837683754019</v>
      </c>
      <c r="AH102" s="184">
        <f>0.9*$B$4*Table_03[[#This Row],[kc]]*Table_03[[#This Row],[Static Parameters Elastic Section Modulus Sx (in3)2]]/Table_03[[#This Row],[b/t]]^2</f>
        <v>2841.7353410854303</v>
      </c>
      <c r="AI102" s="185" t="str">
        <f>IF(Table_03[[#This Row],[b/t]]&lt;Table_03[[#This Row],[λpf]],"Compact",IF(AND(Table_03[[#This Row],[b/t]]&gt;Table_03[[#This Row],[λpf]],Table_03[[#This Row],[λrf]]&gt;Table_03[[#This Row],[b/t]]),"Non-Compact","Slender"))</f>
        <v>Compact</v>
      </c>
      <c r="AJ102" s="186">
        <f>IF(Table_03[[#This Row],[Controlling LBx]]="Compact",Table_03[[#This Row],[Mp (k-in)]],IF(Table_03[[#This Row],[Controlling LBx]]="Non-Compact",Table_03[[#This Row],[Mnlb,Non-Compact (k-in)]],IF(Table_03[[#This Row],[Controlling LBx]]="Slender",Table_03[[#This Row],[Mnlb,slender (k-in)]],"ERROR")))</f>
        <v>414.97738614939345</v>
      </c>
      <c r="AK102" s="183">
        <f>Table_03[[#This Row],[Mp (k-in)]]-(Table_03[[#This Row],[Mp (k-in)]]-0.7*Table_03[[#This Row],[Strength (ksi)]]*Table_03[[#This Row],[Static Parameters Elastic Section Modulus Sx (in3)2]])*(($B$5-Table_03[[#This Row],[Lp (ft)]])/(Table_03[[#This Row],[Lr]]-Table_03[[#This Row],[Lp (ft)]]))</f>
        <v>334.64611459631021</v>
      </c>
      <c r="AL102" s="184">
        <f>Table_03[[#This Row],[Fcrx]]*Table_03[[#This Row],[Static Parameters Elastic Section Modulus Sx (in3)2]]</f>
        <v>337.10500414348184</v>
      </c>
      <c r="AM102" s="185" t="str">
        <f>IF($B$5&lt;Table_03[[#This Row],[Lp (ft)]],"Yielding Controls",IF(AND($B$5&gt;Table_03[[#This Row],[Lp (ft)]],Table_03[[#This Row],[Lr]]&gt;$B$5),"Mltb,p Controls","Mltb,r Controls"))</f>
        <v>Mltb,p Controls</v>
      </c>
      <c r="AN102" s="186">
        <f>IF(Table_03[[#This Row],[Controlling LTB]]="Yielding Controls",Table_03[[#This Row],[Mp (k-in)]],IF(Table_03[[#This Row],[Controlling LTB]]="Mltb,p Controls",Table_03[[#This Row],[Mnltbp (k-in)]],IF(Table_03[[#This Row],[Controlling LTB]]="Mltb,r Controls",Table_03[[#This Row],[Mnltbr (k-in)]],"ERROR")))</f>
        <v>334.64611459631021</v>
      </c>
      <c r="AO102" s="183">
        <f>MIN(Table_03[[#This Row],[Strength (ksi)]]*Table_03[[#This Row],[Static Parameters Plastic Section Modulus Zy (in3)]],1.6*Table_03[[#This Row],[Strength (ksi)]]*Table_03[[#This Row],[Static Parameters Elastic Section Modulus Sy (in3)3]])</f>
        <v>115.61703750000001</v>
      </c>
      <c r="AP102" s="181">
        <f>MIN(Table_03[[#This Row],[Mny (k-in)]],Table_03[[#This Row],[Mny (k-in)]]-(Table_03[[#This Row],[Mny (k-in)]]-0.7*Table_03[[#This Row],[Static Parameters Elastic Section Modulus Sy (in3)3]]*Table_03[[#This Row],[Strength (ksi)]])*((Table_03[[#This Row],[b/t]]-Table_03[[#This Row],[λpf]])/(Table_03[[#This Row],[λrf]]-Table_03[[#This Row],[λpf]])))</f>
        <v>115.61703750000001</v>
      </c>
      <c r="AQ102" s="184">
        <f>MIN(Table_03[[#This Row],[Mny (k-in)]],Table_03[[#This Row],[Fcry]]*Table_03[[#This Row],[Static Parameters Elastic Section Modulus Sy (in3)3]])</f>
        <v>115.61703750000001</v>
      </c>
      <c r="AR102" s="185" t="str">
        <f>IF(Table_03[[#This Row],[b/t]]&lt;Table_03[[#This Row],[λpf]],"Compact",IF(AND(Table_03[[#This Row],[b/t]]&gt;Table_03[[#This Row],[λpf]],Table_03[[#This Row],[λrf]]&gt;Table_03[[#This Row],[b/t]]),"Non-Compact","Slender"))</f>
        <v>Compact</v>
      </c>
      <c r="AS102" s="186">
        <f>IF(Table_03[[#This Row],[Controlling Lby]]="Compact",Table_03[[#This Row],[Mny (k-in)]],IF(Table_03[[#This Row],[Controlling Lby]]="Non-Compact",Table_03[[#This Row],[Mlby,Non-Compact (k-in)]],IF(Table_03[[#This Row],[Controlling Lby]]="Slender",Table_03[[#This Row],[Mlby,Slender (k-in)]],"ERROR")))</f>
        <v>115.61703750000001</v>
      </c>
      <c r="AT102" s="183">
        <f>MIN(Table_03[[#This Row],[LBx]],Table_03[[#This Row],[LTB]],Table_03[[#This Row],[Mp (k-in)]])</f>
        <v>334.64611459631021</v>
      </c>
      <c r="AU102" s="181">
        <f>Table_03[[#This Row],[Mp (k-in)]]</f>
        <v>414.97738614939345</v>
      </c>
      <c r="AV102" s="181">
        <f>MIN(Table_03[[#This Row],[LBy]],Table_03[[#This Row],[Mny (k-in)]])</f>
        <v>115.61703750000001</v>
      </c>
      <c r="AW102" s="187">
        <f>Table_03[[#This Row],[Mny (k-in)]]</f>
        <v>115.61703750000001</v>
      </c>
      <c r="AX102" s="165">
        <f>AX101+$B$1</f>
        <v>0.24588779138678782</v>
      </c>
      <c r="AY102"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02" s="165"/>
      <c r="BA102" s="237">
        <f>Table_03[[#This Row],[Strength (ksi)]]*Table_03[[#This Row],[Static Parameters Plastic Section Modulus Zx (in3)]]</f>
        <v>414.97738614939345</v>
      </c>
      <c r="BB102" s="237" t="str">
        <f>IF(Table_03[[#This Row],[b/t]]&lt;Table_03[[#This Row],[λpf]],"N/A",IF(Table_03[[#This Row],[λrf]]&lt;Table_03[[#This Row],[b/t]],"SLENDER",Table_03[[#This Row],[Mp (k-in)]]-(Table_03[[#This Row],[Mp (k-in)]]-0.7*Table_03[[#This Row],[Strength (ksi)]]*Table_03[[#This Row],[Static Parameters Elastic Section Modulus Sx (in3)2]])*((Table_03[[#This Row],[b/t]]-Table_03[[#This Row],[λpf]])/(Table_03[[#This Row],[λrf]]-Table_03[[#This Row],[λpf]]))))</f>
        <v>N/A</v>
      </c>
      <c r="BC102" s="238">
        <v>349</v>
      </c>
    </row>
    <row r="103" spans="1:55" ht="14.4" thickBot="1" x14ac:dyDescent="0.35">
      <c r="A103" s="188" t="s">
        <v>197</v>
      </c>
      <c r="B103" s="189">
        <f>B101-$B$3*2</f>
        <v>5.95</v>
      </c>
      <c r="C103" s="189">
        <f>C101-$B$3*2</f>
        <v>3.92</v>
      </c>
      <c r="D103" s="189">
        <f>D101-$B$3*2</f>
        <v>0.15000000000000002</v>
      </c>
      <c r="E103" s="189">
        <f>E101-$B$3*2</f>
        <v>0.2</v>
      </c>
      <c r="F103" s="190">
        <f>4*(Table_03[[#This Row],[Fillet Radius]]^2*(1-PI()/4))+2*Table_03[[#This Row],[Width w (in)]]*Table_03[[#This Row],[Flange Thickness tf (in)]]+Table_03[[#This Row],[Web Thickness tw (in)]]*(Table_03[[#This Row],[Depth h (in)]]-2*Table_03[[#This Row],[Flange Thickness tf (in)]])</f>
        <v>2.4706592026757757</v>
      </c>
      <c r="G103" s="189"/>
      <c r="H103" s="203">
        <f>2*(1/12*C103*E103^3+C103*E103*((B103/2-E103/2)^2))+
1/12*D103*(B103-2*E103)^3+
4*(1/12*AX103^4+
AX103^2*((AX103/(6-3*PI()/2))-AX103/2)^2-
(PI()*AX103^4/16+PI()*AX103^2/4*((AX103/(6-3*PI()/2))-4*AX103/(3*PI()))^2)+
(AX103^2-PI()*AX103^2/4)*((B103/2-E103-(AX103-AX103/(6-3*PI()/2)))^2))</f>
        <v>15.614762042329106</v>
      </c>
      <c r="I103" s="180">
        <f>2*((1/12)*E103*C103^3)+(1/12)*(B103-2*E103)*D103^3+4*((AX103^2-PI()*AX103^2/4)*(D103/2+(AX103-(AX103/(6-3*PI()/2))))^2)</f>
        <v>2.0107899851802307</v>
      </c>
      <c r="J103" s="181">
        <f>F103*((B103/2)-((C103*E103*(E103/2))+(D103*(B103/2-E103)*(E103+(B103/2-E103)/2))+(2*(AX103^2-PI()*AX103^2/4)*(E103+(AX103-AX103/(6-3*PI()/2)))))/(F103/2))</f>
        <v>5.8533052993630363</v>
      </c>
      <c r="K103" s="190">
        <f>(Table_03[[#This Row],[Width w (in)]]^2*Table_03[[#This Row],[Flange Thickness tf (in)]])/2+0.25*Table_03[[#This Row],[Web Thickness tw (in)]]^2*(Table_03[[#This Row],[Depth h (in)]]-2*Table_03[[#This Row],[Flange Thickness tf (in)]])</f>
        <v>1.5678587500000001</v>
      </c>
      <c r="L103" s="190">
        <f>Table_03[[#This Row],[Static Parameters Moment of Inertia Ix (in4)]]/(Table_03[[#This Row],[Depth h (in)]]/2)</f>
        <v>5.2486595100265898</v>
      </c>
      <c r="M103" s="190">
        <f>Table_03[[#This Row],[Static Parameters Moment of Inertia Iy (in4)]]/(Table_03[[#This Row],[Width w (in)]]/2)</f>
        <v>1.0259132577450156</v>
      </c>
      <c r="N103" s="191">
        <v>50</v>
      </c>
      <c r="O103" s="169">
        <f>SQRT(Table_03[[#This Row],[Static Parameters Moment of Inertia Ix (in4)]]/Table_03[[#This Row],[Sectional Area (in2)]])</f>
        <v>2.5139767864995379</v>
      </c>
      <c r="P103" s="190">
        <f>SQRT(Table_03[[#This Row],[Static Parameters Moment of Inertia Iy (in4)]]/Table_03[[#This Row],[Sectional Area (in2)]])</f>
        <v>0.90214622219039864</v>
      </c>
      <c r="Q103" s="190">
        <f>($B$6*$B$5*12)/Table_03[[#This Row],[ry (in)2]]</f>
        <v>199.02538588927976</v>
      </c>
      <c r="R103" s="190">
        <f>(PI()^2*$B$4)/(Table_03[[#This Row],[KL/ry]]^2)</f>
        <v>7.225714435563483</v>
      </c>
      <c r="S103" s="190">
        <f>IF(Table_03[[#This Row],[Strength (ksi)]]/Table_03[[#This Row],[Fe,y]]&lt;2.25,(0.658^(Table_03[[#This Row],[Strength (ksi)]]/Table_03[[#This Row],[Fe,y]])*Table_03[[#This Row],[Strength (ksi)]]),0.877*Table_03[[#This Row],[Fe,y]])</f>
        <v>6.336951559989175</v>
      </c>
      <c r="T103" s="190">
        <f>Table_03[[#This Row],[Fcr,y]]*Table_03[[#This Row],[Sectional Area (in2)]]</f>
        <v>15.656447688597869</v>
      </c>
      <c r="U103" s="190">
        <f>1.76*Table_03[[#This Row],[ry (in)2]]*SQRT($B$4/Table_03[[#This Row],[Strength (ksi)]])/12</f>
        <v>3.1865618571323839</v>
      </c>
      <c r="V10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9.1183220418107265</v>
      </c>
      <c r="W103" s="190">
        <f>Table_03[[#This Row],[Depth h (in)]]-Table_03[[#This Row],[Flange Thickness tf (in)]]</f>
        <v>5.75</v>
      </c>
      <c r="X103" s="190">
        <f>(Table_03[[#This Row],[Static Parameters Moment of Inertia Iy (in4)]]*Table_03[[#This Row],[ho]]^2)/4</f>
        <v>16.620435971255343</v>
      </c>
      <c r="Y103" s="190">
        <f>SQRT((SQRT(Table_03[[#This Row],[Static Parameters Moment of Inertia Iy (in4)]]*Table_03[[#This Row],[Cw*]])/Table_03[[#This Row],[Static Parameters Elastic Section Modulus Sx (in3)2]]))</f>
        <v>1.0494894596219546</v>
      </c>
      <c r="Z103" s="190">
        <f>(2*Table_03[[#This Row],[Width w (in)]]*Table_03[[#This Row],[Flange Thickness tf (in)]]^3/3)+((Table_03[[#This Row],[Depth h (in)]]-Table_03[[#This Row],[Flange Thickness tf (in)]]*2)*Table_03[[#This Row],[Web Thickness tw (in)]]^3)/3</f>
        <v>2.7150416666666673E-2</v>
      </c>
      <c r="AA103" s="190">
        <f>Table_03[[#This Row],[Width w (in)]]*0.5/Table_03[[#This Row],[Flange Thickness tf (in)]]</f>
        <v>9.7999999999999989</v>
      </c>
      <c r="AB103" s="190">
        <f>0.38*SQRT($B$4/Table_03[[#This Row],[Strength (ksi)]])</f>
        <v>9.1516118798821449</v>
      </c>
      <c r="AC103" s="190">
        <f>1*SQRT($B$4/Table_03[[#This Row],[Strength (ksi)]])</f>
        <v>24.083189157584592</v>
      </c>
      <c r="AD103" s="190">
        <f>(PI()^2*$B$4/(12*$B$5/Table_03[[#This Row],[rts]])^2)*SQRT(1+0.078*(Table_03[[#This Row],[J*]]/(Table_03[[#This Row],[Static Parameters Elastic Section Modulus Sx (in3)2]]*Table_03[[#This Row],[ho]])*$B$4/(12*$B$5/Table_03[[#This Row],[rts]])^2))</f>
        <v>43.130872539211637</v>
      </c>
      <c r="AE103" s="190">
        <f>0.69*$B$4/Table_03[[#This Row],[b/t]]^2</f>
        <v>208.35068721366102</v>
      </c>
      <c r="AF103" s="192">
        <f>Table_03[[#This Row],[Strength (ksi)]]*Table_03[[#This Row],[Static Parameters Plastic Section Modulus Zx (in3)]]</f>
        <v>292.6652649681518</v>
      </c>
      <c r="AG103" s="190">
        <f>Table_03[[#This Row],[Mp (k-in)]]-(Table_03[[#This Row],[Mp (k-in)]]-0.7*Table_03[[#This Row],[Strength (ksi)]]*Table_03[[#This Row],[Static Parameters Elastic Section Modulus Sx (in3)2]])*((Table_03[[#This Row],[b/t]]-Table_03[[#This Row],[λpf]])/(Table_03[[#This Row],[λrf]]-Table_03[[#This Row],[λpf]]))</f>
        <v>287.93369621871858</v>
      </c>
      <c r="AH103" s="193">
        <f>0.9*$B$4*Table_03[[#This Row],[kc]]*Table_03[[#This Row],[Static Parameters Elastic Section Modulus Sx (in3)2]]/Table_03[[#This Row],[b/t]]^2</f>
        <v>905.90758128966695</v>
      </c>
      <c r="AI103" s="194" t="str">
        <f>IF(Table_03[[#This Row],[b/t]]&lt;Table_03[[#This Row],[λpf]],"Compact",IF(AND(Table_03[[#This Row],[b/t]]&gt;Table_03[[#This Row],[λpf]],Table_03[[#This Row],[λrf]]&gt;Table_03[[#This Row],[b/t]]),"Non-Compact","Slender"))</f>
        <v>Non-Compact</v>
      </c>
      <c r="AJ103" s="195">
        <f>IF(Table_03[[#This Row],[Controlling LBx]]="Compact",Table_03[[#This Row],[Mp (k-in)]],IF(Table_03[[#This Row],[Controlling LBx]]="Non-Compact",Table_03[[#This Row],[Mnlb,Non-Compact (k-in)]],IF(Table_03[[#This Row],[Controlling LBx]]="Slender",Table_03[[#This Row],[Mnlb,slender (k-in)]],"ERROR")))</f>
        <v>287.93369621871858</v>
      </c>
      <c r="AK103" s="192">
        <f>Table_03[[#This Row],[Mp (k-in)]]-(Table_03[[#This Row],[Mp (k-in)]]-0.7*Table_03[[#This Row],[Strength (ksi)]]*Table_03[[#This Row],[Static Parameters Elastic Section Modulus Sx (in3)2]])*(($B$5-Table_03[[#This Row],[Lp (ft)]])/(Table_03[[#This Row],[Lr]]-Table_03[[#This Row],[Lp (ft)]]))</f>
        <v>220.31897974761705</v>
      </c>
      <c r="AL103" s="196">
        <f>Table_03[[#This Row],[Fcrx]]*Table_03[[#This Row],[Static Parameters Elastic Section Modulus Sx (in3)2]]</f>
        <v>226.37926432867786</v>
      </c>
      <c r="AM103" s="197" t="str">
        <f>IF($B$5&lt;Table_03[[#This Row],[Lp (ft)]],"Yielding Controls",IF(AND($B$5&gt;Table_03[[#This Row],[Lp (ft)]],Table_03[[#This Row],[Lr]]&gt;$B$5),"Mltb,p Controls","Mltb,r Controls"))</f>
        <v>Mltb,p Controls</v>
      </c>
      <c r="AN103" s="198">
        <f>IF(Table_03[[#This Row],[Controlling LTB]]="Yielding Controls",Table_03[[#This Row],[Mp (k-in)]],IF(Table_03[[#This Row],[Controlling LTB]]="Mltb,p Controls",Table_03[[#This Row],[Mnltbp (k-in)]],IF(Table_03[[#This Row],[Controlling LTB]]="Mltb,r Controls",Table_03[[#This Row],[Mnltbr (k-in)]],"ERROR")))</f>
        <v>220.31897974761705</v>
      </c>
      <c r="AO103" s="199">
        <f>MIN(Table_03[[#This Row],[Strength (ksi)]]*Table_03[[#This Row],[Static Parameters Plastic Section Modulus Zy (in3)]],1.6*Table_03[[#This Row],[Strength (ksi)]]*Table_03[[#This Row],[Static Parameters Elastic Section Modulus Sy (in3)3]])</f>
        <v>78.392937500000002</v>
      </c>
      <c r="AP103" s="169">
        <f>MIN(Table_03[[#This Row],[Mny (k-in)]],Table_03[[#This Row],[Mny (k-in)]]-(Table_03[[#This Row],[Mny (k-in)]]-0.7*Table_03[[#This Row],[Static Parameters Elastic Section Modulus Sy (in3)3]]*Table_03[[#This Row],[Strength (ksi)]])*((Table_03[[#This Row],[b/t]]-Table_03[[#This Row],[λpf]])/(Table_03[[#This Row],[λrf]]-Table_03[[#This Row],[λpf]])))</f>
        <v>76.548028555483214</v>
      </c>
      <c r="AQ103" s="196">
        <f>MIN(Table_03[[#This Row],[Mny (k-in)]],Table_03[[#This Row],[Fcry]]*Table_03[[#This Row],[Static Parameters Elastic Section Modulus Sy (in3)3]])</f>
        <v>78.392937500000002</v>
      </c>
      <c r="AR103" s="197" t="str">
        <f>IF(Table_03[[#This Row],[b/t]]&lt;Table_03[[#This Row],[λpf]],"Compact",IF(AND(Table_03[[#This Row],[b/t]]&gt;Table_03[[#This Row],[λpf]],Table_03[[#This Row],[λrf]]&gt;Table_03[[#This Row],[b/t]]),"Non-Compact","Slender"))</f>
        <v>Non-Compact</v>
      </c>
      <c r="AS103" s="198">
        <f>IF(Table_03[[#This Row],[Controlling Lby]]="Compact",Table_03[[#This Row],[Mny (k-in)]],IF(Table_03[[#This Row],[Controlling Lby]]="Non-Compact",Table_03[[#This Row],[Mlby,Non-Compact (k-in)]],IF(Table_03[[#This Row],[Controlling Lby]]="Slender",Table_03[[#This Row],[Mlby,Slender (k-in)]],"ERROR")))</f>
        <v>76.548028555483214</v>
      </c>
      <c r="AT103" s="199">
        <f>MIN(Table_03[[#This Row],[LBx]],Table_03[[#This Row],[LTB]],Table_03[[#This Row],[Mp (k-in)]])</f>
        <v>220.31897974761705</v>
      </c>
      <c r="AU103" s="169">
        <f>Table_03[[#This Row],[Mp (k-in)]]</f>
        <v>292.6652649681518</v>
      </c>
      <c r="AV103" s="169">
        <f>MIN(Table_03[[#This Row],[LBy]],Table_03[[#This Row],[Mny (k-in)]])</f>
        <v>76.548028555483214</v>
      </c>
      <c r="AW103" s="200">
        <f>Table_03[[#This Row],[Mny (k-in)]]</f>
        <v>78.392937500000002</v>
      </c>
      <c r="AX103" s="165">
        <f>AX101+$B$3</f>
        <v>0.28588779138678783</v>
      </c>
      <c r="AY103" s="165">
        <f>IF(4/SQRT((Table_03[[#This Row],[Depth h (in)]]-Table_03[[#This Row],[Flange Thickness tf (in)]]*2)/Table_03[[#This Row],[Web Thickness tw (in)]])&lt;0.35,0.35,IF(4/SQRT(Table_03[[#This Row],[Depth h (in)]]/Table_03[[#This Row],[Web Thickness tw (in)]])&gt;0.76,0.76,4/SQRT(Table_03[[#This Row],[Depth h (in)]]/Table_03[[#This Row],[Web Thickness tw (in)]])))</f>
        <v>0.63510734882995579</v>
      </c>
      <c r="AZ103" s="165"/>
      <c r="BA103" s="164">
        <f>BA102/12</f>
        <v>34.581448845782788</v>
      </c>
      <c r="BB103" s="164" t="e">
        <f>BB102/12</f>
        <v>#VALUE!</v>
      </c>
      <c r="BC103" s="164">
        <f>BC102/12</f>
        <v>29.083333333333332</v>
      </c>
    </row>
    <row r="104" spans="1:55" ht="14.4" thickBot="1" x14ac:dyDescent="0.35">
      <c r="A104" s="239" t="s">
        <v>198</v>
      </c>
      <c r="B104" s="240">
        <v>5.99</v>
      </c>
      <c r="C104" s="240">
        <v>5.99</v>
      </c>
      <c r="D104" s="240">
        <v>0.23</v>
      </c>
      <c r="E104" s="240">
        <v>0.26</v>
      </c>
      <c r="F104" s="206">
        <v>4.43</v>
      </c>
      <c r="G104" s="241">
        <v>15</v>
      </c>
      <c r="H104" s="206">
        <v>29.1</v>
      </c>
      <c r="I104" s="206">
        <v>9.32</v>
      </c>
      <c r="J104" s="206">
        <f>Table_03[[#This Row],[Width w (in)]]*Table_03[[#This Row],[Flange Thickness tf (in)]]*(Table_03[[#This Row],[Depth h (in)]]-Table_03[[#This Row],[Flange Thickness tf (in)]])+0.25*Table_03[[#This Row],[Web Thickness tw (in)]]*(Table_03[[#This Row],[Depth h (in)]]-2*Table_03[[#This Row],[Flange Thickness tf (in)]])^2</f>
        <v>10.644353750000002</v>
      </c>
      <c r="K104" s="206">
        <f>(Table_03[[#This Row],[Width w (in)]]^2*Table_03[[#This Row],[Flange Thickness tf (in)]])/2+0.25*Table_03[[#This Row],[Web Thickness tw (in)]]^2*(Table_03[[#This Row],[Depth h (in)]]-2*Table_03[[#This Row],[Flange Thickness tf (in)]])</f>
        <v>4.736753750000001</v>
      </c>
      <c r="L104" s="206">
        <v>9.7200000000000006</v>
      </c>
      <c r="M104" s="206">
        <v>3.11</v>
      </c>
      <c r="N104" s="205">
        <v>50</v>
      </c>
      <c r="O104" s="206">
        <f>SQRT(Table_03[[#This Row],[Static Parameters Moment of Inertia Ix (in4)]]/Table_03[[#This Row],[Sectional Area (in2)]])</f>
        <v>2.5629765427067435</v>
      </c>
      <c r="P104" s="206">
        <f>SQRT(Table_03[[#This Row],[Static Parameters Moment of Inertia Iy (in4)]]/Table_03[[#This Row],[Sectional Area (in2)]])</f>
        <v>1.4504611238441711</v>
      </c>
      <c r="Q104" s="206">
        <f>($B$6*$B$5*12)/Table_03[[#This Row],[ry (in)2]]</f>
        <v>123.78821951748483</v>
      </c>
      <c r="R104" s="206">
        <f>(PI()^2*$B$4)/(Table_03[[#This Row],[KL/ry]]^2)</f>
        <v>18.67837586633388</v>
      </c>
      <c r="S104" s="206">
        <f>IF(Table_03[[#This Row],[Strength (ksi)]]/Table_03[[#This Row],[Fe,y]]&lt;2.25,(0.658^(Table_03[[#This Row],[Strength (ksi)]]/Table_03[[#This Row],[Fe,y]])*Table_03[[#This Row],[Strength (ksi)]]),0.877*Table_03[[#This Row],[Fe,y]])</f>
        <v>16.380935634774811</v>
      </c>
      <c r="T104" s="206">
        <f>Table_03[[#This Row],[Fcr,y]]*Table_03[[#This Row],[Sectional Area (in2)]]</f>
        <v>72.567544862052415</v>
      </c>
      <c r="U104" s="206">
        <f>1.76*Table_03[[#This Row],[ry (in)2]]*SQRT($B$4/Table_03[[#This Row],[Strength (ksi)]])/12</f>
        <v>5.1233203429850791</v>
      </c>
      <c r="V104" s="206">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16.104455547844424</v>
      </c>
      <c r="W104" s="206">
        <f>Table_03[[#This Row],[Depth h (in)]]-Table_03[[#This Row],[Flange Thickness tf (in)]]</f>
        <v>5.73</v>
      </c>
      <c r="X104" s="206">
        <f>(Table_03[[#This Row],[Static Parameters Moment of Inertia Iy (in4)]]*Table_03[[#This Row],[ho]]^2)/4</f>
        <v>76.500657000000004</v>
      </c>
      <c r="Y104" s="206">
        <f>SQRT((SQRT(Table_03[[#This Row],[Static Parameters Moment of Inertia Iy (in4)]]*Table_03[[#This Row],[Cw*]])/Table_03[[#This Row],[Static Parameters Elastic Section Modulus Sx (in3)2]]))</f>
        <v>1.6574374092049746</v>
      </c>
      <c r="Z104" s="206">
        <f>(2*Table_03[[#This Row],[Width w (in)]]*Table_03[[#This Row],[Flange Thickness tf (in)]]^3/3)+((Table_03[[#This Row],[Depth h (in)]]-Table_03[[#This Row],[Flange Thickness tf (in)]]*2)*Table_03[[#This Row],[Web Thickness tw (in)]]^3)/3</f>
        <v>9.2371323333333338E-2</v>
      </c>
      <c r="AA104" s="206">
        <f>Table_03[[#This Row],[Width w (in)]]*0.5/Table_03[[#This Row],[Flange Thickness tf (in)]]</f>
        <v>11.51923076923077</v>
      </c>
      <c r="AB104" s="206">
        <f>0.38*SQRT($B$4/Table_03[[#This Row],[Strength (ksi)]])</f>
        <v>9.1516118798821449</v>
      </c>
      <c r="AC104" s="206">
        <f>1*SQRT($B$4/Table_03[[#This Row],[Strength (ksi)]])</f>
        <v>24.083189157584592</v>
      </c>
      <c r="AD104" s="206">
        <f>(PI()^2*$B$4/(12*$B$5/Table_03[[#This Row],[rts]])^2)*SQRT(1+0.078*(Table_03[[#This Row],[J*]]/(Table_03[[#This Row],[Static Parameters Elastic Section Modulus Sx (in3)2]]*Table_03[[#This Row],[ho]])*$B$4/(12*$B$5/Table_03[[#This Row],[rts]])^2))</f>
        <v>107.63306349592196</v>
      </c>
      <c r="AE104" s="206">
        <f>0.69*$B$4/Table_03[[#This Row],[b/t]]^2</f>
        <v>150.79957971131628</v>
      </c>
      <c r="AF104" s="214">
        <f>Table_03[[#This Row],[Strength (ksi)]]*Table_03[[#This Row],[Static Parameters Plastic Section Modulus Zx (in3)]]</f>
        <v>532.21768750000012</v>
      </c>
      <c r="AG104" s="206">
        <f>Table_03[[#This Row],[Mp (k-in)]]-(Table_03[[#This Row],[Mp (k-in)]]-0.7*Table_03[[#This Row],[Strength (ksi)]]*Table_03[[#This Row],[Static Parameters Elastic Section Modulus Sx (in3)2]])*((Table_03[[#This Row],[b/t]]-Table_03[[#This Row],[λpf]])/(Table_03[[#This Row],[λrf]]-Table_03[[#This Row],[λpf]]))</f>
        <v>501.7704885498303</v>
      </c>
      <c r="AH104" s="211">
        <f>0.9*$B$4*Table_03[[#This Row],[kc]]*Table_03[[#This Row],[Static Parameters Elastic Section Modulus Sx (in3)2]]/Table_03[[#This Row],[b/t]]^2</f>
        <v>1453.0260720566555</v>
      </c>
      <c r="AI104" s="212" t="str">
        <f>IF(Table_03[[#This Row],[b/t]]&lt;Table_03[[#This Row],[λpf]],"Compact",IF(AND(Table_03[[#This Row],[b/t]]&gt;Table_03[[#This Row],[λpf]],Table_03[[#This Row],[λrf]]&gt;Table_03[[#This Row],[b/t]]),"Non-Compact","Slender"))</f>
        <v>Non-Compact</v>
      </c>
      <c r="AJ104" s="213">
        <f>IF(Table_03[[#This Row],[Controlling LBx]]="Compact",Table_03[[#This Row],[Mp (k-in)]],IF(Table_03[[#This Row],[Controlling LBx]]="Non-Compact",Table_03[[#This Row],[Mnlb,Non-Compact (k-in)]],IF(Table_03[[#This Row],[Controlling LBx]]="Slender",Table_03[[#This Row],[Mnlb,slender (k-in)]],"ERROR")))</f>
        <v>501.7704885498303</v>
      </c>
      <c r="AK104" s="214">
        <f>Table_03[[#This Row],[Mp (k-in)]]-(Table_03[[#This Row],[Mp (k-in)]]-0.7*Table_03[[#This Row],[Strength (ksi)]]*Table_03[[#This Row],[Static Parameters Elastic Section Modulus Sx (in3)2]])*(($B$5-Table_03[[#This Row],[Lp (ft)]])/(Table_03[[#This Row],[Lr]]-Table_03[[#This Row],[Lp (ft)]]))</f>
        <v>497.21603314592994</v>
      </c>
      <c r="AL104" s="211">
        <f>Table_03[[#This Row],[Fcrx]]*Table_03[[#This Row],[Static Parameters Elastic Section Modulus Sx (in3)2]]</f>
        <v>1046.1933771803615</v>
      </c>
      <c r="AM104" s="212" t="str">
        <f>IF($B$5&lt;Table_03[[#This Row],[Lp (ft)]],"Yielding Controls",IF(AND($B$5&gt;Table_03[[#This Row],[Lp (ft)]],Table_03[[#This Row],[Lr]]&gt;$B$5),"Mltb,p Controls","Mltb,r Controls"))</f>
        <v>Mltb,p Controls</v>
      </c>
      <c r="AN104" s="213">
        <f>IF(Table_03[[#This Row],[Controlling LTB]]="Yielding Controls",Table_03[[#This Row],[Mp (k-in)]],IF(Table_03[[#This Row],[Controlling LTB]]="Mltb,p Controls",Table_03[[#This Row],[Mnltbp (k-in)]],IF(Table_03[[#This Row],[Controlling LTB]]="Mltb,r Controls",Table_03[[#This Row],[Mnltbr (k-in)]],"ERROR")))</f>
        <v>497.21603314592994</v>
      </c>
      <c r="AO104" s="214">
        <f>MIN(Table_03[[#This Row],[Strength (ksi)]]*Table_03[[#This Row],[Static Parameters Plastic Section Modulus Zy (in3)]],1.6*Table_03[[#This Row],[Strength (ksi)]]*Table_03[[#This Row],[Static Parameters Elastic Section Modulus Sy (in3)3]])</f>
        <v>236.83768750000004</v>
      </c>
      <c r="AP104" s="206">
        <f>MIN(Table_03[[#This Row],[Mny (k-in)]],Table_03[[#This Row],[Mny (k-in)]]-(Table_03[[#This Row],[Mny (k-in)]]-0.7*Table_03[[#This Row],[Static Parameters Elastic Section Modulus Sy (in3)3]]*Table_03[[#This Row],[Strength (ksi)]])*((Table_03[[#This Row],[b/t]]-Table_03[[#This Row],[λpf]])/(Table_03[[#This Row],[λrf]]-Table_03[[#This Row],[λpf]])))</f>
        <v>216.54337693298697</v>
      </c>
      <c r="AQ104" s="211">
        <f>MIN(Table_03[[#This Row],[Mny (k-in)]],Table_03[[#This Row],[Fcry]]*Table_03[[#This Row],[Static Parameters Elastic Section Modulus Sy (in3)3]])</f>
        <v>236.83768750000004</v>
      </c>
      <c r="AR104" s="212" t="str">
        <f>IF(Table_03[[#This Row],[b/t]]&lt;Table_03[[#This Row],[λpf]],"Compact",IF(AND(Table_03[[#This Row],[b/t]]&gt;Table_03[[#This Row],[λpf]],Table_03[[#This Row],[λrf]]&gt;Table_03[[#This Row],[b/t]]),"Non-Compact","Slender"))</f>
        <v>Non-Compact</v>
      </c>
      <c r="AS104" s="213">
        <f>IF(Table_03[[#This Row],[Controlling Lby]]="Compact",Table_03[[#This Row],[Mny (k-in)]],IF(Table_03[[#This Row],[Controlling Lby]]="Non-Compact",Table_03[[#This Row],[Mlby,Non-Compact (k-in)]],IF(Table_03[[#This Row],[Controlling Lby]]="Slender",Table_03[[#This Row],[Mlby,Slender (k-in)]],"ERROR")))</f>
        <v>216.54337693298697</v>
      </c>
      <c r="AT104" s="214">
        <f>MIN(Table_03[[#This Row],[LBx]],Table_03[[#This Row],[LTB]],Table_03[[#This Row],[Mp (k-in)]])</f>
        <v>497.21603314592994</v>
      </c>
      <c r="AU104" s="206">
        <f>Table_03[[#This Row],[Mp (k-in)]]</f>
        <v>532.21768750000012</v>
      </c>
      <c r="AV104" s="206">
        <f>MIN(Table_03[[#This Row],[LBy]],Table_03[[#This Row],[Mny (k-in)]])</f>
        <v>216.54337693298697</v>
      </c>
      <c r="AW104" s="215">
        <f>Table_03[[#This Row],[Mny (k-in)]]</f>
        <v>236.83768750000004</v>
      </c>
      <c r="AX104" s="165">
        <f>SQRT(((Table_03[[#This Row],[Sectional Area (in2)]]-(Table_03[[#This Row],[Flange Thickness tf (in)]]*Table_03[[#This Row],[Width w (in)]]*2+Table_03[[#This Row],[Web Thickness tw (in)]]*((Table_03[[#This Row],[Depth h (in)]]-2*Table_03[[#This Row],[Flange Thickness tf (in)]]))))/4)/(1-PI()/4))</f>
        <v>0.25791187647972996</v>
      </c>
      <c r="AY104"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04" s="165"/>
    </row>
    <row r="105" spans="1:55" ht="14.4" thickBot="1" x14ac:dyDescent="0.35">
      <c r="A105" s="179" t="s">
        <v>17</v>
      </c>
      <c r="B105" s="180">
        <f>B104-$B$1*2</f>
        <v>5.99</v>
      </c>
      <c r="C105" s="180">
        <f>C104-$B$1*2</f>
        <v>5.99</v>
      </c>
      <c r="D105" s="180">
        <f>D104-$B$1*2</f>
        <v>0.23</v>
      </c>
      <c r="E105" s="180">
        <f>E104-$B$1*2</f>
        <v>0.26</v>
      </c>
      <c r="F105" s="181">
        <f>4*(Table_03[[#This Row],[Fillet Radius]]^2*(1-PI()/4))+2*Table_03[[#This Row],[Width w (in)]]*Table_03[[#This Row],[Flange Thickness tf (in)]]+Table_03[[#This Row],[Web Thickness tw (in)]]*(Table_03[[#This Row],[Depth h (in)]]-2*Table_03[[#This Row],[Flange Thickness tf (in)]])</f>
        <v>4.43</v>
      </c>
      <c r="G105" s="180"/>
      <c r="H105" s="203">
        <f>2*(1/12*C105*E105^3+C105*E105*((B105/2-E105/2)^2))+
1/12*D105*(B105-2*E105)^3+
4*(1/12*AX105^4+
AX105^2*((AX105/(6-3*PI()/2))-AX105/2)^2-
(PI()*AX105^4/16+PI()*AX105^2/4*((AX105/(6-3*PI()/2))-4*AX105/(3*PI()))^2)+
(AX105^2-PI()*AX105^2/4)*((B105/2-E105-(AX105-AX105/(6-3*PI()/2)))^2))</f>
        <v>29.128429477822692</v>
      </c>
      <c r="I105" s="180">
        <f>2*((1/12)*E105*C105^3)+(1/12)*(B105-2*E105)*D105^3+4*((AX105^2-PI()*AX105^2/4)*(D105/2+(AX105-(AX105/(6-3*PI()/2))))^2)</f>
        <v>9.3205253154474565</v>
      </c>
      <c r="J105" s="181">
        <f>F105*((B105/2)-((C105*E105*(E105/2))+(D105*(B105/2-E105)*(E105+(B105/2-E105)/2))+(2*(AX105^2-PI()*AX105^2/4)*(E105+(AX105-AX105/(6-3*PI()/2)))))/(F105/2))</f>
        <v>10.797232762151673</v>
      </c>
      <c r="K105" s="181">
        <f>(Table_03[[#This Row],[Width w (in)]]^2*Table_03[[#This Row],[Flange Thickness tf (in)]])/2+0.25*Table_03[[#This Row],[Web Thickness tw (in)]]^2*(Table_03[[#This Row],[Depth h (in)]]-2*Table_03[[#This Row],[Flange Thickness tf (in)]])</f>
        <v>4.736753750000001</v>
      </c>
      <c r="L105" s="181">
        <f>Table_03[[#This Row],[Static Parameters Moment of Inertia Ix (in4)]]/(Table_03[[#This Row],[Depth h (in)]]/2)</f>
        <v>9.7256859692229352</v>
      </c>
      <c r="M105" s="181">
        <f>Table_03[[#This Row],[Static Parameters Moment of Inertia Iy (in4)]]/(Table_03[[#This Row],[Width w (in)]]/2)</f>
        <v>3.1120284859590841</v>
      </c>
      <c r="N105" s="182">
        <v>50</v>
      </c>
      <c r="O105" s="181">
        <f>SQRT(Table_03[[#This Row],[Static Parameters Moment of Inertia Ix (in4)]]/Table_03[[#This Row],[Sectional Area (in2)]])</f>
        <v>2.5642281972974845</v>
      </c>
      <c r="P105" s="181">
        <f>SQRT(Table_03[[#This Row],[Static Parameters Moment of Inertia Iy (in4)]]/Table_03[[#This Row],[Sectional Area (in2)]])</f>
        <v>1.4505020003944877</v>
      </c>
      <c r="Q105" s="181">
        <f>($B$6*$B$5*12)/Table_03[[#This Row],[ry (in)2]]</f>
        <v>123.78473104564382</v>
      </c>
      <c r="R105" s="181">
        <f>(PI()^2*$B$4)/(Table_03[[#This Row],[KL/ry]]^2)</f>
        <v>18.679428660258342</v>
      </c>
      <c r="S105" s="181">
        <f>IF(Table_03[[#This Row],[Strength (ksi)]]/Table_03[[#This Row],[Fe,y]]&lt;2.25,(0.658^(Table_03[[#This Row],[Strength (ksi)]]/Table_03[[#This Row],[Fe,y]])*Table_03[[#This Row],[Strength (ksi)]]),0.877*Table_03[[#This Row],[Fe,y]])</f>
        <v>16.381858935046566</v>
      </c>
      <c r="T105" s="181">
        <f>Table_03[[#This Row],[Fcr,y]]*Table_03[[#This Row],[Sectional Area (in2)]]</f>
        <v>72.571635082256279</v>
      </c>
      <c r="U105" s="181">
        <f>1.76*Table_03[[#This Row],[ry (in)2]]*SQRT($B$4/Table_03[[#This Row],[Strength (ksi)]])/12</f>
        <v>5.1234647271801093</v>
      </c>
      <c r="V10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16.098001783738386</v>
      </c>
      <c r="W105" s="181">
        <f>Table_03[[#This Row],[Depth h (in)]]-Table_03[[#This Row],[Flange Thickness tf (in)]]</f>
        <v>5.73</v>
      </c>
      <c r="X105" s="181">
        <f>(Table_03[[#This Row],[Static Parameters Moment of Inertia Iy (in4)]]*Table_03[[#This Row],[ho]]^2)/4</f>
        <v>76.504968907388701</v>
      </c>
      <c r="Y105" s="181">
        <f>SQRT((SQRT(Table_03[[#This Row],[Static Parameters Moment of Inertia Iy (in4)]]*Table_03[[#This Row],[Cw*]])/Table_03[[#This Row],[Static Parameters Elastic Section Modulus Sx (in3)2]]))</f>
        <v>1.6569995368746975</v>
      </c>
      <c r="Z105" s="181">
        <f>(2*Table_03[[#This Row],[Width w (in)]]*Table_03[[#This Row],[Flange Thickness tf (in)]]^3/3)+((Table_03[[#This Row],[Depth h (in)]]-Table_03[[#This Row],[Flange Thickness tf (in)]]*2)*Table_03[[#This Row],[Web Thickness tw (in)]]^3)/3</f>
        <v>9.2371323333333338E-2</v>
      </c>
      <c r="AA105" s="181">
        <f>Table_03[[#This Row],[Width w (in)]]*0.5/Table_03[[#This Row],[Flange Thickness tf (in)]]</f>
        <v>11.51923076923077</v>
      </c>
      <c r="AB105" s="181">
        <f>0.38*SQRT($B$4/Table_03[[#This Row],[Strength (ksi)]])</f>
        <v>9.1516118798821449</v>
      </c>
      <c r="AC105" s="181">
        <f>1*SQRT($B$4/Table_03[[#This Row],[Strength (ksi)]])</f>
        <v>24.083189157584592</v>
      </c>
      <c r="AD105" s="181">
        <f>(PI()^2*$B$4/(12*$B$5/Table_03[[#This Row],[rts]])^2)*SQRT(1+0.078*(Table_03[[#This Row],[J*]]/(Table_03[[#This Row],[Static Parameters Elastic Section Modulus Sx (in3)2]]*Table_03[[#This Row],[ho]])*$B$4/(12*$B$5/Table_03[[#This Row],[rts]])^2))</f>
        <v>107.5761163858397</v>
      </c>
      <c r="AE105" s="181">
        <f>0.69*$B$4/Table_03[[#This Row],[b/t]]^2</f>
        <v>150.79957971131628</v>
      </c>
      <c r="AF105" s="183">
        <f>Table_03[[#This Row],[Strength (ksi)]]*Table_03[[#This Row],[Static Parameters Plastic Section Modulus Zx (in3)]]</f>
        <v>539.86163810758364</v>
      </c>
      <c r="AG105" s="181">
        <f>Table_03[[#This Row],[Mp (k-in)]]-(Table_03[[#This Row],[Mp (k-in)]]-0.7*Table_03[[#This Row],[Strength (ksi)]]*Table_03[[#This Row],[Static Parameters Elastic Section Modulus Sx (in3)2]])*((Table_03[[#This Row],[b/t]]-Table_03[[#This Row],[λpf]])/(Table_03[[#This Row],[λrf]]-Table_03[[#This Row],[λpf]]))</f>
        <v>508.23393530071087</v>
      </c>
      <c r="AH105" s="184">
        <f>0.9*$B$4*Table_03[[#This Row],[kc]]*Table_03[[#This Row],[Static Parameters Elastic Section Modulus Sx (in3)2]]/Table_03[[#This Row],[b/t]]^2</f>
        <v>1453.8760578103422</v>
      </c>
      <c r="AI105" s="185" t="str">
        <f>IF(Table_03[[#This Row],[b/t]]&lt;Table_03[[#This Row],[λpf]],"Compact",IF(AND(Table_03[[#This Row],[b/t]]&gt;Table_03[[#This Row],[λpf]],Table_03[[#This Row],[λrf]]&gt;Table_03[[#This Row],[b/t]]),"Non-Compact","Slender"))</f>
        <v>Non-Compact</v>
      </c>
      <c r="AJ105" s="186">
        <f>IF(Table_03[[#This Row],[Controlling LBx]]="Compact",Table_03[[#This Row],[Mp (k-in)]],IF(Table_03[[#This Row],[Controlling LBx]]="Non-Compact",Table_03[[#This Row],[Mnlb,Non-Compact (k-in)]],IF(Table_03[[#This Row],[Controlling LBx]]="Slender",Table_03[[#This Row],[Mnlb,slender (k-in)]],"ERROR")))</f>
        <v>508.23393530071087</v>
      </c>
      <c r="AK105" s="183">
        <f>Table_03[[#This Row],[Mp (k-in)]]-(Table_03[[#This Row],[Mp (k-in)]]-0.7*Table_03[[#This Row],[Strength (ksi)]]*Table_03[[#This Row],[Static Parameters Elastic Section Modulus Sx (in3)2]])*(($B$5-Table_03[[#This Row],[Lp (ft)]])/(Table_03[[#This Row],[Lr]]-Table_03[[#This Row],[Lp (ft)]]))</f>
        <v>503.48365825610949</v>
      </c>
      <c r="AL105" s="184">
        <f>Table_03[[#This Row],[Fcrx]]*Table_03[[#This Row],[Static Parameters Elastic Section Modulus Sx (in3)2]]</f>
        <v>1046.2515257572547</v>
      </c>
      <c r="AM105" s="185" t="str">
        <f>IF($B$5&lt;Table_03[[#This Row],[Lp (ft)]],"Yielding Controls",IF(AND($B$5&gt;Table_03[[#This Row],[Lp (ft)]],Table_03[[#This Row],[Lr]]&gt;$B$5),"Mltb,p Controls","Mltb,r Controls"))</f>
        <v>Mltb,p Controls</v>
      </c>
      <c r="AN105" s="186">
        <f>IF(Table_03[[#This Row],[Controlling LTB]]="Yielding Controls",Table_03[[#This Row],[Mp (k-in)]],IF(Table_03[[#This Row],[Controlling LTB]]="Mltb,p Controls",Table_03[[#This Row],[Mnltbp (k-in)]],IF(Table_03[[#This Row],[Controlling LTB]]="Mltb,r Controls",Table_03[[#This Row],[Mnltbr (k-in)]],"ERROR")))</f>
        <v>503.48365825610949</v>
      </c>
      <c r="AO105" s="183">
        <f>MIN(Table_03[[#This Row],[Strength (ksi)]]*Table_03[[#This Row],[Static Parameters Plastic Section Modulus Zy (in3)]],1.6*Table_03[[#This Row],[Strength (ksi)]]*Table_03[[#This Row],[Static Parameters Elastic Section Modulus Sy (in3)3]])</f>
        <v>236.83768750000004</v>
      </c>
      <c r="AP105" s="181">
        <f>MIN(Table_03[[#This Row],[Mny (k-in)]],Table_03[[#This Row],[Mny (k-in)]]-(Table_03[[#This Row],[Mny (k-in)]]-0.7*Table_03[[#This Row],[Static Parameters Elastic Section Modulus Sy (in3)3]]*Table_03[[#This Row],[Strength (ksi)]])*((Table_03[[#This Row],[b/t]]-Table_03[[#This Row],[λpf]])/(Table_03[[#This Row],[λrf]]-Table_03[[#This Row],[λpf]])))</f>
        <v>216.55463454197539</v>
      </c>
      <c r="AQ105" s="184">
        <f>MIN(Table_03[[#This Row],[Mny (k-in)]],Table_03[[#This Row],[Fcry]]*Table_03[[#This Row],[Static Parameters Elastic Section Modulus Sy (in3)3]])</f>
        <v>236.83768750000004</v>
      </c>
      <c r="AR105" s="185" t="str">
        <f>IF(Table_03[[#This Row],[b/t]]&lt;Table_03[[#This Row],[λpf]],"Compact",IF(AND(Table_03[[#This Row],[b/t]]&gt;Table_03[[#This Row],[λpf]],Table_03[[#This Row],[λrf]]&gt;Table_03[[#This Row],[b/t]]),"Non-Compact","Slender"))</f>
        <v>Non-Compact</v>
      </c>
      <c r="AS105" s="186">
        <f>IF(Table_03[[#This Row],[Controlling Lby]]="Compact",Table_03[[#This Row],[Mny (k-in)]],IF(Table_03[[#This Row],[Controlling Lby]]="Non-Compact",Table_03[[#This Row],[Mlby,Non-Compact (k-in)]],IF(Table_03[[#This Row],[Controlling Lby]]="Slender",Table_03[[#This Row],[Mlby,Slender (k-in)]],"ERROR")))</f>
        <v>216.55463454197539</v>
      </c>
      <c r="AT105" s="183">
        <f>MIN(Table_03[[#This Row],[LBx]],Table_03[[#This Row],[LTB]],Table_03[[#This Row],[Mp (k-in)]])</f>
        <v>503.48365825610949</v>
      </c>
      <c r="AU105" s="181">
        <f>Table_03[[#This Row],[Mp (k-in)]]</f>
        <v>539.86163810758364</v>
      </c>
      <c r="AV105" s="181">
        <f>MIN(Table_03[[#This Row],[LBy]],Table_03[[#This Row],[Mny (k-in)]])</f>
        <v>216.55463454197539</v>
      </c>
      <c r="AW105" s="187">
        <f>Table_03[[#This Row],[Mny (k-in)]]</f>
        <v>236.83768750000004</v>
      </c>
      <c r="AX105" s="165">
        <f>AX104+$B$1</f>
        <v>0.25791187647972996</v>
      </c>
      <c r="AY105"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05" s="165"/>
    </row>
    <row r="106" spans="1:55" ht="14.4" thickBot="1" x14ac:dyDescent="0.35">
      <c r="A106" s="188" t="s">
        <v>199</v>
      </c>
      <c r="B106" s="189">
        <f>B104-$B$3*2</f>
        <v>5.91</v>
      </c>
      <c r="C106" s="189">
        <f>C104-$B$3*2</f>
        <v>5.91</v>
      </c>
      <c r="D106" s="189">
        <f>D104-$B$3*2</f>
        <v>0.15000000000000002</v>
      </c>
      <c r="E106" s="189">
        <f>E104-$B$3*2</f>
        <v>0.18</v>
      </c>
      <c r="F106" s="190">
        <f>4*(Table_03[[#This Row],[Fillet Radius]]^2*(1-PI()/4))+2*Table_03[[#This Row],[Width w (in)]]*Table_03[[#This Row],[Flange Thickness tf (in)]]+Table_03[[#This Row],[Web Thickness tw (in)]]*(Table_03[[#This Row],[Depth h (in)]]-2*Table_03[[#This Row],[Flange Thickness tf (in)]])</f>
        <v>3.0362849277139872</v>
      </c>
      <c r="G106" s="189"/>
      <c r="H106" s="203">
        <f>2*(1/12*C106*E106^3+C106*E106*((B106/2-E106/2)^2))+
1/12*D106*(B106-2*E106)^3+
4*(1/12*AX106^4+
AX106^2*((AX106/(6-3*PI()/2))-AX106/2)^2-
(PI()*AX106^4/16+PI()*AX106^2/4*((AX106/(6-3*PI()/2))-4*AX106/(3*PI()))^2)+
(AX106^2-PI()*AX106^2/4)*((B106/2-E106-(AX106-AX106/(6-3*PI()/2)))^2))</f>
        <v>20.161140194833742</v>
      </c>
      <c r="I106" s="180">
        <f>2*((1/12)*E106*C106^3)+(1/12)*(B106-2*E106)*D106^3+4*((AX106^2-PI()*AX106^2/4)*(D106/2+(AX106-(AX106/(6-3*PI()/2))))^2)</f>
        <v>6.195839409148066</v>
      </c>
      <c r="J106" s="181">
        <f>F106*((B106/2)-((C106*E106*(E106/2))+(D106*(B106/2-E106)*(E106+(B106/2-E106)/2))+(2*(AX106^2-PI()*AX106^2/4)*(E106+(AX106-AX106/(6-3*PI()/2)))))/(F106/2))</f>
        <v>7.4570112774839812</v>
      </c>
      <c r="K106" s="190">
        <f>(Table_03[[#This Row],[Width w (in)]]^2*Table_03[[#This Row],[Flange Thickness tf (in)]])/2+0.25*Table_03[[#This Row],[Web Thickness tw (in)]]^2*(Table_03[[#This Row],[Depth h (in)]]-2*Table_03[[#This Row],[Flange Thickness tf (in)]])</f>
        <v>3.1747477499999999</v>
      </c>
      <c r="L106" s="190">
        <f>Table_03[[#This Row],[Static Parameters Moment of Inertia Ix (in4)]]/(Table_03[[#This Row],[Depth h (in)]]/2)</f>
        <v>6.8227208781163249</v>
      </c>
      <c r="M106" s="190">
        <f>Table_03[[#This Row],[Static Parameters Moment of Inertia Iy (in4)]]/(Table_03[[#This Row],[Width w (in)]]/2)</f>
        <v>2.0967307645171118</v>
      </c>
      <c r="N106" s="191">
        <v>50</v>
      </c>
      <c r="O106" s="169">
        <f>SQRT(Table_03[[#This Row],[Static Parameters Moment of Inertia Ix (in4)]]/Table_03[[#This Row],[Sectional Area (in2)]])</f>
        <v>2.576833055376186</v>
      </c>
      <c r="P106" s="190">
        <f>SQRT(Table_03[[#This Row],[Static Parameters Moment of Inertia Iy (in4)]]/Table_03[[#This Row],[Sectional Area (in2)]])</f>
        <v>1.4284952956226238</v>
      </c>
      <c r="Q106" s="190">
        <f>($B$6*$B$5*12)/Table_03[[#This Row],[ry (in)2]]</f>
        <v>125.69169849575275</v>
      </c>
      <c r="R106" s="190">
        <f>(PI()^2*$B$4)/(Table_03[[#This Row],[KL/ry]]^2)</f>
        <v>18.116927790098099</v>
      </c>
      <c r="S106" s="190">
        <f>IF(Table_03[[#This Row],[Strength (ksi)]]/Table_03[[#This Row],[Fe,y]]&lt;2.25,(0.658^(Table_03[[#This Row],[Strength (ksi)]]/Table_03[[#This Row],[Fe,y]])*Table_03[[#This Row],[Strength (ksi)]]),0.877*Table_03[[#This Row],[Fe,y]])</f>
        <v>15.888545671916033</v>
      </c>
      <c r="T106" s="190">
        <f>Table_03[[#This Row],[Fcr,y]]*Table_03[[#This Row],[Sectional Area (in2)]]</f>
        <v>48.242151746933956</v>
      </c>
      <c r="U106" s="190">
        <f>1.76*Table_03[[#This Row],[ry (in)2]]*SQRT($B$4/Table_03[[#This Row],[Strength (ksi)]])/12</f>
        <v>5.0457326208959072</v>
      </c>
      <c r="V10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13.689487409775403</v>
      </c>
      <c r="W106" s="190">
        <f>Table_03[[#This Row],[Depth h (in)]]-Table_03[[#This Row],[Flange Thickness tf (in)]]</f>
        <v>5.73</v>
      </c>
      <c r="X106" s="190">
        <f>(Table_03[[#This Row],[Static Parameters Moment of Inertia Iy (in4)]]*Table_03[[#This Row],[ho]]^2)/4</f>
        <v>50.856843934154384</v>
      </c>
      <c r="Y106" s="190">
        <f>SQRT((SQRT(Table_03[[#This Row],[Static Parameters Moment of Inertia Iy (in4)]]*Table_03[[#This Row],[Cw*]])/Table_03[[#This Row],[Static Parameters Elastic Section Modulus Sx (in3)2]]))</f>
        <v>1.6129971027305199</v>
      </c>
      <c r="Z106" s="190">
        <f>(2*Table_03[[#This Row],[Width w (in)]]*Table_03[[#This Row],[Flange Thickness tf (in)]]^3/3)+((Table_03[[#This Row],[Depth h (in)]]-Table_03[[#This Row],[Flange Thickness tf (in)]]*2)*Table_03[[#This Row],[Web Thickness tw (in)]]^3)/3</f>
        <v>2.9221830000000001E-2</v>
      </c>
      <c r="AA106" s="190">
        <f>Table_03[[#This Row],[Width w (in)]]*0.5/Table_03[[#This Row],[Flange Thickness tf (in)]]</f>
        <v>16.416666666666668</v>
      </c>
      <c r="AB106" s="190">
        <f>0.38*SQRT($B$4/Table_03[[#This Row],[Strength (ksi)]])</f>
        <v>9.1516118798821449</v>
      </c>
      <c r="AC106" s="190">
        <f>1*SQRT($B$4/Table_03[[#This Row],[Strength (ksi)]])</f>
        <v>24.083189157584592</v>
      </c>
      <c r="AD106" s="190">
        <f>(PI()^2*$B$4/(12*$B$5/Table_03[[#This Row],[rts]])^2)*SQRT(1+0.078*(Table_03[[#This Row],[J*]]/(Table_03[[#This Row],[Static Parameters Elastic Section Modulus Sx (in3)2]]*Table_03[[#This Row],[ho]])*$B$4/(12*$B$5/Table_03[[#This Row],[rts]])^2))</f>
        <v>101.89745085449474</v>
      </c>
      <c r="AE106" s="190">
        <f>0.69*$B$4/Table_03[[#This Row],[b/t]]^2</f>
        <v>74.246695354170427</v>
      </c>
      <c r="AF106" s="192">
        <f>Table_03[[#This Row],[Strength (ksi)]]*Table_03[[#This Row],[Static Parameters Plastic Section Modulus Zx (in3)]]</f>
        <v>372.85056387419905</v>
      </c>
      <c r="AG106" s="190">
        <f>Table_03[[#This Row],[Mp (k-in)]]-(Table_03[[#This Row],[Mp (k-in)]]-0.7*Table_03[[#This Row],[Strength (ksi)]]*Table_03[[#This Row],[Static Parameters Elastic Section Modulus Sx (in3)2]])*((Table_03[[#This Row],[b/t]]-Table_03[[#This Row],[λpf]])/(Table_03[[#This Row],[λrf]]-Table_03[[#This Row],[λpf]]))</f>
        <v>307.62508088533576</v>
      </c>
      <c r="AH106" s="193">
        <f>0.9*$B$4*Table_03[[#This Row],[kc]]*Table_03[[#This Row],[Static Parameters Elastic Section Modulus Sx (in3)2]]/Table_03[[#This Row],[b/t]]^2</f>
        <v>421.05616629376129</v>
      </c>
      <c r="AI106" s="194" t="str">
        <f>IF(Table_03[[#This Row],[b/t]]&lt;Table_03[[#This Row],[λpf]],"Compact",IF(AND(Table_03[[#This Row],[b/t]]&gt;Table_03[[#This Row],[λpf]],Table_03[[#This Row],[λrf]]&gt;Table_03[[#This Row],[b/t]]),"Non-Compact","Slender"))</f>
        <v>Non-Compact</v>
      </c>
      <c r="AJ106" s="195">
        <f>IF(Table_03[[#This Row],[Controlling LBx]]="Compact",Table_03[[#This Row],[Mp (k-in)]],IF(Table_03[[#This Row],[Controlling LBx]]="Non-Compact",Table_03[[#This Row],[Mnlb,Non-Compact (k-in)]],IF(Table_03[[#This Row],[Controlling LBx]]="Slender",Table_03[[#This Row],[Mnlb,slender (k-in)]],"ERROR")))</f>
        <v>307.62508088533576</v>
      </c>
      <c r="AK106" s="192">
        <f>Table_03[[#This Row],[Mp (k-in)]]-(Table_03[[#This Row],[Mp (k-in)]]-0.7*Table_03[[#This Row],[Strength (ksi)]]*Table_03[[#This Row],[Static Parameters Elastic Section Modulus Sx (in3)2]])*(($B$5-Table_03[[#This Row],[Lp (ft)]])/(Table_03[[#This Row],[Lr]]-Table_03[[#This Row],[Lp (ft)]]))</f>
        <v>340.60336482688172</v>
      </c>
      <c r="AL106" s="196">
        <f>Table_03[[#This Row],[Fcrx]]*Table_03[[#This Row],[Static Parameters Elastic Section Modulus Sx (in3)2]]</f>
        <v>695.21786537179344</v>
      </c>
      <c r="AM106" s="197" t="str">
        <f>IF($B$5&lt;Table_03[[#This Row],[Lp (ft)]],"Yielding Controls",IF(AND($B$5&gt;Table_03[[#This Row],[Lp (ft)]],Table_03[[#This Row],[Lr]]&gt;$B$5),"Mltb,p Controls","Mltb,r Controls"))</f>
        <v>Mltb,p Controls</v>
      </c>
      <c r="AN106" s="198">
        <f>IF(Table_03[[#This Row],[Controlling LTB]]="Yielding Controls",Table_03[[#This Row],[Mp (k-in)]],IF(Table_03[[#This Row],[Controlling LTB]]="Mltb,p Controls",Table_03[[#This Row],[Mnltbp (k-in)]],IF(Table_03[[#This Row],[Controlling LTB]]="Mltb,r Controls",Table_03[[#This Row],[Mnltbr (k-in)]],"ERROR")))</f>
        <v>340.60336482688172</v>
      </c>
      <c r="AO106" s="199">
        <f>MIN(Table_03[[#This Row],[Strength (ksi)]]*Table_03[[#This Row],[Static Parameters Plastic Section Modulus Zy (in3)]],1.6*Table_03[[#This Row],[Strength (ksi)]]*Table_03[[#This Row],[Static Parameters Elastic Section Modulus Sy (in3)3]])</f>
        <v>158.73738749999998</v>
      </c>
      <c r="AP106" s="169">
        <f>MIN(Table_03[[#This Row],[Mny (k-in)]],Table_03[[#This Row],[Mny (k-in)]]-(Table_03[[#This Row],[Mny (k-in)]]-0.7*Table_03[[#This Row],[Static Parameters Elastic Section Modulus Sy (in3)3]]*Table_03[[#This Row],[Strength (ksi)]])*((Table_03[[#This Row],[b/t]]-Table_03[[#This Row],[λpf]])/(Table_03[[#This Row],[λrf]]-Table_03[[#This Row],[λpf]])))</f>
        <v>117.20891601580131</v>
      </c>
      <c r="AQ106" s="196">
        <f>MIN(Table_03[[#This Row],[Mny (k-in)]],Table_03[[#This Row],[Fcry]]*Table_03[[#This Row],[Static Parameters Elastic Section Modulus Sy (in3)3]])</f>
        <v>155.67533031281886</v>
      </c>
      <c r="AR106" s="197" t="str">
        <f>IF(Table_03[[#This Row],[b/t]]&lt;Table_03[[#This Row],[λpf]],"Compact",IF(AND(Table_03[[#This Row],[b/t]]&gt;Table_03[[#This Row],[λpf]],Table_03[[#This Row],[λrf]]&gt;Table_03[[#This Row],[b/t]]),"Non-Compact","Slender"))</f>
        <v>Non-Compact</v>
      </c>
      <c r="AS106" s="198">
        <f>IF(Table_03[[#This Row],[Controlling Lby]]="Compact",Table_03[[#This Row],[Mny (k-in)]],IF(Table_03[[#This Row],[Controlling Lby]]="Non-Compact",Table_03[[#This Row],[Mlby,Non-Compact (k-in)]],IF(Table_03[[#This Row],[Controlling Lby]]="Slender",Table_03[[#This Row],[Mlby,Slender (k-in)]],"ERROR")))</f>
        <v>117.20891601580131</v>
      </c>
      <c r="AT106" s="199">
        <f>MIN(Table_03[[#This Row],[LBx]],Table_03[[#This Row],[LTB]],Table_03[[#This Row],[Mp (k-in)]])</f>
        <v>307.62508088533576</v>
      </c>
      <c r="AU106" s="169">
        <f>Table_03[[#This Row],[Mp (k-in)]]</f>
        <v>372.85056387419905</v>
      </c>
      <c r="AV106" s="169">
        <f>MIN(Table_03[[#This Row],[LBy]],Table_03[[#This Row],[Mny (k-in)]])</f>
        <v>117.20891601580131</v>
      </c>
      <c r="AW106" s="200">
        <f>Table_03[[#This Row],[Mny (k-in)]]</f>
        <v>158.73738749999998</v>
      </c>
      <c r="AX106" s="165">
        <f>AX104+$B$3</f>
        <v>0.29791187647972994</v>
      </c>
      <c r="AY106" s="165">
        <f>IF(4/SQRT((Table_03[[#This Row],[Depth h (in)]]-Table_03[[#This Row],[Flange Thickness tf (in)]]*2)/Table_03[[#This Row],[Web Thickness tw (in)]])&lt;0.35,0.35,IF(4/SQRT(Table_03[[#This Row],[Depth h (in)]]/Table_03[[#This Row],[Web Thickness tw (in)]])&gt;0.76,0.76,4/SQRT(Table_03[[#This Row],[Depth h (in)]]/Table_03[[#This Row],[Web Thickness tw (in)]])))</f>
        <v>0.63725298787716622</v>
      </c>
      <c r="AZ106" s="165"/>
    </row>
    <row r="107" spans="1:55" s="216" customFormat="1" ht="14.4" thickBot="1" x14ac:dyDescent="0.35">
      <c r="A107" s="242" t="s">
        <v>200</v>
      </c>
      <c r="B107" s="243">
        <v>6.2</v>
      </c>
      <c r="C107" s="243">
        <v>6.02</v>
      </c>
      <c r="D107" s="243">
        <v>0.26</v>
      </c>
      <c r="E107" s="243">
        <v>0.36499999999999999</v>
      </c>
      <c r="F107" s="244">
        <v>5.9</v>
      </c>
      <c r="G107" s="245">
        <v>20</v>
      </c>
      <c r="H107" s="244">
        <v>41.4</v>
      </c>
      <c r="I107" s="244">
        <v>13.3</v>
      </c>
      <c r="J107" s="244">
        <f>Table_03[[#This Row],[Width w (in)]]*Table_03[[#This Row],[Flange Thickness tf (in)]]*(Table_03[[#This Row],[Depth h (in)]]-Table_03[[#This Row],[Flange Thickness tf (in)]])+0.25*Table_03[[#This Row],[Web Thickness tw (in)]]*(Table_03[[#This Row],[Depth h (in)]]-2*Table_03[[#This Row],[Flange Thickness tf (in)]])^2</f>
        <v>14.766103999999999</v>
      </c>
      <c r="K107" s="244">
        <f>(Table_03[[#This Row],[Width w (in)]]^2*Table_03[[#This Row],[Flange Thickness tf (in)]])/2+0.25*Table_03[[#This Row],[Web Thickness tw (in)]]^2*(Table_03[[#This Row],[Depth h (in)]]-2*Table_03[[#This Row],[Flange Thickness tf (in)]])</f>
        <v>6.7063159999999993</v>
      </c>
      <c r="L107" s="244">
        <v>13.4</v>
      </c>
      <c r="M107" s="244">
        <v>4.4000000000000004</v>
      </c>
      <c r="N107" s="246">
        <v>50</v>
      </c>
      <c r="O107" s="244">
        <f>SQRT(Table_03[[#This Row],[Static Parameters Moment of Inertia Ix (in4)]]/Table_03[[#This Row],[Sectional Area (in2)]])</f>
        <v>2.6489524632470043</v>
      </c>
      <c r="P107" s="244">
        <f>SQRT(Table_03[[#This Row],[Static Parameters Moment of Inertia Iy (in4)]]/Table_03[[#This Row],[Sectional Area (in2)]])</f>
        <v>1.5014117650183754</v>
      </c>
      <c r="Q107" s="244">
        <f>($B$6*$B$5*12)/Table_03[[#This Row],[ry (in)2]]</f>
        <v>119.58744708371361</v>
      </c>
      <c r="R107" s="244">
        <f>(PI()^2*$B$4)/(Table_03[[#This Row],[KL/ry]]^2)</f>
        <v>20.013661665609327</v>
      </c>
      <c r="S107" s="244">
        <f>IF(Table_03[[#This Row],[Strength (ksi)]]/Table_03[[#This Row],[Fe,y]]&lt;2.25,(0.658^(Table_03[[#This Row],[Strength (ksi)]]/Table_03[[#This Row],[Fe,y]])*Table_03[[#This Row],[Strength (ksi)]]),0.877*Table_03[[#This Row],[Fe,y]])</f>
        <v>17.55198128073938</v>
      </c>
      <c r="T107" s="244">
        <f>Table_03[[#This Row],[Fcr,y]]*Table_03[[#This Row],[Sectional Area (in2)]]</f>
        <v>103.55668955636234</v>
      </c>
      <c r="U107" s="244">
        <f>1.76*Table_03[[#This Row],[ry (in)2]]*SQRT($B$4/Table_03[[#This Row],[Strength (ksi)]])/12</f>
        <v>5.3032882525862037</v>
      </c>
      <c r="V107" s="244">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19.417880826136599</v>
      </c>
      <c r="W107" s="244">
        <f>Table_03[[#This Row],[Depth h (in)]]-Table_03[[#This Row],[Flange Thickness tf (in)]]</f>
        <v>5.835</v>
      </c>
      <c r="X107" s="244">
        <f>(Table_03[[#This Row],[Static Parameters Moment of Inertia Iy (in4)]]*Table_03[[#This Row],[ho]]^2)/4</f>
        <v>113.20702312499999</v>
      </c>
      <c r="Y107" s="244">
        <f>SQRT((SQRT(Table_03[[#This Row],[Static Parameters Moment of Inertia Iy (in4)]]*Table_03[[#This Row],[Cw*]])/Table_03[[#This Row],[Static Parameters Elastic Section Modulus Sx (in3)2]]))</f>
        <v>1.7016837579116453</v>
      </c>
      <c r="Z107" s="244">
        <f>(2*Table_03[[#This Row],[Width w (in)]]*Table_03[[#This Row],[Flange Thickness tf (in)]]^3/3)+((Table_03[[#This Row],[Depth h (in)]]-Table_03[[#This Row],[Flange Thickness tf (in)]]*2)*Table_03[[#This Row],[Web Thickness tw (in)]]^3)/3</f>
        <v>0.22720376833333333</v>
      </c>
      <c r="AA107" s="244">
        <f>Table_03[[#This Row],[Width w (in)]]*0.5/Table_03[[#This Row],[Flange Thickness tf (in)]]</f>
        <v>8.2465753424657535</v>
      </c>
      <c r="AB107" s="244">
        <f>0.38*SQRT($B$4/Table_03[[#This Row],[Strength (ksi)]])</f>
        <v>9.1516118798821449</v>
      </c>
      <c r="AC107" s="244">
        <f>1*SQRT($B$4/Table_03[[#This Row],[Strength (ksi)]])</f>
        <v>24.083189157584592</v>
      </c>
      <c r="AD107" s="244">
        <f>(PI()^2*$B$4/(12*$B$5/Table_03[[#This Row],[rts]])^2)*SQRT(1+0.078*(Table_03[[#This Row],[J*]]/(Table_03[[#This Row],[Static Parameters Elastic Section Modulus Sx (in3)2]]*Table_03[[#This Row],[ho]])*$B$4/(12*$B$5/Table_03[[#This Row],[rts]])^2))</f>
        <v>113.52404803112717</v>
      </c>
      <c r="AE107" s="244">
        <f>0.69*$B$4/Table_03[[#This Row],[b/t]]^2</f>
        <v>294.23872253065639</v>
      </c>
      <c r="AF107" s="247">
        <f>Table_03[[#This Row],[Strength (ksi)]]*Table_03[[#This Row],[Static Parameters Plastic Section Modulus Zx (in3)]]</f>
        <v>738.3051999999999</v>
      </c>
      <c r="AG107" s="244">
        <f>Table_03[[#This Row],[Mp (k-in)]]-(Table_03[[#This Row],[Mp (k-in)]]-0.7*Table_03[[#This Row],[Strength (ksi)]]*Table_03[[#This Row],[Static Parameters Elastic Section Modulus Sx (in3)2]])*((Table_03[[#This Row],[b/t]]-Table_03[[#This Row],[λpf]])/(Table_03[[#This Row],[λrf]]-Table_03[[#This Row],[λpf]]))</f>
        <v>754.6283948764177</v>
      </c>
      <c r="AH107" s="248">
        <f>0.9*$B$4*Table_03[[#This Row],[kc]]*Table_03[[#This Row],[Static Parameters Elastic Section Modulus Sx (in3)2]]/Table_03[[#This Row],[b/t]]^2</f>
        <v>3908.5136742420063</v>
      </c>
      <c r="AI107" s="249" t="str">
        <f>IF(Table_03[[#This Row],[b/t]]&lt;Table_03[[#This Row],[λpf]],"Compact",IF(AND(Table_03[[#This Row],[b/t]]&gt;Table_03[[#This Row],[λpf]],Table_03[[#This Row],[λrf]]&gt;Table_03[[#This Row],[b/t]]),"Non-Compact","Slender"))</f>
        <v>Compact</v>
      </c>
      <c r="AJ107" s="250">
        <f>IF(Table_03[[#This Row],[Controlling LBx]]="Compact",Table_03[[#This Row],[Mp (k-in)]],IF(Table_03[[#This Row],[Controlling LBx]]="Non-Compact",Table_03[[#This Row],[Mnlb,Non-Compact (k-in)]],IF(Table_03[[#This Row],[Controlling LBx]]="Slender",Table_03[[#This Row],[Mnlb,slender (k-in)]],"ERROR")))</f>
        <v>738.3051999999999</v>
      </c>
      <c r="AK107" s="247">
        <f>Table_03[[#This Row],[Mp (k-in)]]-(Table_03[[#This Row],[Mp (k-in)]]-0.7*Table_03[[#This Row],[Strength (ksi)]]*Table_03[[#This Row],[Static Parameters Elastic Section Modulus Sx (in3)2]])*(($B$5-Table_03[[#This Row],[Lp (ft)]])/(Table_03[[#This Row],[Lr]]-Table_03[[#This Row],[Lp (ft)]]))</f>
        <v>703.54709813321563</v>
      </c>
      <c r="AL107" s="248">
        <f>Table_03[[#This Row],[Fcrx]]*Table_03[[#This Row],[Static Parameters Elastic Section Modulus Sx (in3)2]]</f>
        <v>1521.2222436171041</v>
      </c>
      <c r="AM107" s="249" t="str">
        <f>IF($B$5&lt;Table_03[[#This Row],[Lp (ft)]],"Yielding Controls",IF(AND($B$5&gt;Table_03[[#This Row],[Lp (ft)]],Table_03[[#This Row],[Lr]]&gt;$B$5),"Mltb,p Controls","Mltb,r Controls"))</f>
        <v>Mltb,p Controls</v>
      </c>
      <c r="AN107" s="250">
        <f>IF(Table_03[[#This Row],[Controlling LTB]]="Yielding Controls",Table_03[[#This Row],[Mp (k-in)]],IF(Table_03[[#This Row],[Controlling LTB]]="Mltb,p Controls",Table_03[[#This Row],[Mnltbp (k-in)]],IF(Table_03[[#This Row],[Controlling LTB]]="Mltb,r Controls",Table_03[[#This Row],[Mnltbr (k-in)]],"ERROR")))</f>
        <v>703.54709813321563</v>
      </c>
      <c r="AO107" s="247">
        <f>MIN(Table_03[[#This Row],[Strength (ksi)]]*Table_03[[#This Row],[Static Parameters Plastic Section Modulus Zy (in3)]],1.6*Table_03[[#This Row],[Strength (ksi)]]*Table_03[[#This Row],[Static Parameters Elastic Section Modulus Sy (in3)3]])</f>
        <v>335.31579999999997</v>
      </c>
      <c r="AP107" s="244">
        <f>MIN(Table_03[[#This Row],[Mny (k-in)]],Table_03[[#This Row],[Mny (k-in)]]-(Table_03[[#This Row],[Mny (k-in)]]-0.7*Table_03[[#This Row],[Static Parameters Elastic Section Modulus Sy (in3)3]]*Table_03[[#This Row],[Strength (ksi)]])*((Table_03[[#This Row],[b/t]]-Table_03[[#This Row],[λpf]])/(Table_03[[#This Row],[λrf]]-Table_03[[#This Row],[λpf]])))</f>
        <v>335.31579999999997</v>
      </c>
      <c r="AQ107" s="248">
        <f>MIN(Table_03[[#This Row],[Mny (k-in)]],Table_03[[#This Row],[Fcry]]*Table_03[[#This Row],[Static Parameters Elastic Section Modulus Sy (in3)3]])</f>
        <v>335.31579999999997</v>
      </c>
      <c r="AR107" s="249" t="str">
        <f>IF(Table_03[[#This Row],[b/t]]&lt;Table_03[[#This Row],[λpf]],"Compact",IF(AND(Table_03[[#This Row],[b/t]]&gt;Table_03[[#This Row],[λpf]],Table_03[[#This Row],[λrf]]&gt;Table_03[[#This Row],[b/t]]),"Non-Compact","Slender"))</f>
        <v>Compact</v>
      </c>
      <c r="AS107" s="250">
        <f>IF(Table_03[[#This Row],[Controlling Lby]]="Compact",Table_03[[#This Row],[Mny (k-in)]],IF(Table_03[[#This Row],[Controlling Lby]]="Non-Compact",Table_03[[#This Row],[Mlby,Non-Compact (k-in)]],IF(Table_03[[#This Row],[Controlling Lby]]="Slender",Table_03[[#This Row],[Mlby,Slender (k-in)]],"ERROR")))</f>
        <v>335.31579999999997</v>
      </c>
      <c r="AT107" s="247">
        <f>MIN(Table_03[[#This Row],[LBx]],Table_03[[#This Row],[LTB]],Table_03[[#This Row],[Mp (k-in)]])</f>
        <v>703.54709813321563</v>
      </c>
      <c r="AU107" s="244">
        <f>Table_03[[#This Row],[Mp (k-in)]]</f>
        <v>738.3051999999999</v>
      </c>
      <c r="AV107" s="244">
        <f>MIN(Table_03[[#This Row],[LBy]],Table_03[[#This Row],[Mny (k-in)]])</f>
        <v>335.31579999999997</v>
      </c>
      <c r="AW107" s="251">
        <f>Table_03[[#This Row],[Mny (k-in)]]</f>
        <v>335.31579999999997</v>
      </c>
      <c r="AX107" s="252">
        <f>SQRT(((Table_03[[#This Row],[Sectional Area (in2)]]-(Table_03[[#This Row],[Flange Thickness tf (in)]]*Table_03[[#This Row],[Width w (in)]]*2+Table_03[[#This Row],[Web Thickness tw (in)]]*((Table_03[[#This Row],[Depth h (in)]]-2*Table_03[[#This Row],[Flange Thickness tf (in)]]))))/4)/(1-PI()/4))</f>
        <v>0.3113256835206033</v>
      </c>
      <c r="AY107" s="252">
        <f>IF(4/SQRT((Table_03[[#This Row],[Depth h (in)]]-Table_03[[#This Row],[Flange Thickness tf (in)]]*2)/Table_03[[#This Row],[Web Thickness tw (in)]])&lt;0.35,0.35,IF(4/SQRT(Table_03[[#This Row],[Depth h (in)]]/Table_03[[#This Row],[Web Thickness tw (in)]])&gt;0.76,0.76,4/SQRT(Table_03[[#This Row],[Depth h (in)]]/Table_03[[#This Row],[Web Thickness tw (in)]])))</f>
        <v>0.76</v>
      </c>
      <c r="AZ107" s="252"/>
    </row>
    <row r="108" spans="1:55" s="262" customFormat="1" ht="14.4" thickBot="1" x14ac:dyDescent="0.35">
      <c r="A108" s="253" t="s">
        <v>201</v>
      </c>
      <c r="B108" s="254">
        <f>B107-$B$1*2</f>
        <v>6.2</v>
      </c>
      <c r="C108" s="254">
        <f>C107-$B$1*2</f>
        <v>6.02</v>
      </c>
      <c r="D108" s="254">
        <f>D107-$B$1*2</f>
        <v>0.26</v>
      </c>
      <c r="E108" s="254">
        <f>E107-$B$1*2</f>
        <v>0.36499999999999999</v>
      </c>
      <c r="F108" s="181">
        <f>4*(Table_03[[#This Row],[Fillet Radius]]^2*(1-PI()/4))+2*Table_03[[#This Row],[Width w (in)]]*Table_03[[#This Row],[Flange Thickness tf (in)]]+Table_03[[#This Row],[Web Thickness tw (in)]]*(Table_03[[#This Row],[Depth h (in)]]-2*Table_03[[#This Row],[Flange Thickness tf (in)]])</f>
        <v>5.9</v>
      </c>
      <c r="G108" s="254"/>
      <c r="H108" s="203">
        <f>2*(1/12*C108*E108^3+C108*E108*((B108/2-E108/2)^2))+
1/12*D108*(B108-2*E108)^3+
4*(1/12*AX108^4+
AX108^2*((AX108/(6-3*PI()/2))-AX108/2)^2-
(PI()*AX108^4/16+PI()*AX108^2/4*((AX108/(6-3*PI()/2))-4*AX108/(3*PI()))^2)+
(AX108^2-PI()*AX108^2/4)*((B108/2-E108-(AX108-AX108/(6-3*PI()/2)))^2))</f>
        <v>41.586974834081829</v>
      </c>
      <c r="I108" s="180">
        <f>2*((1/12)*E108*C108^3)+(1/12)*(B108-2*E108)*D108^3+4*((AX108^2-PI()*AX108^2/4)*(D108/2+(AX108-(AX108/(6-3*PI()/2))))^2)</f>
        <v>13.283162927991189</v>
      </c>
      <c r="J108" s="181">
        <f>F108*((B108/2)-((C108*E108*(E108/2))+(D108*(B108/2-E108)*(E108+(B108/2-E108)/2))+(2*(AX108^2-PI()*AX108^2/4)*(E108+(AX108-AX108/(6-3*PI()/2)))))/(F108/2))</f>
        <v>14.987870257334432</v>
      </c>
      <c r="K108" s="255">
        <f>(Table_03[[#This Row],[Width w (in)]]^2*Table_03[[#This Row],[Flange Thickness tf (in)]])/2+0.25*Table_03[[#This Row],[Web Thickness tw (in)]]^2*(Table_03[[#This Row],[Depth h (in)]]-2*Table_03[[#This Row],[Flange Thickness tf (in)]])</f>
        <v>6.7063159999999993</v>
      </c>
      <c r="L108" s="255">
        <f>Table_03[[#This Row],[Static Parameters Moment of Inertia Ix (in4)]]/(Table_03[[#This Row],[Depth h (in)]]/2)</f>
        <v>13.415153172284461</v>
      </c>
      <c r="M108" s="255">
        <f>Table_03[[#This Row],[Static Parameters Moment of Inertia Iy (in4)]]/(Table_03[[#This Row],[Width w (in)]]/2)</f>
        <v>4.413010939531957</v>
      </c>
      <c r="N108" s="256">
        <v>50</v>
      </c>
      <c r="O108" s="255">
        <f>SQRT(Table_03[[#This Row],[Static Parameters Moment of Inertia Ix (in4)]]/Table_03[[#This Row],[Sectional Area (in2)]])</f>
        <v>2.654927457085551</v>
      </c>
      <c r="P108" s="255">
        <f>SQRT(Table_03[[#This Row],[Static Parameters Moment of Inertia Iy (in4)]]/Table_03[[#This Row],[Sectional Area (in2)]])</f>
        <v>1.5004611114977791</v>
      </c>
      <c r="Q108" s="255">
        <f>($B$6*$B$5*12)/Table_03[[#This Row],[ry (in)2]]</f>
        <v>119.66321461058791</v>
      </c>
      <c r="R108" s="255">
        <f>(PI()^2*$B$4)/(Table_03[[#This Row],[KL/ry]]^2)</f>
        <v>19.988325465412043</v>
      </c>
      <c r="S108" s="255">
        <f>IF(Table_03[[#This Row],[Strength (ksi)]]/Table_03[[#This Row],[Fe,y]]&lt;2.25,(0.658^(Table_03[[#This Row],[Strength (ksi)]]/Table_03[[#This Row],[Fe,y]])*Table_03[[#This Row],[Strength (ksi)]]),0.877*Table_03[[#This Row],[Fe,y]])</f>
        <v>17.52976143316636</v>
      </c>
      <c r="T108" s="255">
        <f>Table_03[[#This Row],[Fcr,y]]*Table_03[[#This Row],[Sectional Area (in2)]]</f>
        <v>103.42559245568154</v>
      </c>
      <c r="U108" s="255">
        <f>1.76*Table_03[[#This Row],[ry (in)2]]*SQRT($B$4/Table_03[[#This Row],[Strength (ksi)]])/12</f>
        <v>5.2999303531974276</v>
      </c>
      <c r="V108" s="255">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19.387180017403576</v>
      </c>
      <c r="W108" s="255">
        <f>Table_03[[#This Row],[Depth h (in)]]-Table_03[[#This Row],[Flange Thickness tf (in)]]</f>
        <v>5.835</v>
      </c>
      <c r="X108" s="255">
        <f>(Table_03[[#This Row],[Static Parameters Moment of Inertia Iy (in4)]]*Table_03[[#This Row],[ho]]^2)/4</f>
        <v>113.06370923024369</v>
      </c>
      <c r="Y108" s="255">
        <f>SQRT((SQRT(Table_03[[#This Row],[Static Parameters Moment of Inertia Iy (in4)]]*Table_03[[#This Row],[Cw*]])/Table_03[[#This Row],[Static Parameters Elastic Section Modulus Sx (in3)2]]))</f>
        <v>1.6996455608031331</v>
      </c>
      <c r="Z108" s="255">
        <f>(2*Table_03[[#This Row],[Width w (in)]]*Table_03[[#This Row],[Flange Thickness tf (in)]]^3/3)+((Table_03[[#This Row],[Depth h (in)]]-Table_03[[#This Row],[Flange Thickness tf (in)]]*2)*Table_03[[#This Row],[Web Thickness tw (in)]]^3)/3</f>
        <v>0.22720376833333333</v>
      </c>
      <c r="AA108" s="255">
        <f>Table_03[[#This Row],[Width w (in)]]*0.5/Table_03[[#This Row],[Flange Thickness tf (in)]]</f>
        <v>8.2465753424657535</v>
      </c>
      <c r="AB108" s="255">
        <f>0.38*SQRT($B$4/Table_03[[#This Row],[Strength (ksi)]])</f>
        <v>9.1516118798821449</v>
      </c>
      <c r="AC108" s="255">
        <f>1*SQRT($B$4/Table_03[[#This Row],[Strength (ksi)]])</f>
        <v>24.083189157584592</v>
      </c>
      <c r="AD108" s="255">
        <f>(PI()^2*$B$4/(12*$B$5/Table_03[[#This Row],[rts]])^2)*SQRT(1+0.078*(Table_03[[#This Row],[J*]]/(Table_03[[#This Row],[Static Parameters Elastic Section Modulus Sx (in3)2]]*Table_03[[#This Row],[ho]])*$B$4/(12*$B$5/Table_03[[#This Row],[rts]])^2))</f>
        <v>113.25174555269304</v>
      </c>
      <c r="AE108" s="255">
        <f>0.69*$B$4/Table_03[[#This Row],[b/t]]^2</f>
        <v>294.23872253065639</v>
      </c>
      <c r="AF108" s="257">
        <f>Table_03[[#This Row],[Strength (ksi)]]*Table_03[[#This Row],[Static Parameters Plastic Section Modulus Zx (in3)]]</f>
        <v>749.39351286672161</v>
      </c>
      <c r="AG108" s="255">
        <f>Table_03[[#This Row],[Mp (k-in)]]-(Table_03[[#This Row],[Mp (k-in)]]-0.7*Table_03[[#This Row],[Strength (ksi)]]*Table_03[[#This Row],[Static Parameters Elastic Section Modulus Sx (in3)2]])*((Table_03[[#This Row],[b/t]]-Table_03[[#This Row],[λpf]])/(Table_03[[#This Row],[λrf]]-Table_03[[#This Row],[λpf]]))</f>
        <v>766.35664898945527</v>
      </c>
      <c r="AH108" s="258">
        <f>0.9*$B$4*Table_03[[#This Row],[kc]]*Table_03[[#This Row],[Static Parameters Elastic Section Modulus Sx (in3)2]]/Table_03[[#This Row],[b/t]]^2</f>
        <v>3912.9335534272268</v>
      </c>
      <c r="AI108" s="259" t="str">
        <f>IF(Table_03[[#This Row],[b/t]]&lt;Table_03[[#This Row],[λpf]],"Compact",IF(AND(Table_03[[#This Row],[b/t]]&gt;Table_03[[#This Row],[λpf]],Table_03[[#This Row],[λrf]]&gt;Table_03[[#This Row],[b/t]]),"Non-Compact","Slender"))</f>
        <v>Compact</v>
      </c>
      <c r="AJ108" s="260">
        <f>IF(Table_03[[#This Row],[Controlling LBx]]="Compact",Table_03[[#This Row],[Mp (k-in)]],IF(Table_03[[#This Row],[Controlling LBx]]="Non-Compact",Table_03[[#This Row],[Mnlb,Non-Compact (k-in)]],IF(Table_03[[#This Row],[Controlling LBx]]="Slender",Table_03[[#This Row],[Mnlb,slender (k-in)]],"ERROR")))</f>
        <v>749.39351286672161</v>
      </c>
      <c r="AK108" s="257">
        <f>Table_03[[#This Row],[Mp (k-in)]]-(Table_03[[#This Row],[Mp (k-in)]]-0.7*Table_03[[#This Row],[Strength (ksi)]]*Table_03[[#This Row],[Static Parameters Elastic Section Modulus Sx (in3)2]])*(($B$5-Table_03[[#This Row],[Lp (ft)]])/(Table_03[[#This Row],[Lr]]-Table_03[[#This Row],[Lp (ft)]]))</f>
        <v>713.13592136725526</v>
      </c>
      <c r="AL108" s="258">
        <f>Table_03[[#This Row],[Fcrx]]*Table_03[[#This Row],[Static Parameters Elastic Section Modulus Sx (in3)2]]</f>
        <v>1519.2895136179625</v>
      </c>
      <c r="AM108" s="259" t="str">
        <f>IF($B$5&lt;Table_03[[#This Row],[Lp (ft)]],"Yielding Controls",IF(AND($B$5&gt;Table_03[[#This Row],[Lp (ft)]],Table_03[[#This Row],[Lr]]&gt;$B$5),"Mltb,p Controls","Mltb,r Controls"))</f>
        <v>Mltb,p Controls</v>
      </c>
      <c r="AN108" s="260">
        <f>IF(Table_03[[#This Row],[Controlling LTB]]="Yielding Controls",Table_03[[#This Row],[Mp (k-in)]],IF(Table_03[[#This Row],[Controlling LTB]]="Mltb,p Controls",Table_03[[#This Row],[Mnltbp (k-in)]],IF(Table_03[[#This Row],[Controlling LTB]]="Mltb,r Controls",Table_03[[#This Row],[Mnltbr (k-in)]],"ERROR")))</f>
        <v>713.13592136725526</v>
      </c>
      <c r="AO108" s="257">
        <f>MIN(Table_03[[#This Row],[Strength (ksi)]]*Table_03[[#This Row],[Static Parameters Plastic Section Modulus Zy (in3)]],1.6*Table_03[[#This Row],[Strength (ksi)]]*Table_03[[#This Row],[Static Parameters Elastic Section Modulus Sy (in3)3]])</f>
        <v>335.31579999999997</v>
      </c>
      <c r="AP108" s="255">
        <f>MIN(Table_03[[#This Row],[Mny (k-in)]],Table_03[[#This Row],[Mny (k-in)]]-(Table_03[[#This Row],[Mny (k-in)]]-0.7*Table_03[[#This Row],[Static Parameters Elastic Section Modulus Sy (in3)3]]*Table_03[[#This Row],[Strength (ksi)]])*((Table_03[[#This Row],[b/t]]-Table_03[[#This Row],[λpf]])/(Table_03[[#This Row],[λrf]]-Table_03[[#This Row],[λpf]])))</f>
        <v>335.31579999999997</v>
      </c>
      <c r="AQ108" s="258">
        <f>MIN(Table_03[[#This Row],[Mny (k-in)]],Table_03[[#This Row],[Fcry]]*Table_03[[#This Row],[Static Parameters Elastic Section Modulus Sy (in3)3]])</f>
        <v>335.31579999999997</v>
      </c>
      <c r="AR108" s="259" t="str">
        <f>IF(Table_03[[#This Row],[b/t]]&lt;Table_03[[#This Row],[λpf]],"Compact",IF(AND(Table_03[[#This Row],[b/t]]&gt;Table_03[[#This Row],[λpf]],Table_03[[#This Row],[λrf]]&gt;Table_03[[#This Row],[b/t]]),"Non-Compact","Slender"))</f>
        <v>Compact</v>
      </c>
      <c r="AS108" s="260">
        <f>IF(Table_03[[#This Row],[Controlling Lby]]="Compact",Table_03[[#This Row],[Mny (k-in)]],IF(Table_03[[#This Row],[Controlling Lby]]="Non-Compact",Table_03[[#This Row],[Mlby,Non-Compact (k-in)]],IF(Table_03[[#This Row],[Controlling Lby]]="Slender",Table_03[[#This Row],[Mlby,Slender (k-in)]],"ERROR")))</f>
        <v>335.31579999999997</v>
      </c>
      <c r="AT108" s="257">
        <f>MIN(Table_03[[#This Row],[LBx]],Table_03[[#This Row],[LTB]],Table_03[[#This Row],[Mp (k-in)]])</f>
        <v>713.13592136725526</v>
      </c>
      <c r="AU108" s="255">
        <f>Table_03[[#This Row],[Mp (k-in)]]</f>
        <v>749.39351286672161</v>
      </c>
      <c r="AV108" s="255">
        <f>MIN(Table_03[[#This Row],[LBy]],Table_03[[#This Row],[Mny (k-in)]])</f>
        <v>335.31579999999997</v>
      </c>
      <c r="AW108" s="261">
        <f>Table_03[[#This Row],[Mny (k-in)]]</f>
        <v>335.31579999999997</v>
      </c>
      <c r="AX108" s="165">
        <f>AX107+$B$1</f>
        <v>0.3113256835206033</v>
      </c>
      <c r="AY108"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08" s="165"/>
    </row>
    <row r="109" spans="1:55" ht="14.4" thickBot="1" x14ac:dyDescent="0.35">
      <c r="A109" s="188" t="s">
        <v>202</v>
      </c>
      <c r="B109" s="189">
        <f>B107-$B$3*2</f>
        <v>6.12</v>
      </c>
      <c r="C109" s="189">
        <f>C107-$B$3*2</f>
        <v>5.9399999999999995</v>
      </c>
      <c r="D109" s="189">
        <f>D107-$B$3*2</f>
        <v>0.18</v>
      </c>
      <c r="E109" s="189">
        <f>E107-$B$3*2</f>
        <v>0.28499999999999998</v>
      </c>
      <c r="F109" s="190">
        <f>4*(Table_03[[#This Row],[Fillet Radius]]^2*(1-PI()/4))+2*Table_03[[#This Row],[Width w (in)]]*Table_03[[#This Row],[Flange Thickness tf (in)]]+Table_03[[#This Row],[Web Thickness tw (in)]]*(Table_03[[#This Row],[Depth h (in)]]-2*Table_03[[#This Row],[Flange Thickness tf (in)]])</f>
        <v>4.4907529920630775</v>
      </c>
      <c r="G109" s="189"/>
      <c r="H109" s="203">
        <f>2*(1/12*C109*E109^3+C109*E109*((B109/2-E109/2)^2))+
1/12*D109*(B109-2*E109)^3+
4*(1/12*AX109^4+
AX109^2*((AX109/(6-3*PI()/2))-AX109/2)^2-
(PI()*AX109^4/16+PI()*AX109^2/4*((AX109/(6-3*PI()/2))-4*AX109/(3*PI()))^2)+
(AX109^2-PI()*AX109^2/4)*((B109/2-E109-(AX109-AX109/(6-3*PI()/2)))^2))</f>
        <v>32.168748411008167</v>
      </c>
      <c r="I109" s="180">
        <f>2*((1/12)*E109*C109^3)+(1/12)*(B109-2*E109)*D109^3+4*((AX109^2-PI()*AX109^2/4)*(D109/2+(AX109-(AX109/(6-3*PI()/2))))^2)</f>
        <v>9.9609723874606839</v>
      </c>
      <c r="J109" s="181">
        <f>F109*((B109/2)-((C109*E109*(E109/2))+(D109*(B109/2-E109)*(E109+(B109/2-E109)/2))+(2*(AX109^2-PI()*AX109^2/4)*(E109+(AX109-AX109/(6-3*PI()/2)))))/(F109/2))</f>
        <v>11.549888903172269</v>
      </c>
      <c r="K109" s="190">
        <f>(Table_03[[#This Row],[Width w (in)]]^2*Table_03[[#This Row],[Flange Thickness tf (in)]])/2+0.25*Table_03[[#This Row],[Web Thickness tw (in)]]^2*(Table_03[[#This Row],[Depth h (in)]]-2*Table_03[[#This Row],[Flange Thickness tf (in)]])</f>
        <v>5.0728679999999988</v>
      </c>
      <c r="L109" s="190">
        <f>Table_03[[#This Row],[Static Parameters Moment of Inertia Ix (in4)]]/(Table_03[[#This Row],[Depth h (in)]]/2)</f>
        <v>10.512662879414433</v>
      </c>
      <c r="M109" s="190">
        <f>Table_03[[#This Row],[Static Parameters Moment of Inertia Iy (in4)]]/(Table_03[[#This Row],[Width w (in)]]/2)</f>
        <v>3.3538627567207691</v>
      </c>
      <c r="N109" s="191">
        <v>50</v>
      </c>
      <c r="O109" s="169">
        <f>SQRT(Table_03[[#This Row],[Static Parameters Moment of Inertia Ix (in4)]]/Table_03[[#This Row],[Sectional Area (in2)]])</f>
        <v>2.6764399150985829</v>
      </c>
      <c r="P109" s="190">
        <f>SQRT(Table_03[[#This Row],[Static Parameters Moment of Inertia Iy (in4)]]/Table_03[[#This Row],[Sectional Area (in2)]])</f>
        <v>1.4893311880078937</v>
      </c>
      <c r="Q109" s="190">
        <f>($B$6*$B$5*12)/Table_03[[#This Row],[ry (in)2]]</f>
        <v>120.55746998769516</v>
      </c>
      <c r="R109" s="190">
        <f>(PI()^2*$B$4)/(Table_03[[#This Row],[KL/ry]]^2)</f>
        <v>19.692891705109819</v>
      </c>
      <c r="S109" s="190">
        <f>IF(Table_03[[#This Row],[Strength (ksi)]]/Table_03[[#This Row],[Fe,y]]&lt;2.25,(0.658^(Table_03[[#This Row],[Strength (ksi)]]/Table_03[[#This Row],[Fe,y]])*Table_03[[#This Row],[Strength (ksi)]]),0.877*Table_03[[#This Row],[Fe,y]])</f>
        <v>17.27066602538131</v>
      </c>
      <c r="T109" s="190">
        <f>Table_03[[#This Row],[Fcr,y]]*Table_03[[#This Row],[Sectional Area (in2)]]</f>
        <v>77.558295128403259</v>
      </c>
      <c r="U109" s="190">
        <f>1.76*Table_03[[#This Row],[ry (in)2]]*SQRT($B$4/Table_03[[#This Row],[Strength (ksi)]])/12</f>
        <v>5.2606172254656949</v>
      </c>
      <c r="V10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16.181964300960846</v>
      </c>
      <c r="W109" s="190">
        <f>Table_03[[#This Row],[Depth h (in)]]-Table_03[[#This Row],[Flange Thickness tf (in)]]</f>
        <v>5.835</v>
      </c>
      <c r="X109" s="190">
        <f>(Table_03[[#This Row],[Static Parameters Moment of Inertia Iy (in4)]]*Table_03[[#This Row],[ho]]^2)/4</f>
        <v>84.785867023665261</v>
      </c>
      <c r="Y109" s="190">
        <f>SQRT((SQRT(Table_03[[#This Row],[Static Parameters Moment of Inertia Iy (in4)]]*Table_03[[#This Row],[Cw*]])/Table_03[[#This Row],[Static Parameters Elastic Section Modulus Sx (in3)2]]))</f>
        <v>1.6626465351492885</v>
      </c>
      <c r="Z109" s="190">
        <f>(2*Table_03[[#This Row],[Width w (in)]]*Table_03[[#This Row],[Flange Thickness tf (in)]]^3/3)+((Table_03[[#This Row],[Depth h (in)]]-Table_03[[#This Row],[Flange Thickness tf (in)]]*2)*Table_03[[#This Row],[Web Thickness tw (in)]]^3)/3</f>
        <v>0.10245973499999998</v>
      </c>
      <c r="AA109" s="190">
        <f>Table_03[[#This Row],[Width w (in)]]*0.5/Table_03[[#This Row],[Flange Thickness tf (in)]]</f>
        <v>10.421052631578947</v>
      </c>
      <c r="AB109" s="190">
        <f>0.38*SQRT($B$4/Table_03[[#This Row],[Strength (ksi)]])</f>
        <v>9.1516118798821449</v>
      </c>
      <c r="AC109" s="190">
        <f>1*SQRT($B$4/Table_03[[#This Row],[Strength (ksi)]])</f>
        <v>24.083189157584592</v>
      </c>
      <c r="AD109" s="190">
        <f>(PI()^2*$B$4/(12*$B$5/Table_03[[#This Row],[rts]])^2)*SQRT(1+0.078*(Table_03[[#This Row],[J*]]/(Table_03[[#This Row],[Static Parameters Elastic Section Modulus Sx (in3)2]]*Table_03[[#This Row],[ho]])*$B$4/(12*$B$5/Table_03[[#This Row],[rts]])^2))</f>
        <v>108.31170873912185</v>
      </c>
      <c r="AE109" s="190">
        <f>0.69*$B$4/Table_03[[#This Row],[b/t]]^2</f>
        <v>184.25696357514539</v>
      </c>
      <c r="AF109" s="192">
        <f>Table_03[[#This Row],[Strength (ksi)]]*Table_03[[#This Row],[Static Parameters Plastic Section Modulus Zx (in3)]]</f>
        <v>577.49444515861342</v>
      </c>
      <c r="AG109" s="190">
        <f>Table_03[[#This Row],[Mp (k-in)]]-(Table_03[[#This Row],[Mp (k-in)]]-0.7*Table_03[[#This Row],[Strength (ksi)]]*Table_03[[#This Row],[Static Parameters Elastic Section Modulus Sx (in3)2]])*((Table_03[[#This Row],[b/t]]-Table_03[[#This Row],[λpf]])/(Table_03[[#This Row],[λrf]]-Table_03[[#This Row],[λpf]]))</f>
        <v>559.6789870702803</v>
      </c>
      <c r="AH109" s="193">
        <f>0.9*$B$4*Table_03[[#This Row],[kc]]*Table_03[[#This Row],[Static Parameters Elastic Section Modulus Sx (in3)2]]/Table_03[[#This Row],[b/t]]^2</f>
        <v>1733.2076577447626</v>
      </c>
      <c r="AI109" s="194" t="str">
        <f>IF(Table_03[[#This Row],[b/t]]&lt;Table_03[[#This Row],[λpf]],"Compact",IF(AND(Table_03[[#This Row],[b/t]]&gt;Table_03[[#This Row],[λpf]],Table_03[[#This Row],[λrf]]&gt;Table_03[[#This Row],[b/t]]),"Non-Compact","Slender"))</f>
        <v>Non-Compact</v>
      </c>
      <c r="AJ109" s="195">
        <f>IF(Table_03[[#This Row],[Controlling LBx]]="Compact",Table_03[[#This Row],[Mp (k-in)]],IF(Table_03[[#This Row],[Controlling LBx]]="Non-Compact",Table_03[[#This Row],[Mnlb,Non-Compact (k-in)]],IF(Table_03[[#This Row],[Controlling LBx]]="Slender",Table_03[[#This Row],[Mnlb,slender (k-in)]],"ERROR")))</f>
        <v>559.6789870702803</v>
      </c>
      <c r="AK109" s="192">
        <f>Table_03[[#This Row],[Mp (k-in)]]-(Table_03[[#This Row],[Mp (k-in)]]-0.7*Table_03[[#This Row],[Strength (ksi)]]*Table_03[[#This Row],[Static Parameters Elastic Section Modulus Sx (in3)2]])*(($B$5-Table_03[[#This Row],[Lp (ft)]])/(Table_03[[#This Row],[Lr]]-Table_03[[#This Row],[Lp (ft)]]))</f>
        <v>541.72195961246337</v>
      </c>
      <c r="AL109" s="196">
        <f>Table_03[[#This Row],[Fcrx]]*Table_03[[#This Row],[Static Parameters Elastic Section Modulus Sx (in3)2]]</f>
        <v>1138.6444798677142</v>
      </c>
      <c r="AM109" s="197" t="str">
        <f>IF($B$5&lt;Table_03[[#This Row],[Lp (ft)]],"Yielding Controls",IF(AND($B$5&gt;Table_03[[#This Row],[Lp (ft)]],Table_03[[#This Row],[Lr]]&gt;$B$5),"Mltb,p Controls","Mltb,r Controls"))</f>
        <v>Mltb,p Controls</v>
      </c>
      <c r="AN109" s="198">
        <f>IF(Table_03[[#This Row],[Controlling LTB]]="Yielding Controls",Table_03[[#This Row],[Mp (k-in)]],IF(Table_03[[#This Row],[Controlling LTB]]="Mltb,p Controls",Table_03[[#This Row],[Mnltbp (k-in)]],IF(Table_03[[#This Row],[Controlling LTB]]="Mltb,r Controls",Table_03[[#This Row],[Mnltbr (k-in)]],"ERROR")))</f>
        <v>541.72195961246337</v>
      </c>
      <c r="AO109" s="199">
        <f>MIN(Table_03[[#This Row],[Strength (ksi)]]*Table_03[[#This Row],[Static Parameters Plastic Section Modulus Zy (in3)]],1.6*Table_03[[#This Row],[Strength (ksi)]]*Table_03[[#This Row],[Static Parameters Elastic Section Modulus Sy (in3)3]])</f>
        <v>253.64339999999993</v>
      </c>
      <c r="AP109" s="169">
        <f>MIN(Table_03[[#This Row],[Mny (k-in)]],Table_03[[#This Row],[Mny (k-in)]]-(Table_03[[#This Row],[Mny (k-in)]]-0.7*Table_03[[#This Row],[Static Parameters Elastic Section Modulus Sy (in3)3]]*Table_03[[#This Row],[Strength (ksi)]])*((Table_03[[#This Row],[b/t]]-Table_03[[#This Row],[λpf]])/(Table_03[[#This Row],[λrf]]-Table_03[[#This Row],[λpf]])))</f>
        <v>242.05911033805305</v>
      </c>
      <c r="AQ109" s="196">
        <f>MIN(Table_03[[#This Row],[Mny (k-in)]],Table_03[[#This Row],[Fcry]]*Table_03[[#This Row],[Static Parameters Elastic Section Modulus Sy (in3)3]])</f>
        <v>253.64339999999993</v>
      </c>
      <c r="AR109" s="197" t="str">
        <f>IF(Table_03[[#This Row],[b/t]]&lt;Table_03[[#This Row],[λpf]],"Compact",IF(AND(Table_03[[#This Row],[b/t]]&gt;Table_03[[#This Row],[λpf]],Table_03[[#This Row],[λrf]]&gt;Table_03[[#This Row],[b/t]]),"Non-Compact","Slender"))</f>
        <v>Non-Compact</v>
      </c>
      <c r="AS109" s="198">
        <f>IF(Table_03[[#This Row],[Controlling Lby]]="Compact",Table_03[[#This Row],[Mny (k-in)]],IF(Table_03[[#This Row],[Controlling Lby]]="Non-Compact",Table_03[[#This Row],[Mlby,Non-Compact (k-in)]],IF(Table_03[[#This Row],[Controlling Lby]]="Slender",Table_03[[#This Row],[Mlby,Slender (k-in)]],"ERROR")))</f>
        <v>242.05911033805305</v>
      </c>
      <c r="AT109" s="199">
        <f>MIN(Table_03[[#This Row],[LBx]],Table_03[[#This Row],[LTB]],Table_03[[#This Row],[Mp (k-in)]])</f>
        <v>541.72195961246337</v>
      </c>
      <c r="AU109" s="169">
        <f>Table_03[[#This Row],[Mp (k-in)]]</f>
        <v>577.49444515861342</v>
      </c>
      <c r="AV109" s="169">
        <f>MIN(Table_03[[#This Row],[LBy]],Table_03[[#This Row],[Mny (k-in)]])</f>
        <v>242.05911033805305</v>
      </c>
      <c r="AW109" s="200">
        <f>Table_03[[#This Row],[Mny (k-in)]]</f>
        <v>253.64339999999993</v>
      </c>
      <c r="AX109" s="165">
        <f>AX107+$B$3</f>
        <v>0.35132568352060328</v>
      </c>
      <c r="AY109" s="165">
        <f>IF(4/SQRT((Table_03[[#This Row],[Depth h (in)]]-Table_03[[#This Row],[Flange Thickness tf (in)]]*2)/Table_03[[#This Row],[Web Thickness tw (in)]])&lt;0.35,0.35,IF(4/SQRT(Table_03[[#This Row],[Depth h (in)]]/Table_03[[#This Row],[Web Thickness tw (in)]])&gt;0.76,0.76,4/SQRT(Table_03[[#This Row],[Depth h (in)]]/Table_03[[#This Row],[Web Thickness tw (in)]])))</f>
        <v>0.68599434057003528</v>
      </c>
      <c r="AZ109" s="165"/>
    </row>
    <row r="110" spans="1:55" ht="14.4" thickBot="1" x14ac:dyDescent="0.35">
      <c r="A110" s="239" t="s">
        <v>203</v>
      </c>
      <c r="B110" s="240">
        <v>6.28</v>
      </c>
      <c r="C110" s="240">
        <v>4.03</v>
      </c>
      <c r="D110" s="240">
        <v>0.26</v>
      </c>
      <c r="E110" s="240">
        <v>0.40500000000000003</v>
      </c>
      <c r="F110" s="206">
        <v>4.7</v>
      </c>
      <c r="G110" s="241">
        <v>16</v>
      </c>
      <c r="H110" s="206">
        <v>32.1</v>
      </c>
      <c r="I110" s="206">
        <v>4.4000000000000004</v>
      </c>
      <c r="J110" s="206">
        <f>Table_03[[#This Row],[Width w (in)]]*Table_03[[#This Row],[Flange Thickness tf (in)]]*(Table_03[[#This Row],[Depth h (in)]]-Table_03[[#This Row],[Flange Thickness tf (in)]])+0.25*Table_03[[#This Row],[Web Thickness tw (in)]]*(Table_03[[#This Row],[Depth h (in)]]-2*Table_03[[#This Row],[Flange Thickness tf (in)]])^2</f>
        <v>11.533739750000002</v>
      </c>
      <c r="K110" s="206">
        <f>(Table_03[[#This Row],[Width w (in)]]^2*Table_03[[#This Row],[Flange Thickness tf (in)]])/2+0.25*Table_03[[#This Row],[Web Thickness tw (in)]]^2*(Table_03[[#This Row],[Depth h (in)]]-2*Table_03[[#This Row],[Flange Thickness tf (in)]])</f>
        <v>3.3812252500000008</v>
      </c>
      <c r="L110" s="206">
        <v>10.199999999999999</v>
      </c>
      <c r="M110" s="206">
        <v>2.2000000000000002</v>
      </c>
      <c r="N110" s="205">
        <v>50</v>
      </c>
      <c r="O110" s="206">
        <f>SQRT(Table_03[[#This Row],[Static Parameters Moment of Inertia Ix (in4)]]/Table_03[[#This Row],[Sectional Area (in2)]])</f>
        <v>2.6133861624418526</v>
      </c>
      <c r="P110" s="206">
        <f>SQRT(Table_03[[#This Row],[Static Parameters Moment of Inertia Iy (in4)]]/Table_03[[#This Row],[Sectional Area (in2)]])</f>
        <v>0.96755889369379344</v>
      </c>
      <c r="Q110" s="206">
        <f>($B$6*$B$5*12)/Table_03[[#This Row],[ry (in)2]]</f>
        <v>185.57009931926976</v>
      </c>
      <c r="R110" s="206">
        <f>(PI()^2*$B$4)/(Table_03[[#This Row],[KL/ry]]^2)</f>
        <v>8.3115446622815252</v>
      </c>
      <c r="S110" s="206">
        <f>IF(Table_03[[#This Row],[Strength (ksi)]]/Table_03[[#This Row],[Fe,y]]&lt;2.25,(0.658^(Table_03[[#This Row],[Strength (ksi)]]/Table_03[[#This Row],[Fe,y]])*Table_03[[#This Row],[Strength (ksi)]]),0.877*Table_03[[#This Row],[Fe,y]])</f>
        <v>7.2892246688208973</v>
      </c>
      <c r="T110" s="206">
        <f>Table_03[[#This Row],[Fcr,y]]*Table_03[[#This Row],[Sectional Area (in2)]]</f>
        <v>34.259355943458218</v>
      </c>
      <c r="U110" s="206">
        <f>1.76*Table_03[[#This Row],[ry (in)2]]*SQRT($B$4/Table_03[[#This Row],[Strength (ksi)]])/12</f>
        <v>3.4176125658298666</v>
      </c>
      <c r="V110" s="206">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13.744488225152159</v>
      </c>
      <c r="W110" s="206">
        <f>Table_03[[#This Row],[Depth h (in)]]-Table_03[[#This Row],[Flange Thickness tf (in)]]</f>
        <v>5.875</v>
      </c>
      <c r="X110" s="206">
        <f>(Table_03[[#This Row],[Static Parameters Moment of Inertia Iy (in4)]]*Table_03[[#This Row],[ho]]^2)/4</f>
        <v>37.967187500000001</v>
      </c>
      <c r="Y110" s="206">
        <f>SQRT((SQRT(Table_03[[#This Row],[Static Parameters Moment of Inertia Iy (in4)]]*Table_03[[#This Row],[Cw*]])/Table_03[[#This Row],[Static Parameters Elastic Section Modulus Sx (in3)2]]))</f>
        <v>1.1256806219994631</v>
      </c>
      <c r="Z110" s="206">
        <f>(2*Table_03[[#This Row],[Width w (in)]]*Table_03[[#This Row],[Flange Thickness tf (in)]]^3/3)+((Table_03[[#This Row],[Depth h (in)]]-Table_03[[#This Row],[Flange Thickness tf (in)]]*2)*Table_03[[#This Row],[Web Thickness tw (in)]]^3)/3</f>
        <v>0.21052250916666673</v>
      </c>
      <c r="AA110" s="206">
        <f>Table_03[[#This Row],[Width w (in)]]*0.5/Table_03[[#This Row],[Flange Thickness tf (in)]]</f>
        <v>4.9753086419753085</v>
      </c>
      <c r="AB110" s="206">
        <f>0.38*SQRT($B$4/Table_03[[#This Row],[Strength (ksi)]])</f>
        <v>9.1516118798821449</v>
      </c>
      <c r="AC110" s="206">
        <f>1*SQRT($B$4/Table_03[[#This Row],[Strength (ksi)]])</f>
        <v>24.083189157584592</v>
      </c>
      <c r="AD110" s="206">
        <f>(PI()^2*$B$4/(12*$B$5/Table_03[[#This Row],[rts]])^2)*SQRT(1+0.078*(Table_03[[#This Row],[J*]]/(Table_03[[#This Row],[Static Parameters Elastic Section Modulus Sx (in3)2]]*Table_03[[#This Row],[ho]])*$B$4/(12*$B$5/Table_03[[#This Row],[rts]])^2))</f>
        <v>49.647204686585397</v>
      </c>
      <c r="AE110" s="206">
        <f>0.69*$B$4/Table_03[[#This Row],[b/t]]^2</f>
        <v>808.36413006668351</v>
      </c>
      <c r="AF110" s="214">
        <f>Table_03[[#This Row],[Strength (ksi)]]*Table_03[[#This Row],[Static Parameters Plastic Section Modulus Zx (in3)]]</f>
        <v>576.6869875000001</v>
      </c>
      <c r="AG110" s="206">
        <f>Table_03[[#This Row],[Mp (k-in)]]-(Table_03[[#This Row],[Mp (k-in)]]-0.7*Table_03[[#This Row],[Strength (ksi)]]*Table_03[[#This Row],[Static Parameters Elastic Section Modulus Sx (in3)2]])*((Table_03[[#This Row],[b/t]]-Table_03[[#This Row],[λpf]])/(Table_03[[#This Row],[λrf]]-Table_03[[#This Row],[λpf]]))</f>
        <v>638.13257092087122</v>
      </c>
      <c r="AH110" s="211">
        <f>0.9*$B$4*Table_03[[#This Row],[kc]]*Table_03[[#This Row],[Static Parameters Elastic Section Modulus Sx (in3)2]]/Table_03[[#This Row],[b/t]]^2</f>
        <v>8173.6157429699088</v>
      </c>
      <c r="AI110" s="212" t="str">
        <f>IF(Table_03[[#This Row],[b/t]]&lt;Table_03[[#This Row],[λpf]],"Compact",IF(AND(Table_03[[#This Row],[b/t]]&gt;Table_03[[#This Row],[λpf]],Table_03[[#This Row],[λrf]]&gt;Table_03[[#This Row],[b/t]]),"Non-Compact","Slender"))</f>
        <v>Compact</v>
      </c>
      <c r="AJ110" s="213">
        <f>IF(Table_03[[#This Row],[Controlling LBx]]="Compact",Table_03[[#This Row],[Mp (k-in)]],IF(Table_03[[#This Row],[Controlling LBx]]="Non-Compact",Table_03[[#This Row],[Mnlb,Non-Compact (k-in)]],IF(Table_03[[#This Row],[Controlling LBx]]="Slender",Table_03[[#This Row],[Mnlb,slender (k-in)]],"ERROR")))</f>
        <v>576.6869875000001</v>
      </c>
      <c r="AK110" s="214">
        <f>Table_03[[#This Row],[Mp (k-in)]]-(Table_03[[#This Row],[Mp (k-in)]]-0.7*Table_03[[#This Row],[Strength (ksi)]]*Table_03[[#This Row],[Static Parameters Elastic Section Modulus Sx (in3)2]])*(($B$5-Table_03[[#This Row],[Lp (ft)]])/(Table_03[[#This Row],[Lr]]-Table_03[[#This Row],[Lp (ft)]]))</f>
        <v>497.81852778605389</v>
      </c>
      <c r="AL110" s="211">
        <f>Table_03[[#This Row],[Fcrx]]*Table_03[[#This Row],[Static Parameters Elastic Section Modulus Sx (in3)2]]</f>
        <v>506.40148780317099</v>
      </c>
      <c r="AM110" s="212" t="str">
        <f>IF($B$5&lt;Table_03[[#This Row],[Lp (ft)]],"Yielding Controls",IF(AND($B$5&gt;Table_03[[#This Row],[Lp (ft)]],Table_03[[#This Row],[Lr]]&gt;$B$5),"Mltb,p Controls","Mltb,r Controls"))</f>
        <v>Mltb,p Controls</v>
      </c>
      <c r="AN110" s="213">
        <f>IF(Table_03[[#This Row],[Controlling LTB]]="Yielding Controls",Table_03[[#This Row],[Mp (k-in)]],IF(Table_03[[#This Row],[Controlling LTB]]="Mltb,p Controls",Table_03[[#This Row],[Mnltbp (k-in)]],IF(Table_03[[#This Row],[Controlling LTB]]="Mltb,r Controls",Table_03[[#This Row],[Mnltbr (k-in)]],"ERROR")))</f>
        <v>497.81852778605389</v>
      </c>
      <c r="AO110" s="214">
        <f>MIN(Table_03[[#This Row],[Strength (ksi)]]*Table_03[[#This Row],[Static Parameters Plastic Section Modulus Zy (in3)]],1.6*Table_03[[#This Row],[Strength (ksi)]]*Table_03[[#This Row],[Static Parameters Elastic Section Modulus Sy (in3)3]])</f>
        <v>169.06126250000005</v>
      </c>
      <c r="AP110" s="206">
        <f>MIN(Table_03[[#This Row],[Mny (k-in)]],Table_03[[#This Row],[Mny (k-in)]]-(Table_03[[#This Row],[Mny (k-in)]]-0.7*Table_03[[#This Row],[Static Parameters Elastic Section Modulus Sy (in3)3]]*Table_03[[#This Row],[Strength (ksi)]])*((Table_03[[#This Row],[b/t]]-Table_03[[#This Row],[λpf]])/(Table_03[[#This Row],[λrf]]-Table_03[[#This Row],[λpf]])))</f>
        <v>169.06126250000005</v>
      </c>
      <c r="AQ110" s="211">
        <f>MIN(Table_03[[#This Row],[Mny (k-in)]],Table_03[[#This Row],[Fcry]]*Table_03[[#This Row],[Static Parameters Elastic Section Modulus Sy (in3)3]])</f>
        <v>169.06126250000005</v>
      </c>
      <c r="AR110" s="212" t="str">
        <f>IF(Table_03[[#This Row],[b/t]]&lt;Table_03[[#This Row],[λpf]],"Compact",IF(AND(Table_03[[#This Row],[b/t]]&gt;Table_03[[#This Row],[λpf]],Table_03[[#This Row],[λrf]]&gt;Table_03[[#This Row],[b/t]]),"Non-Compact","Slender"))</f>
        <v>Compact</v>
      </c>
      <c r="AS110" s="213">
        <f>IF(Table_03[[#This Row],[Controlling Lby]]="Compact",Table_03[[#This Row],[Mny (k-in)]],IF(Table_03[[#This Row],[Controlling Lby]]="Non-Compact",Table_03[[#This Row],[Mlby,Non-Compact (k-in)]],IF(Table_03[[#This Row],[Controlling Lby]]="Slender",Table_03[[#This Row],[Mlby,Slender (k-in)]],"ERROR")))</f>
        <v>169.06126250000005</v>
      </c>
      <c r="AT110" s="214">
        <f>MIN(Table_03[[#This Row],[LBx]],Table_03[[#This Row],[LTB]],Table_03[[#This Row],[Mp (k-in)]])</f>
        <v>497.81852778605389</v>
      </c>
      <c r="AU110" s="206">
        <f>Table_03[[#This Row],[Mp (k-in)]]</f>
        <v>576.6869875000001</v>
      </c>
      <c r="AV110" s="206">
        <f>MIN(Table_03[[#This Row],[LBy]],Table_03[[#This Row],[Mny (k-in)]])</f>
        <v>169.06126250000005</v>
      </c>
      <c r="AW110" s="215">
        <f>Table_03[[#This Row],[Mny (k-in)]]</f>
        <v>169.06126250000005</v>
      </c>
      <c r="AX110" s="165">
        <f>SQRT(((Table_03[[#This Row],[Sectional Area (in2)]]-(Table_03[[#This Row],[Flange Thickness tf (in)]]*Table_03[[#This Row],[Width w (in)]]*2+Table_03[[#This Row],[Web Thickness tw (in)]]*((Table_03[[#This Row],[Depth h (in)]]-2*Table_03[[#This Row],[Flange Thickness tf (in)]]))))/4)/(1-PI()/4))</f>
        <v>0.12540653585977121</v>
      </c>
      <c r="AY110"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10" s="165"/>
    </row>
    <row r="111" spans="1:55" s="262" customFormat="1" ht="14.4" thickBot="1" x14ac:dyDescent="0.35">
      <c r="A111" s="253" t="s">
        <v>34</v>
      </c>
      <c r="B111" s="254">
        <f>B110-$B$1*2</f>
        <v>6.28</v>
      </c>
      <c r="C111" s="254">
        <f>C110-$B$1*2</f>
        <v>4.03</v>
      </c>
      <c r="D111" s="254">
        <f>D110-$B$1*2</f>
        <v>0.26</v>
      </c>
      <c r="E111" s="254">
        <f>E110-$B$1*2</f>
        <v>0.40500000000000003</v>
      </c>
      <c r="F111" s="181">
        <f>4*(Table_03[[#This Row],[Fillet Radius]]^2*(1-PI()/4))+2*Table_03[[#This Row],[Width w (in)]]*Table_03[[#This Row],[Flange Thickness tf (in)]]+Table_03[[#This Row],[Web Thickness tw (in)]]*(Table_03[[#This Row],[Depth h (in)]]-2*Table_03[[#This Row],[Flange Thickness tf (in)]])</f>
        <v>4.7</v>
      </c>
      <c r="G111" s="254"/>
      <c r="H111" s="203">
        <f>2*(1/12*C111*E111^3+C111*E111*((B111/2-E111/2)^2))+
1/12*D111*(B111-2*E111)^3+
4*(1/12*AX111^4+
AX111^2*((AX111/(6-3*PI()/2))-AX111/2)^2-
(PI()*AX111^4/16+PI()*AX111^2/4*((AX111/(6-3*PI()/2))-4*AX111/(3*PI()))^2)+
(AX111^2-PI()*AX111^2/4)*((B111/2-E111-(AX111-AX111/(6-3*PI()/2)))^2))</f>
        <v>31.856875506456934</v>
      </c>
      <c r="I111" s="180">
        <f>2*((1/12)*E111*C111^3)+(1/12)*(B111-2*E111)*D111^3+4*((AX111^2-PI()*AX111^2/4)*(D111/2+(AX111-(AX111/(6-3*PI()/2))))^2)</f>
        <v>4.426279613504982</v>
      </c>
      <c r="J111" s="181">
        <f>F111*((B111/2)-((C111*E111*(E111/2))+(D111*(B111/2-E111)*(E111+(B111/2-E111)/2))+(2*(AX111^2-PI()*AX111^2/4)*(E111+(AX111-AX111/(6-3*PI()/2)))))/(F111/2))</f>
        <v>11.570284090707489</v>
      </c>
      <c r="K111" s="255">
        <f>(Table_03[[#This Row],[Width w (in)]]^2*Table_03[[#This Row],[Flange Thickness tf (in)]])/2+0.25*Table_03[[#This Row],[Web Thickness tw (in)]]^2*(Table_03[[#This Row],[Depth h (in)]]-2*Table_03[[#This Row],[Flange Thickness tf (in)]])</f>
        <v>3.3812252500000008</v>
      </c>
      <c r="L111" s="255">
        <f>Table_03[[#This Row],[Static Parameters Moment of Inertia Ix (in4)]]/(Table_03[[#This Row],[Depth h (in)]]/2)</f>
        <v>10.145501753648704</v>
      </c>
      <c r="M111" s="255">
        <f>Table_03[[#This Row],[Static Parameters Moment of Inertia Iy (in4)]]/(Table_03[[#This Row],[Width w (in)]]/2)</f>
        <v>2.1966648205980057</v>
      </c>
      <c r="N111" s="256">
        <v>50</v>
      </c>
      <c r="O111" s="255">
        <f>SQRT(Table_03[[#This Row],[Static Parameters Moment of Inertia Ix (in4)]]/Table_03[[#This Row],[Sectional Area (in2)]])</f>
        <v>2.603470495011436</v>
      </c>
      <c r="P111" s="255">
        <f>SQRT(Table_03[[#This Row],[Static Parameters Moment of Inertia Iy (in4)]]/Table_03[[#This Row],[Sectional Area (in2)]])</f>
        <v>0.97044403233503218</v>
      </c>
      <c r="Q111" s="255">
        <f>($B$6*$B$5*12)/Table_03[[#This Row],[ry (in)2]]</f>
        <v>185.01839778227716</v>
      </c>
      <c r="R111" s="255">
        <f>(PI()^2*$B$4)/(Table_03[[#This Row],[KL/ry]]^2)</f>
        <v>8.3611865216801959</v>
      </c>
      <c r="S111" s="255">
        <f>IF(Table_03[[#This Row],[Strength (ksi)]]/Table_03[[#This Row],[Fe,y]]&lt;2.25,(0.658^(Table_03[[#This Row],[Strength (ksi)]]/Table_03[[#This Row],[Fe,y]])*Table_03[[#This Row],[Strength (ksi)]]),0.877*Table_03[[#This Row],[Fe,y]])</f>
        <v>7.3327605795135318</v>
      </c>
      <c r="T111" s="255">
        <f>Table_03[[#This Row],[Fcr,y]]*Table_03[[#This Row],[Sectional Area (in2)]]</f>
        <v>34.463974723713598</v>
      </c>
      <c r="U111" s="255">
        <f>1.76*Table_03[[#This Row],[ry (in)2]]*SQRT($B$4/Table_03[[#This Row],[Strength (ksi)]])/12</f>
        <v>3.4278034556441455</v>
      </c>
      <c r="V111" s="255">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13.850122738677506</v>
      </c>
      <c r="W111" s="255">
        <f>Table_03[[#This Row],[Depth h (in)]]-Table_03[[#This Row],[Flange Thickness tf (in)]]</f>
        <v>5.875</v>
      </c>
      <c r="X111" s="255">
        <f>(Table_03[[#This Row],[Static Parameters Moment of Inertia Iy (in4)]]*Table_03[[#This Row],[ho]]^2)/4</f>
        <v>38.193951821220722</v>
      </c>
      <c r="Y111" s="255">
        <f>SQRT((SQRT(Table_03[[#This Row],[Static Parameters Moment of Inertia Iy (in4)]]*Table_03[[#This Row],[Cw*]])/Table_03[[#This Row],[Static Parameters Elastic Section Modulus Sx (in3)2]]))</f>
        <v>1.1320656038377486</v>
      </c>
      <c r="Z111" s="255">
        <f>(2*Table_03[[#This Row],[Width w (in)]]*Table_03[[#This Row],[Flange Thickness tf (in)]]^3/3)+((Table_03[[#This Row],[Depth h (in)]]-Table_03[[#This Row],[Flange Thickness tf (in)]]*2)*Table_03[[#This Row],[Web Thickness tw (in)]]^3)/3</f>
        <v>0.21052250916666673</v>
      </c>
      <c r="AA111" s="255">
        <f>Table_03[[#This Row],[Width w (in)]]*0.5/Table_03[[#This Row],[Flange Thickness tf (in)]]</f>
        <v>4.9753086419753085</v>
      </c>
      <c r="AB111" s="255">
        <f>0.38*SQRT($B$4/Table_03[[#This Row],[Strength (ksi)]])</f>
        <v>9.1516118798821449</v>
      </c>
      <c r="AC111" s="255">
        <f>1*SQRT($B$4/Table_03[[#This Row],[Strength (ksi)]])</f>
        <v>24.083189157584592</v>
      </c>
      <c r="AD111" s="255">
        <f>(PI()^2*$B$4/(12*$B$5/Table_03[[#This Row],[rts]])^2)*SQRT(1+0.078*(Table_03[[#This Row],[J*]]/(Table_03[[#This Row],[Static Parameters Elastic Section Modulus Sx (in3)2]]*Table_03[[#This Row],[ho]])*$B$4/(12*$B$5/Table_03[[#This Row],[rts]])^2))</f>
        <v>50.212591073850419</v>
      </c>
      <c r="AE111" s="255">
        <f>0.69*$B$4/Table_03[[#This Row],[b/t]]^2</f>
        <v>808.36413006668351</v>
      </c>
      <c r="AF111" s="257">
        <f>Table_03[[#This Row],[Strength (ksi)]]*Table_03[[#This Row],[Static Parameters Plastic Section Modulus Zx (in3)]]</f>
        <v>578.51420453537446</v>
      </c>
      <c r="AG111" s="255">
        <f>Table_03[[#This Row],[Mp (k-in)]]-(Table_03[[#This Row],[Mp (k-in)]]-0.7*Table_03[[#This Row],[Strength (ksi)]]*Table_03[[#This Row],[Static Parameters Elastic Section Modulus Sx (in3)2]])*((Table_03[[#This Row],[b/t]]-Table_03[[#This Row],[λpf]])/(Table_03[[#This Row],[λrf]]-Table_03[[#This Row],[λpf]]))</f>
        <v>641.00435640507817</v>
      </c>
      <c r="AH111" s="258">
        <f>0.9*$B$4*Table_03[[#This Row],[kc]]*Table_03[[#This Row],[Static Parameters Elastic Section Modulus Sx (in3)2]]/Table_03[[#This Row],[b/t]]^2</f>
        <v>8129.9443974462611</v>
      </c>
      <c r="AI111" s="259" t="str">
        <f>IF(Table_03[[#This Row],[b/t]]&lt;Table_03[[#This Row],[λpf]],"Compact",IF(AND(Table_03[[#This Row],[b/t]]&gt;Table_03[[#This Row],[λpf]],Table_03[[#This Row],[λrf]]&gt;Table_03[[#This Row],[b/t]]),"Non-Compact","Slender"))</f>
        <v>Compact</v>
      </c>
      <c r="AJ111" s="260">
        <f>IF(Table_03[[#This Row],[Controlling LBx]]="Compact",Table_03[[#This Row],[Mp (k-in)]],IF(Table_03[[#This Row],[Controlling LBx]]="Non-Compact",Table_03[[#This Row],[Mnlb,Non-Compact (k-in)]],IF(Table_03[[#This Row],[Controlling LBx]]="Slender",Table_03[[#This Row],[Mnlb,slender (k-in)]],"ERROR")))</f>
        <v>578.51420453537446</v>
      </c>
      <c r="AK111" s="257">
        <f>Table_03[[#This Row],[Mp (k-in)]]-(Table_03[[#This Row],[Mp (k-in)]]-0.7*Table_03[[#This Row],[Strength (ksi)]]*Table_03[[#This Row],[Static Parameters Elastic Section Modulus Sx (in3)2]])*(($B$5-Table_03[[#This Row],[Lp (ft)]])/(Table_03[[#This Row],[Lr]]-Table_03[[#This Row],[Lp (ft)]]))</f>
        <v>499.25797522741652</v>
      </c>
      <c r="AL111" s="258">
        <f>Table_03[[#This Row],[Fcrx]]*Table_03[[#This Row],[Static Parameters Elastic Section Modulus Sx (in3)2]]</f>
        <v>509.43193079499468</v>
      </c>
      <c r="AM111" s="259" t="str">
        <f>IF($B$5&lt;Table_03[[#This Row],[Lp (ft)]],"Yielding Controls",IF(AND($B$5&gt;Table_03[[#This Row],[Lp (ft)]],Table_03[[#This Row],[Lr]]&gt;$B$5),"Mltb,p Controls","Mltb,r Controls"))</f>
        <v>Mltb,p Controls</v>
      </c>
      <c r="AN111" s="260">
        <f>IF(Table_03[[#This Row],[Controlling LTB]]="Yielding Controls",Table_03[[#This Row],[Mp (k-in)]],IF(Table_03[[#This Row],[Controlling LTB]]="Mltb,p Controls",Table_03[[#This Row],[Mnltbp (k-in)]],IF(Table_03[[#This Row],[Controlling LTB]]="Mltb,r Controls",Table_03[[#This Row],[Mnltbr (k-in)]],"ERROR")))</f>
        <v>499.25797522741652</v>
      </c>
      <c r="AO111" s="257">
        <f>MIN(Table_03[[#This Row],[Strength (ksi)]]*Table_03[[#This Row],[Static Parameters Plastic Section Modulus Zy (in3)]],1.6*Table_03[[#This Row],[Strength (ksi)]]*Table_03[[#This Row],[Static Parameters Elastic Section Modulus Sy (in3)3]])</f>
        <v>169.06126250000005</v>
      </c>
      <c r="AP111" s="255">
        <f>MIN(Table_03[[#This Row],[Mny (k-in)]],Table_03[[#This Row],[Mny (k-in)]]-(Table_03[[#This Row],[Mny (k-in)]]-0.7*Table_03[[#This Row],[Static Parameters Elastic Section Modulus Sy (in3)3]]*Table_03[[#This Row],[Strength (ksi)]])*((Table_03[[#This Row],[b/t]]-Table_03[[#This Row],[λpf]])/(Table_03[[#This Row],[λrf]]-Table_03[[#This Row],[λpf]])))</f>
        <v>169.06126250000005</v>
      </c>
      <c r="AQ111" s="258">
        <f>MIN(Table_03[[#This Row],[Mny (k-in)]],Table_03[[#This Row],[Fcry]]*Table_03[[#This Row],[Static Parameters Elastic Section Modulus Sy (in3)3]])</f>
        <v>169.06126250000005</v>
      </c>
      <c r="AR111" s="259" t="str">
        <f>IF(Table_03[[#This Row],[b/t]]&lt;Table_03[[#This Row],[λpf]],"Compact",IF(AND(Table_03[[#This Row],[b/t]]&gt;Table_03[[#This Row],[λpf]],Table_03[[#This Row],[λrf]]&gt;Table_03[[#This Row],[b/t]]),"Non-Compact","Slender"))</f>
        <v>Compact</v>
      </c>
      <c r="AS111" s="260">
        <f>IF(Table_03[[#This Row],[Controlling Lby]]="Compact",Table_03[[#This Row],[Mny (k-in)]],IF(Table_03[[#This Row],[Controlling Lby]]="Non-Compact",Table_03[[#This Row],[Mlby,Non-Compact (k-in)]],IF(Table_03[[#This Row],[Controlling Lby]]="Slender",Table_03[[#This Row],[Mlby,Slender (k-in)]],"ERROR")))</f>
        <v>169.06126250000005</v>
      </c>
      <c r="AT111" s="257">
        <f>MIN(Table_03[[#This Row],[LBx]],Table_03[[#This Row],[LTB]],Table_03[[#This Row],[Mp (k-in)]])</f>
        <v>499.25797522741652</v>
      </c>
      <c r="AU111" s="255">
        <f>Table_03[[#This Row],[Mp (k-in)]]</f>
        <v>578.51420453537446</v>
      </c>
      <c r="AV111" s="255">
        <f>MIN(Table_03[[#This Row],[LBy]],Table_03[[#This Row],[Mny (k-in)]])</f>
        <v>169.06126250000005</v>
      </c>
      <c r="AW111" s="261">
        <f>Table_03[[#This Row],[Mny (k-in)]]</f>
        <v>169.06126250000005</v>
      </c>
      <c r="AX111" s="165">
        <f>AX110+$B$1</f>
        <v>0.12540653585977121</v>
      </c>
      <c r="AY111"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11" s="165"/>
    </row>
    <row r="112" spans="1:55" ht="14.4" thickBot="1" x14ac:dyDescent="0.35">
      <c r="A112" s="188" t="s">
        <v>204</v>
      </c>
      <c r="B112" s="189">
        <f>B110-$B$3*2</f>
        <v>6.2</v>
      </c>
      <c r="C112" s="189">
        <f>C110-$B$3*2</f>
        <v>3.95</v>
      </c>
      <c r="D112" s="189">
        <f>D110-$B$3*2</f>
        <v>0.18</v>
      </c>
      <c r="E112" s="189">
        <f>E110-$B$3*2</f>
        <v>0.32500000000000001</v>
      </c>
      <c r="F112" s="190">
        <f>4*(Table_03[[#This Row],[Fillet Radius]]^2*(1-PI()/4))+2*Table_03[[#This Row],[Width w (in)]]*Table_03[[#This Row],[Flange Thickness tf (in)]]+Table_03[[#This Row],[Web Thickness tw (in)]]*(Table_03[[#This Row],[Depth h (in)]]-2*Table_03[[#This Row],[Flange Thickness tf (in)]])</f>
        <v>3.5899854430878468</v>
      </c>
      <c r="G112" s="189"/>
      <c r="H112" s="203">
        <f>2*(1/12*C112*E112^3+C112*E112*((B112/2-E112/2)^2))+
1/12*D112*(B112-2*E112)^3+
4*(1/12*AX112^4+
AX112^2*((AX112/(6-3*PI()/2))-AX112/2)^2-
(PI()*AX112^4/16+PI()*AX112^2/4*((AX112/(6-3*PI()/2))-4*AX112/(3*PI()))^2)+
(AX112^2-PI()*AX112^2/4)*((B112/2-E112-(AX112-AX112/(6-3*PI()/2)))^2))</f>
        <v>24.917292163469369</v>
      </c>
      <c r="I112" s="180">
        <f>2*((1/12)*E112*C112^3)+(1/12)*(B112-2*E112)*D112^3+4*((AX112^2-PI()*AX112^2/4)*(D112/2+(AX112-(AX112/(6-3*PI()/2))))^2)</f>
        <v>3.3413606735698185</v>
      </c>
      <c r="J112" s="181">
        <f>F112*((B112/2)-((C112*E112*(E112/2))+(D112*(B112/2-E112)*(E112+(B112/2-E112)/2))+(2*(AX112^2-PI()*AX112^2/4)*(E112+(AX112-AX112/(6-3*PI()/2)))))/(F112/2))</f>
        <v>8.992448149246405</v>
      </c>
      <c r="K112" s="190">
        <f>(Table_03[[#This Row],[Width w (in)]]^2*Table_03[[#This Row],[Flange Thickness tf (in)]])/2+0.25*Table_03[[#This Row],[Web Thickness tw (in)]]^2*(Table_03[[#This Row],[Depth h (in)]]-2*Table_03[[#This Row],[Flange Thickness tf (in)]])</f>
        <v>2.5803612500000002</v>
      </c>
      <c r="L112" s="190">
        <f>Table_03[[#This Row],[Static Parameters Moment of Inertia Ix (in4)]]/(Table_03[[#This Row],[Depth h (in)]]/2)</f>
        <v>8.0378361817643125</v>
      </c>
      <c r="M112" s="190">
        <f>Table_03[[#This Row],[Static Parameters Moment of Inertia Iy (in4)]]/(Table_03[[#This Row],[Width w (in)]]/2)</f>
        <v>1.691828189149275</v>
      </c>
      <c r="N112" s="191">
        <v>50</v>
      </c>
      <c r="O112" s="169">
        <f>SQRT(Table_03[[#This Row],[Static Parameters Moment of Inertia Ix (in4)]]/Table_03[[#This Row],[Sectional Area (in2)]])</f>
        <v>2.6345356422098405</v>
      </c>
      <c r="P112" s="190">
        <f>SQRT(Table_03[[#This Row],[Static Parameters Moment of Inertia Iy (in4)]]/Table_03[[#This Row],[Sectional Area (in2)]])</f>
        <v>0.9647512159776096</v>
      </c>
      <c r="Q112" s="190">
        <f>($B$6*$B$5*12)/Table_03[[#This Row],[ry (in)2]]</f>
        <v>186.11015671854526</v>
      </c>
      <c r="R112" s="190">
        <f>(PI()^2*$B$4)/(Table_03[[#This Row],[KL/ry]]^2)</f>
        <v>8.2633775061552992</v>
      </c>
      <c r="S112" s="190">
        <f>IF(Table_03[[#This Row],[Strength (ksi)]]/Table_03[[#This Row],[Fe,y]]&lt;2.25,(0.658^(Table_03[[#This Row],[Strength (ksi)]]/Table_03[[#This Row],[Fe,y]])*Table_03[[#This Row],[Strength (ksi)]]),0.877*Table_03[[#This Row],[Fe,y]])</f>
        <v>7.2469820728981977</v>
      </c>
      <c r="T112" s="190">
        <f>Table_03[[#This Row],[Fcr,y]]*Table_03[[#This Row],[Sectional Area (in2)]]</f>
        <v>26.016560148023117</v>
      </c>
      <c r="U112" s="190">
        <f>1.76*Table_03[[#This Row],[ry (in)2]]*SQRT($B$4/Table_03[[#This Row],[Strength (ksi)]])/12</f>
        <v>3.4076952835784495</v>
      </c>
      <c r="V11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11.469637101748759</v>
      </c>
      <c r="W112" s="190">
        <f>Table_03[[#This Row],[Depth h (in)]]-Table_03[[#This Row],[Flange Thickness tf (in)]]</f>
        <v>5.875</v>
      </c>
      <c r="X112" s="190">
        <f>(Table_03[[#This Row],[Static Parameters Moment of Inertia Iy (in4)]]*Table_03[[#This Row],[ho]]^2)/4</f>
        <v>28.832287999670818</v>
      </c>
      <c r="Y112" s="190">
        <f>SQRT((SQRT(Table_03[[#This Row],[Static Parameters Moment of Inertia Iy (in4)]]*Table_03[[#This Row],[Cw*]])/Table_03[[#This Row],[Static Parameters Elastic Section Modulus Sx (in3)2]]))</f>
        <v>1.1050477400749807</v>
      </c>
      <c r="Z112" s="190">
        <f>(2*Table_03[[#This Row],[Width w (in)]]*Table_03[[#This Row],[Flange Thickness tf (in)]]^3/3)+((Table_03[[#This Row],[Depth h (in)]]-Table_03[[#This Row],[Flange Thickness tf (in)]]*2)*Table_03[[#This Row],[Web Thickness tw (in)]]^3)/3</f>
        <v>0.10118659583333335</v>
      </c>
      <c r="AA112" s="190">
        <f>Table_03[[#This Row],[Width w (in)]]*0.5/Table_03[[#This Row],[Flange Thickness tf (in)]]</f>
        <v>6.0769230769230766</v>
      </c>
      <c r="AB112" s="190">
        <f>0.38*SQRT($B$4/Table_03[[#This Row],[Strength (ksi)]])</f>
        <v>9.1516118798821449</v>
      </c>
      <c r="AC112" s="190">
        <f>1*SQRT($B$4/Table_03[[#This Row],[Strength (ksi)]])</f>
        <v>24.083189157584592</v>
      </c>
      <c r="AD112" s="190">
        <f>(PI()^2*$B$4/(12*$B$5/Table_03[[#This Row],[rts]])^2)*SQRT(1+0.078*(Table_03[[#This Row],[J*]]/(Table_03[[#This Row],[Static Parameters Elastic Section Modulus Sx (in3)2]]*Table_03[[#This Row],[ho]])*$B$4/(12*$B$5/Table_03[[#This Row],[rts]])^2))</f>
        <v>47.830325664308951</v>
      </c>
      <c r="AE112" s="190">
        <f>0.69*$B$4/Table_03[[#This Row],[b/t]]^2</f>
        <v>541.85066495753892</v>
      </c>
      <c r="AF112" s="192">
        <f>Table_03[[#This Row],[Strength (ksi)]]*Table_03[[#This Row],[Static Parameters Plastic Section Modulus Zx (in3)]]</f>
        <v>449.62240746232027</v>
      </c>
      <c r="AG112" s="190">
        <f>Table_03[[#This Row],[Mp (k-in)]]-(Table_03[[#This Row],[Mp (k-in)]]-0.7*Table_03[[#This Row],[Strength (ksi)]]*Table_03[[#This Row],[Static Parameters Elastic Section Modulus Sx (in3)2]])*((Table_03[[#This Row],[b/t]]-Table_03[[#This Row],[λpf]])/(Table_03[[#This Row],[λrf]]-Table_03[[#This Row],[λpf]]))</f>
        <v>484.27811732985606</v>
      </c>
      <c r="AH112" s="193">
        <f>0.9*$B$4*Table_03[[#This Row],[kc]]*Table_03[[#This Row],[Static Parameters Elastic Section Modulus Sx (in3)2]]/Table_03[[#This Row],[b/t]]^2</f>
        <v>3871.7970013907038</v>
      </c>
      <c r="AI112" s="194" t="str">
        <f>IF(Table_03[[#This Row],[b/t]]&lt;Table_03[[#This Row],[λpf]],"Compact",IF(AND(Table_03[[#This Row],[b/t]]&gt;Table_03[[#This Row],[λpf]],Table_03[[#This Row],[λrf]]&gt;Table_03[[#This Row],[b/t]]),"Non-Compact","Slender"))</f>
        <v>Compact</v>
      </c>
      <c r="AJ112" s="195">
        <f>IF(Table_03[[#This Row],[Controlling LBx]]="Compact",Table_03[[#This Row],[Mp (k-in)]],IF(Table_03[[#This Row],[Controlling LBx]]="Non-Compact",Table_03[[#This Row],[Mnlb,Non-Compact (k-in)]],IF(Table_03[[#This Row],[Controlling LBx]]="Slender",Table_03[[#This Row],[Mnlb,slender (k-in)]],"ERROR")))</f>
        <v>449.62240746232027</v>
      </c>
      <c r="AK112" s="192">
        <f>Table_03[[#This Row],[Mp (k-in)]]-(Table_03[[#This Row],[Mp (k-in)]]-0.7*Table_03[[#This Row],[Strength (ksi)]]*Table_03[[#This Row],[Static Parameters Elastic Section Modulus Sx (in3)2]])*(($B$5-Table_03[[#This Row],[Lp (ft)]])/(Table_03[[#This Row],[Lr]]-Table_03[[#This Row],[Lp (ft)]]))</f>
        <v>372.02131732940836</v>
      </c>
      <c r="AL112" s="196">
        <f>Table_03[[#This Row],[Fcrx]]*Table_03[[#This Row],[Static Parameters Elastic Section Modulus Sx (in3)2]]</f>
        <v>384.45232221015266</v>
      </c>
      <c r="AM112" s="197" t="str">
        <f>IF($B$5&lt;Table_03[[#This Row],[Lp (ft)]],"Yielding Controls",IF(AND($B$5&gt;Table_03[[#This Row],[Lp (ft)]],Table_03[[#This Row],[Lr]]&gt;$B$5),"Mltb,p Controls","Mltb,r Controls"))</f>
        <v>Mltb,p Controls</v>
      </c>
      <c r="AN112" s="198">
        <f>IF(Table_03[[#This Row],[Controlling LTB]]="Yielding Controls",Table_03[[#This Row],[Mp (k-in)]],IF(Table_03[[#This Row],[Controlling LTB]]="Mltb,p Controls",Table_03[[#This Row],[Mnltbp (k-in)]],IF(Table_03[[#This Row],[Controlling LTB]]="Mltb,r Controls",Table_03[[#This Row],[Mnltbr (k-in)]],"ERROR")))</f>
        <v>372.02131732940836</v>
      </c>
      <c r="AO112" s="199">
        <f>MIN(Table_03[[#This Row],[Strength (ksi)]]*Table_03[[#This Row],[Static Parameters Plastic Section Modulus Zy (in3)]],1.6*Table_03[[#This Row],[Strength (ksi)]]*Table_03[[#This Row],[Static Parameters Elastic Section Modulus Sy (in3)3]])</f>
        <v>129.01806250000001</v>
      </c>
      <c r="AP112" s="169">
        <f>MIN(Table_03[[#This Row],[Mny (k-in)]],Table_03[[#This Row],[Mny (k-in)]]-(Table_03[[#This Row],[Mny (k-in)]]-0.7*Table_03[[#This Row],[Static Parameters Elastic Section Modulus Sy (in3)3]]*Table_03[[#This Row],[Strength (ksi)]])*((Table_03[[#This Row],[b/t]]-Table_03[[#This Row],[λpf]])/(Table_03[[#This Row],[λrf]]-Table_03[[#This Row],[λpf]])))</f>
        <v>129.01806250000001</v>
      </c>
      <c r="AQ112" s="196">
        <f>MIN(Table_03[[#This Row],[Mny (k-in)]],Table_03[[#This Row],[Fcry]]*Table_03[[#This Row],[Static Parameters Elastic Section Modulus Sy (in3)3]])</f>
        <v>129.01806250000001</v>
      </c>
      <c r="AR112" s="197" t="str">
        <f>IF(Table_03[[#This Row],[b/t]]&lt;Table_03[[#This Row],[λpf]],"Compact",IF(AND(Table_03[[#This Row],[b/t]]&gt;Table_03[[#This Row],[λpf]],Table_03[[#This Row],[λrf]]&gt;Table_03[[#This Row],[b/t]]),"Non-Compact","Slender"))</f>
        <v>Compact</v>
      </c>
      <c r="AS112" s="198">
        <f>IF(Table_03[[#This Row],[Controlling Lby]]="Compact",Table_03[[#This Row],[Mny (k-in)]],IF(Table_03[[#This Row],[Controlling Lby]]="Non-Compact",Table_03[[#This Row],[Mlby,Non-Compact (k-in)]],IF(Table_03[[#This Row],[Controlling Lby]]="Slender",Table_03[[#This Row],[Mlby,Slender (k-in)]],"ERROR")))</f>
        <v>129.01806250000001</v>
      </c>
      <c r="AT112" s="199">
        <f>MIN(Table_03[[#This Row],[LBx]],Table_03[[#This Row],[LTB]],Table_03[[#This Row],[Mp (k-in)]])</f>
        <v>372.02131732940836</v>
      </c>
      <c r="AU112" s="169">
        <f>Table_03[[#This Row],[Mp (k-in)]]</f>
        <v>449.62240746232027</v>
      </c>
      <c r="AV112" s="169">
        <f>MIN(Table_03[[#This Row],[LBy]],Table_03[[#This Row],[Mny (k-in)]])</f>
        <v>129.01806250000001</v>
      </c>
      <c r="AW112" s="200">
        <f>Table_03[[#This Row],[Mny (k-in)]]</f>
        <v>129.01806250000001</v>
      </c>
      <c r="AX112" s="165">
        <f>AX110+$B$3</f>
        <v>0.16540653585977122</v>
      </c>
      <c r="AY112" s="165">
        <f>IF(4/SQRT((Table_03[[#This Row],[Depth h (in)]]-Table_03[[#This Row],[Flange Thickness tf (in)]]*2)/Table_03[[#This Row],[Web Thickness tw (in)]])&lt;0.35,0.35,IF(4/SQRT(Table_03[[#This Row],[Depth h (in)]]/Table_03[[#This Row],[Web Thickness tw (in)]])&gt;0.76,0.76,4/SQRT(Table_03[[#This Row],[Depth h (in)]]/Table_03[[#This Row],[Web Thickness tw (in)]])))</f>
        <v>0.68155420109647769</v>
      </c>
      <c r="AZ112" s="165"/>
    </row>
    <row r="113" spans="1:54" ht="14.4" thickBot="1" x14ac:dyDescent="0.35">
      <c r="A113" s="239" t="s">
        <v>205</v>
      </c>
      <c r="B113" s="240">
        <v>6.38</v>
      </c>
      <c r="C113" s="240">
        <v>6.08</v>
      </c>
      <c r="D113" s="240">
        <v>0.32</v>
      </c>
      <c r="E113" s="240">
        <v>0.45500000000000002</v>
      </c>
      <c r="F113" s="206">
        <v>7.34</v>
      </c>
      <c r="G113" s="241">
        <v>25</v>
      </c>
      <c r="H113" s="206">
        <v>53.4</v>
      </c>
      <c r="I113" s="206">
        <v>17.100000000000001</v>
      </c>
      <c r="J113" s="206">
        <f>Table_03[[#This Row],[Width w (in)]]*Table_03[[#This Row],[Flange Thickness tf (in)]]*(Table_03[[#This Row],[Depth h (in)]]-Table_03[[#This Row],[Flange Thickness tf (in)]])+0.25*Table_03[[#This Row],[Web Thickness tw (in)]]*(Table_03[[#This Row],[Depth h (in)]]-2*Table_03[[#This Row],[Flange Thickness tf (in)]])^2</f>
        <v>18.784591999999996</v>
      </c>
      <c r="K113" s="206">
        <f>(Table_03[[#This Row],[Width w (in)]]^2*Table_03[[#This Row],[Flange Thickness tf (in)]])/2+0.25*Table_03[[#This Row],[Web Thickness tw (in)]]^2*(Table_03[[#This Row],[Depth h (in)]]-2*Table_03[[#This Row],[Flange Thickness tf (in)]])</f>
        <v>8.5498879999999993</v>
      </c>
      <c r="L113" s="206">
        <v>16.7</v>
      </c>
      <c r="M113" s="206">
        <v>5.6</v>
      </c>
      <c r="N113" s="205">
        <v>50</v>
      </c>
      <c r="O113" s="206">
        <f>SQRT(Table_03[[#This Row],[Static Parameters Moment of Inertia Ix (in4)]]/Table_03[[#This Row],[Sectional Area (in2)]])</f>
        <v>2.6972586749648291</v>
      </c>
      <c r="P113" s="206">
        <f>SQRT(Table_03[[#This Row],[Static Parameters Moment of Inertia Iy (in4)]]/Table_03[[#This Row],[Sectional Area (in2)]])</f>
        <v>1.5263355700761101</v>
      </c>
      <c r="Q113" s="206">
        <f>($B$6*$B$5*12)/Table_03[[#This Row],[ry (in)2]]</f>
        <v>117.63468238576581</v>
      </c>
      <c r="R113" s="206">
        <f>(PI()^2*$B$4)/(Table_03[[#This Row],[KL/ry]]^2)</f>
        <v>20.683640218837201</v>
      </c>
      <c r="S113" s="206">
        <f>IF(Table_03[[#This Row],[Strength (ksi)]]/Table_03[[#This Row],[Fe,y]]&lt;2.25,(0.658^(Table_03[[#This Row],[Strength (ksi)]]/Table_03[[#This Row],[Fe,y]])*Table_03[[#This Row],[Strength (ksi)]]),0.877*Table_03[[#This Row],[Fe,y]])</f>
        <v>18.139552471920226</v>
      </c>
      <c r="T113" s="206">
        <f>Table_03[[#This Row],[Fcr,y]]*Table_03[[#This Row],[Sectional Area (in2)]]</f>
        <v>133.14431514389446</v>
      </c>
      <c r="U113" s="206">
        <f>1.76*Table_03[[#This Row],[ry (in)2]]*SQRT($B$4/Table_03[[#This Row],[Strength (ksi)]])/12</f>
        <v>5.3913241436402588</v>
      </c>
      <c r="V113" s="206">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23.354021090301277</v>
      </c>
      <c r="W113" s="206">
        <f>Table_03[[#This Row],[Depth h (in)]]-Table_03[[#This Row],[Flange Thickness tf (in)]]</f>
        <v>5.9249999999999998</v>
      </c>
      <c r="X113" s="206">
        <f>(Table_03[[#This Row],[Static Parameters Moment of Inertia Iy (in4)]]*Table_03[[#This Row],[ho]]^2)/4</f>
        <v>150.07654687499999</v>
      </c>
      <c r="Y113" s="206">
        <f>SQRT((SQRT(Table_03[[#This Row],[Static Parameters Moment of Inertia Iy (in4)]]*Table_03[[#This Row],[Cw*]])/Table_03[[#This Row],[Static Parameters Elastic Section Modulus Sx (in3)2]]))</f>
        <v>1.7416825439305337</v>
      </c>
      <c r="Z113" s="206">
        <f>(2*Table_03[[#This Row],[Width w (in)]]*Table_03[[#This Row],[Flange Thickness tf (in)]]^3/3)+((Table_03[[#This Row],[Depth h (in)]]-Table_03[[#This Row],[Flange Thickness tf (in)]]*2)*Table_03[[#This Row],[Web Thickness tw (in)]]^3)/3</f>
        <v>0.44155629333333341</v>
      </c>
      <c r="AA113" s="206">
        <f>Table_03[[#This Row],[Width w (in)]]*0.5/Table_03[[#This Row],[Flange Thickness tf (in)]]</f>
        <v>6.6813186813186816</v>
      </c>
      <c r="AB113" s="206">
        <f>0.38*SQRT($B$4/Table_03[[#This Row],[Strength (ksi)]])</f>
        <v>9.1516118798821449</v>
      </c>
      <c r="AC113" s="206">
        <f>1*SQRT($B$4/Table_03[[#This Row],[Strength (ksi)]])</f>
        <v>24.083189157584592</v>
      </c>
      <c r="AD113" s="206">
        <f>(PI()^2*$B$4/(12*$B$5/Table_03[[#This Row],[rts]])^2)*SQRT(1+0.078*(Table_03[[#This Row],[J*]]/(Table_03[[#This Row],[Static Parameters Elastic Section Modulus Sx (in3)2]]*Table_03[[#This Row],[ho]])*$B$4/(12*$B$5/Table_03[[#This Row],[rts]])^2))</f>
        <v>119.01759710298269</v>
      </c>
      <c r="AE113" s="206">
        <f>0.69*$B$4/Table_03[[#This Row],[b/t]]^2</f>
        <v>448.2524941568559</v>
      </c>
      <c r="AF113" s="214">
        <f>Table_03[[#This Row],[Strength (ksi)]]*Table_03[[#This Row],[Static Parameters Plastic Section Modulus Zx (in3)]]</f>
        <v>939.22959999999978</v>
      </c>
      <c r="AG113" s="206">
        <f>Table_03[[#This Row],[Mp (k-in)]]-(Table_03[[#This Row],[Mp (k-in)]]-0.7*Table_03[[#This Row],[Strength (ksi)]]*Table_03[[#This Row],[Static Parameters Elastic Section Modulus Sx (in3)2]])*((Table_03[[#This Row],[b/t]]-Table_03[[#This Row],[λpf]])/(Table_03[[#This Row],[λrf]]-Table_03[[#This Row],[λpf]]))</f>
        <v>997.91637514181343</v>
      </c>
      <c r="AH113" s="211">
        <f>0.9*$B$4*Table_03[[#This Row],[kc]]*Table_03[[#This Row],[Static Parameters Elastic Section Modulus Sx (in3)2]]/Table_03[[#This Row],[b/t]]^2</f>
        <v>7420.7225945723676</v>
      </c>
      <c r="AI113" s="212" t="str">
        <f>IF(Table_03[[#This Row],[b/t]]&lt;Table_03[[#This Row],[λpf]],"Compact",IF(AND(Table_03[[#This Row],[b/t]]&gt;Table_03[[#This Row],[λpf]],Table_03[[#This Row],[λrf]]&gt;Table_03[[#This Row],[b/t]]),"Non-Compact","Slender"))</f>
        <v>Compact</v>
      </c>
      <c r="AJ113" s="213">
        <f>IF(Table_03[[#This Row],[Controlling LBx]]="Compact",Table_03[[#This Row],[Mp (k-in)]],IF(Table_03[[#This Row],[Controlling LBx]]="Non-Compact",Table_03[[#This Row],[Mnlb,Non-Compact (k-in)]],IF(Table_03[[#This Row],[Controlling LBx]]="Slender",Table_03[[#This Row],[Mnlb,slender (k-in)]],"ERROR")))</f>
        <v>939.22959999999978</v>
      </c>
      <c r="AK113" s="214">
        <f>Table_03[[#This Row],[Mp (k-in)]]-(Table_03[[#This Row],[Mp (k-in)]]-0.7*Table_03[[#This Row],[Strength (ksi)]]*Table_03[[#This Row],[Static Parameters Elastic Section Modulus Sx (in3)2]])*(($B$5-Table_03[[#This Row],[Lp (ft)]])/(Table_03[[#This Row],[Lr]]-Table_03[[#This Row],[Lp (ft)]]))</f>
        <v>904.99275099662873</v>
      </c>
      <c r="AL113" s="211">
        <f>Table_03[[#This Row],[Fcrx]]*Table_03[[#This Row],[Static Parameters Elastic Section Modulus Sx (in3)2]]</f>
        <v>1987.5938716198109</v>
      </c>
      <c r="AM113" s="212" t="str">
        <f>IF($B$5&lt;Table_03[[#This Row],[Lp (ft)]],"Yielding Controls",IF(AND($B$5&gt;Table_03[[#This Row],[Lp (ft)]],Table_03[[#This Row],[Lr]]&gt;$B$5),"Mltb,p Controls","Mltb,r Controls"))</f>
        <v>Mltb,p Controls</v>
      </c>
      <c r="AN113" s="213">
        <f>IF(Table_03[[#This Row],[Controlling LTB]]="Yielding Controls",Table_03[[#This Row],[Mp (k-in)]],IF(Table_03[[#This Row],[Controlling LTB]]="Mltb,p Controls",Table_03[[#This Row],[Mnltbp (k-in)]],IF(Table_03[[#This Row],[Controlling LTB]]="Mltb,r Controls",Table_03[[#This Row],[Mnltbr (k-in)]],"ERROR")))</f>
        <v>904.99275099662873</v>
      </c>
      <c r="AO113" s="214">
        <f>MIN(Table_03[[#This Row],[Strength (ksi)]]*Table_03[[#This Row],[Static Parameters Plastic Section Modulus Zy (in3)]],1.6*Table_03[[#This Row],[Strength (ksi)]]*Table_03[[#This Row],[Static Parameters Elastic Section Modulus Sy (in3)3]])</f>
        <v>427.49439999999998</v>
      </c>
      <c r="AP113" s="206">
        <f>MIN(Table_03[[#This Row],[Mny (k-in)]],Table_03[[#This Row],[Mny (k-in)]]-(Table_03[[#This Row],[Mny (k-in)]]-0.7*Table_03[[#This Row],[Static Parameters Elastic Section Modulus Sy (in3)3]]*Table_03[[#This Row],[Strength (ksi)]])*((Table_03[[#This Row],[b/t]]-Table_03[[#This Row],[λpf]])/(Table_03[[#This Row],[λrf]]-Table_03[[#This Row],[λpf]])))</f>
        <v>427.49439999999998</v>
      </c>
      <c r="AQ113" s="211">
        <f>MIN(Table_03[[#This Row],[Mny (k-in)]],Table_03[[#This Row],[Fcry]]*Table_03[[#This Row],[Static Parameters Elastic Section Modulus Sy (in3)3]])</f>
        <v>427.49439999999998</v>
      </c>
      <c r="AR113" s="212" t="str">
        <f>IF(Table_03[[#This Row],[b/t]]&lt;Table_03[[#This Row],[λpf]],"Compact",IF(AND(Table_03[[#This Row],[b/t]]&gt;Table_03[[#This Row],[λpf]],Table_03[[#This Row],[λrf]]&gt;Table_03[[#This Row],[b/t]]),"Non-Compact","Slender"))</f>
        <v>Compact</v>
      </c>
      <c r="AS113" s="213">
        <f>IF(Table_03[[#This Row],[Controlling Lby]]="Compact",Table_03[[#This Row],[Mny (k-in)]],IF(Table_03[[#This Row],[Controlling Lby]]="Non-Compact",Table_03[[#This Row],[Mlby,Non-Compact (k-in)]],IF(Table_03[[#This Row],[Controlling Lby]]="Slender",Table_03[[#This Row],[Mlby,Slender (k-in)]],"ERROR")))</f>
        <v>427.49439999999998</v>
      </c>
      <c r="AT113" s="214">
        <f>MIN(Table_03[[#This Row],[LBx]],Table_03[[#This Row],[LTB]],Table_03[[#This Row],[Mp (k-in)]])</f>
        <v>904.99275099662873</v>
      </c>
      <c r="AU113" s="206">
        <f>Table_03[[#This Row],[Mp (k-in)]]</f>
        <v>939.22959999999978</v>
      </c>
      <c r="AV113" s="206">
        <f>MIN(Table_03[[#This Row],[LBy]],Table_03[[#This Row],[Mny (k-in)]])</f>
        <v>427.49439999999998</v>
      </c>
      <c r="AW113" s="215">
        <f>Table_03[[#This Row],[Mny (k-in)]]</f>
        <v>427.49439999999998</v>
      </c>
      <c r="AX113" s="165">
        <f>SQRT(((Table_03[[#This Row],[Sectional Area (in2)]]-(Table_03[[#This Row],[Flange Thickness tf (in)]]*Table_03[[#This Row],[Width w (in)]]*2+Table_03[[#This Row],[Web Thickness tw (in)]]*((Table_03[[#This Row],[Depth h (in)]]-2*Table_03[[#This Row],[Flange Thickness tf (in)]]))))/4)/(1-PI()/4))</f>
        <v>0.25723345739196113</v>
      </c>
      <c r="AY113"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13" s="165"/>
    </row>
    <row r="114" spans="1:54" s="272" customFormat="1" ht="14.4" thickBot="1" x14ac:dyDescent="0.35">
      <c r="A114" s="263" t="s">
        <v>206</v>
      </c>
      <c r="B114" s="264">
        <f t="shared" ref="B114:E115" si="2">B113-$B$1*2</f>
        <v>6.38</v>
      </c>
      <c r="C114" s="264">
        <f t="shared" si="2"/>
        <v>6.08</v>
      </c>
      <c r="D114" s="264">
        <f t="shared" si="2"/>
        <v>0.32</v>
      </c>
      <c r="E114" s="264">
        <f t="shared" si="2"/>
        <v>0.45500000000000002</v>
      </c>
      <c r="F114" s="181">
        <f>4*(Table_03[[#This Row],[Fillet Radius]]^2*(1-PI()/4))+2*Table_03[[#This Row],[Width w (in)]]*Table_03[[#This Row],[Flange Thickness tf (in)]]+Table_03[[#This Row],[Web Thickness tw (in)]]*(Table_03[[#This Row],[Depth h (in)]]-2*Table_03[[#This Row],[Flange Thickness tf (in)]])</f>
        <v>7.34</v>
      </c>
      <c r="G114" s="264"/>
      <c r="H114" s="203">
        <f>2*(1/12*C114*E114^3+C114*E114*((B114/2-E114/2)^2))+
1/12*D114*(B114-2*E114)^3+
4*(1/12*AX114^4+
AX114^2*((AX114/(6-3*PI()/2))-AX114/2)^2-
(PI()*AX114^4/16+PI()*AX114^2/4*((AX114/(6-3*PI()/2))-4*AX114/(3*PI()))^2)+
(AX114^2-PI()*AX114^2/4)*((B114/2-E114-(AX114-AX114/(6-3*PI()/2)))^2))</f>
        <v>53.422881697278385</v>
      </c>
      <c r="I114" s="180">
        <f>2*((1/12)*E114*C114^3)+(1/12)*(B114-2*E114)*D114^3+4*((AX114^2-PI()*AX114^2/4)*(D114/2+(AX114-(AX114/(6-3*PI()/2))))^2)</f>
        <v>17.061597523464567</v>
      </c>
      <c r="J114" s="181">
        <f>F114*((B114/2)-((C114*E114*(E114/2))+(D114*(B114/2-E114)*(E114+(B114/2-E114)/2))+(2*(AX114^2-PI()*AX114^2/4)*(E114+(AX114-AX114/(6-3*PI()/2)))))/(F114/2))</f>
        <v>18.936676402230724</v>
      </c>
      <c r="K114" s="265">
        <f>(Table_03[[#This Row],[Width w (in)]]^2*Table_03[[#This Row],[Flange Thickness tf (in)]])/2+0.25*Table_03[[#This Row],[Web Thickness tw (in)]]^2*(Table_03[[#This Row],[Depth h (in)]]-2*Table_03[[#This Row],[Flange Thickness tf (in)]])</f>
        <v>8.5498879999999993</v>
      </c>
      <c r="L114" s="265">
        <f>Table_03[[#This Row],[Static Parameters Moment of Inertia Ix (in4)]]/(Table_03[[#This Row],[Depth h (in)]]/2)</f>
        <v>16.746984858080999</v>
      </c>
      <c r="M114" s="265">
        <f>Table_03[[#This Row],[Static Parameters Moment of Inertia Iy (in4)]]/(Table_03[[#This Row],[Width w (in)]]/2)</f>
        <v>5.6123676064028176</v>
      </c>
      <c r="N114" s="266">
        <v>50</v>
      </c>
      <c r="O114" s="265">
        <f>SQRT(Table_03[[#This Row],[Static Parameters Moment of Inertia Ix (in4)]]/Table_03[[#This Row],[Sectional Area (in2)]])</f>
        <v>2.6978364956242986</v>
      </c>
      <c r="P114" s="265">
        <f>SQRT(Table_03[[#This Row],[Static Parameters Moment of Inertia Iy (in4)]]/Table_03[[#This Row],[Sectional Area (in2)]])</f>
        <v>1.5246207159315031</v>
      </c>
      <c r="Q114" s="265">
        <f>($B$6*$B$5*12)/Table_03[[#This Row],[ry (in)2]]</f>
        <v>117.76699484914167</v>
      </c>
      <c r="R114" s="265">
        <f>(PI()^2*$B$4)/(Table_03[[#This Row],[KL/ry]]^2)</f>
        <v>20.637189750523095</v>
      </c>
      <c r="S114" s="265">
        <f>IF(Table_03[[#This Row],[Strength (ksi)]]/Table_03[[#This Row],[Fe,y]]&lt;2.25,(0.658^(Table_03[[#This Row],[Strength (ksi)]]/Table_03[[#This Row],[Fe,y]])*Table_03[[#This Row],[Strength (ksi)]]),0.877*Table_03[[#This Row],[Fe,y]])</f>
        <v>18.098815411208754</v>
      </c>
      <c r="T114" s="265">
        <f>Table_03[[#This Row],[Fcr,y]]*Table_03[[#This Row],[Sectional Area (in2)]]</f>
        <v>132.84530511827225</v>
      </c>
      <c r="U114" s="265">
        <f>1.76*Table_03[[#This Row],[ry (in)2]]*SQRT($B$4/Table_03[[#This Row],[Strength (ksi)]])/12</f>
        <v>5.3852669339847301</v>
      </c>
      <c r="V114" s="265">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23.268295078396591</v>
      </c>
      <c r="W114" s="265">
        <f>Table_03[[#This Row],[Depth h (in)]]-Table_03[[#This Row],[Flange Thickness tf (in)]]</f>
        <v>5.9249999999999998</v>
      </c>
      <c r="X114" s="265">
        <f>(Table_03[[#This Row],[Static Parameters Moment of Inertia Iy (in4)]]*Table_03[[#This Row],[ho]]^2)/4</f>
        <v>149.73951113991893</v>
      </c>
      <c r="Y114" s="265">
        <f>SQRT((SQRT(Table_03[[#This Row],[Static Parameters Moment of Inertia Iy (in4)]]*Table_03[[#This Row],[Cw*]])/Table_03[[#This Row],[Static Parameters Elastic Section Modulus Sx (in3)2]]))</f>
        <v>1.7372835688503392</v>
      </c>
      <c r="Z114" s="265">
        <f>(2*Table_03[[#This Row],[Width w (in)]]*Table_03[[#This Row],[Flange Thickness tf (in)]]^3/3)+((Table_03[[#This Row],[Depth h (in)]]-Table_03[[#This Row],[Flange Thickness tf (in)]]*2)*Table_03[[#This Row],[Web Thickness tw (in)]]^3)/3</f>
        <v>0.44155629333333341</v>
      </c>
      <c r="AA114" s="265">
        <f>Table_03[[#This Row],[Width w (in)]]*0.5/Table_03[[#This Row],[Flange Thickness tf (in)]]</f>
        <v>6.6813186813186816</v>
      </c>
      <c r="AB114" s="265">
        <f>0.38*SQRT($B$4/Table_03[[#This Row],[Strength (ksi)]])</f>
        <v>9.1516118798821449</v>
      </c>
      <c r="AC114" s="265">
        <f>1*SQRT($B$4/Table_03[[#This Row],[Strength (ksi)]])</f>
        <v>24.083189157584592</v>
      </c>
      <c r="AD114" s="265">
        <f>(PI()^2*$B$4/(12*$B$5/Table_03[[#This Row],[rts]])^2)*SQRT(1+0.078*(Table_03[[#This Row],[J*]]/(Table_03[[#This Row],[Static Parameters Elastic Section Modulus Sx (in3)2]]*Table_03[[#This Row],[ho]])*$B$4/(12*$B$5/Table_03[[#This Row],[rts]])^2))</f>
        <v>118.41521442184377</v>
      </c>
      <c r="AE114" s="265">
        <f>0.69*$B$4/Table_03[[#This Row],[b/t]]^2</f>
        <v>448.2524941568559</v>
      </c>
      <c r="AF114" s="267">
        <f>Table_03[[#This Row],[Strength (ksi)]]*Table_03[[#This Row],[Static Parameters Plastic Section Modulus Zx (in3)]]</f>
        <v>946.83382011153617</v>
      </c>
      <c r="AG114" s="265">
        <f>Table_03[[#This Row],[Mp (k-in)]]-(Table_03[[#This Row],[Mp (k-in)]]-0.7*Table_03[[#This Row],[Strength (ksi)]]*Table_03[[#This Row],[Static Parameters Elastic Section Modulus Sx (in3)2]])*((Table_03[[#This Row],[b/t]]-Table_03[[#This Row],[λpf]])/(Table_03[[#This Row],[λrf]]-Table_03[[#This Row],[λpf]]))</f>
        <v>1006.5065815166054</v>
      </c>
      <c r="AH114" s="268">
        <f>0.9*$B$4*Table_03[[#This Row],[kc]]*Table_03[[#This Row],[Static Parameters Elastic Section Modulus Sx (in3)2]]/Table_03[[#This Row],[b/t]]^2</f>
        <v>7441.6005345702388</v>
      </c>
      <c r="AI114" s="269" t="str">
        <f>IF(Table_03[[#This Row],[b/t]]&lt;Table_03[[#This Row],[λpf]],"Compact",IF(AND(Table_03[[#This Row],[b/t]]&gt;Table_03[[#This Row],[λpf]],Table_03[[#This Row],[λrf]]&gt;Table_03[[#This Row],[b/t]]),"Non-Compact","Slender"))</f>
        <v>Compact</v>
      </c>
      <c r="AJ114" s="270">
        <f>IF(Table_03[[#This Row],[Controlling LBx]]="Compact",Table_03[[#This Row],[Mp (k-in)]],IF(Table_03[[#This Row],[Controlling LBx]]="Non-Compact",Table_03[[#This Row],[Mnlb,Non-Compact (k-in)]],IF(Table_03[[#This Row],[Controlling LBx]]="Slender",Table_03[[#This Row],[Mnlb,slender (k-in)]],"ERROR")))</f>
        <v>946.83382011153617</v>
      </c>
      <c r="AK114" s="267">
        <f>Table_03[[#This Row],[Mp (k-in)]]-(Table_03[[#This Row],[Mp (k-in)]]-0.7*Table_03[[#This Row],[Strength (ksi)]]*Table_03[[#This Row],[Static Parameters Elastic Section Modulus Sx (in3)2]])*(($B$5-Table_03[[#This Row],[Lp (ft)]])/(Table_03[[#This Row],[Lr]]-Table_03[[#This Row],[Lp (ft)]]))</f>
        <v>911.74450616402339</v>
      </c>
      <c r="AL114" s="268">
        <f>Table_03[[#This Row],[Fcrx]]*Table_03[[#This Row],[Static Parameters Elastic Section Modulus Sx (in3)2]]</f>
        <v>1983.0978028890324</v>
      </c>
      <c r="AM114" s="269" t="str">
        <f>IF($B$5&lt;Table_03[[#This Row],[Lp (ft)]],"Yielding Controls",IF(AND($B$5&gt;Table_03[[#This Row],[Lp (ft)]],Table_03[[#This Row],[Lr]]&gt;$B$5),"Mltb,p Controls","Mltb,r Controls"))</f>
        <v>Mltb,p Controls</v>
      </c>
      <c r="AN114" s="270">
        <f>IF(Table_03[[#This Row],[Controlling LTB]]="Yielding Controls",Table_03[[#This Row],[Mp (k-in)]],IF(Table_03[[#This Row],[Controlling LTB]]="Mltb,p Controls",Table_03[[#This Row],[Mnltbp (k-in)]],IF(Table_03[[#This Row],[Controlling LTB]]="Mltb,r Controls",Table_03[[#This Row],[Mnltbr (k-in)]],"ERROR")))</f>
        <v>911.74450616402339</v>
      </c>
      <c r="AO114" s="267">
        <f>MIN(Table_03[[#This Row],[Strength (ksi)]]*Table_03[[#This Row],[Static Parameters Plastic Section Modulus Zy (in3)]],1.6*Table_03[[#This Row],[Strength (ksi)]]*Table_03[[#This Row],[Static Parameters Elastic Section Modulus Sy (in3)3]])</f>
        <v>427.49439999999998</v>
      </c>
      <c r="AP114" s="265">
        <f>MIN(Table_03[[#This Row],[Mny (k-in)]],Table_03[[#This Row],[Mny (k-in)]]-(Table_03[[#This Row],[Mny (k-in)]]-0.7*Table_03[[#This Row],[Static Parameters Elastic Section Modulus Sy (in3)3]]*Table_03[[#This Row],[Strength (ksi)]])*((Table_03[[#This Row],[b/t]]-Table_03[[#This Row],[λpf]])/(Table_03[[#This Row],[λrf]]-Table_03[[#This Row],[λpf]])))</f>
        <v>427.49439999999998</v>
      </c>
      <c r="AQ114" s="268">
        <f>MIN(Table_03[[#This Row],[Mny (k-in)]],Table_03[[#This Row],[Fcry]]*Table_03[[#This Row],[Static Parameters Elastic Section Modulus Sy (in3)3]])</f>
        <v>427.49439999999998</v>
      </c>
      <c r="AR114" s="269" t="str">
        <f>IF(Table_03[[#This Row],[b/t]]&lt;Table_03[[#This Row],[λpf]],"Compact",IF(AND(Table_03[[#This Row],[b/t]]&gt;Table_03[[#This Row],[λpf]],Table_03[[#This Row],[λrf]]&gt;Table_03[[#This Row],[b/t]]),"Non-Compact","Slender"))</f>
        <v>Compact</v>
      </c>
      <c r="AS114" s="270">
        <f>IF(Table_03[[#This Row],[Controlling Lby]]="Compact",Table_03[[#This Row],[Mny (k-in)]],IF(Table_03[[#This Row],[Controlling Lby]]="Non-Compact",Table_03[[#This Row],[Mlby,Non-Compact (k-in)]],IF(Table_03[[#This Row],[Controlling Lby]]="Slender",Table_03[[#This Row],[Mlby,Slender (k-in)]],"ERROR")))</f>
        <v>427.49439999999998</v>
      </c>
      <c r="AT114" s="267">
        <f>MIN(Table_03[[#This Row],[LBx]],Table_03[[#This Row],[LTB]],Table_03[[#This Row],[Mp (k-in)]])</f>
        <v>911.74450616402339</v>
      </c>
      <c r="AU114" s="265">
        <f>Table_03[[#This Row],[Mp (k-in)]]</f>
        <v>946.83382011153617</v>
      </c>
      <c r="AV114" s="265">
        <f>MIN(Table_03[[#This Row],[LBy]],Table_03[[#This Row],[Mny (k-in)]])</f>
        <v>427.49439999999998</v>
      </c>
      <c r="AW114" s="271">
        <f>Table_03[[#This Row],[Mny (k-in)]]</f>
        <v>427.49439999999998</v>
      </c>
      <c r="AX114" s="165">
        <f>AX113+$B$1</f>
        <v>0.25723345739196113</v>
      </c>
      <c r="AY114"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14" s="165"/>
    </row>
    <row r="115" spans="1:54" ht="14.4" thickBot="1" x14ac:dyDescent="0.35">
      <c r="A115" s="188" t="s">
        <v>207</v>
      </c>
      <c r="B115" s="189">
        <f t="shared" si="2"/>
        <v>6.38</v>
      </c>
      <c r="C115" s="189">
        <f t="shared" si="2"/>
        <v>6.08</v>
      </c>
      <c r="D115" s="189">
        <f t="shared" si="2"/>
        <v>0.32</v>
      </c>
      <c r="E115" s="189">
        <f t="shared" si="2"/>
        <v>0.45500000000000002</v>
      </c>
      <c r="F115" s="190">
        <f>4*(Table_03[[#This Row],[Fillet Radius]]^2*(1-PI()/4))+2*Table_03[[#This Row],[Width w (in)]]*Table_03[[#This Row],[Flange Thickness tf (in)]]+Table_03[[#This Row],[Web Thickness tw (in)]]*(Table_03[[#This Row],[Depth h (in)]]-2*Table_03[[#This Row],[Flange Thickness tf (in)]])</f>
        <v>7.3590383389196763</v>
      </c>
      <c r="G115" s="189"/>
      <c r="H115" s="203">
        <f>2*(1/12*C115*E115^3+C115*E115*((B115/2-E115/2)^2))+
1/12*D115*(B115-2*E115)^3+
4*(1/12*AX115^4+
AX115^2*((AX115/(6-3*PI()/2))-AX115/2)^2-
(PI()*AX115^4/16+PI()*AX115^2/4*((AX115/(6-3*PI()/2))-4*AX115/(3*PI()))^2)+
(AX115^2-PI()*AX115^2/4)*((B115/2-E115-(AX115-AX115/(6-3*PI()/2)))^2))</f>
        <v>53.553913615068119</v>
      </c>
      <c r="I115" s="180">
        <f>2*((1/12)*E115*C115^3)+(1/12)*(B115-2*E115)*D115^3+4*((AX115^2-PI()*AX115^2/4)*(D115/2+(AX115-(AX115/(6-3*PI()/2))))^2)</f>
        <v>17.062798555911566</v>
      </c>
      <c r="J115" s="181">
        <f>F115*((B115/2)-((C115*E115*(E115/2))+(D115*(B115/2-E115)*(E115+(B115/2-E115)/2))+(2*(AX115^2-PI()*AX115^2/4)*(E115+(AX115-AX115/(6-3*PI()/2)))))/(F115/2))</f>
        <v>18.986974765734413</v>
      </c>
      <c r="K115" s="190">
        <f>(Table_03[[#This Row],[Width w (in)]]^2*Table_03[[#This Row],[Flange Thickness tf (in)]])/2+0.25*Table_03[[#This Row],[Web Thickness tw (in)]]^2*(Table_03[[#This Row],[Depth h (in)]]-2*Table_03[[#This Row],[Flange Thickness tf (in)]])</f>
        <v>8.5498879999999993</v>
      </c>
      <c r="L115" s="190">
        <f>Table_03[[#This Row],[Static Parameters Moment of Inertia Ix (in4)]]/(Table_03[[#This Row],[Depth h (in)]]/2)</f>
        <v>16.788060694378721</v>
      </c>
      <c r="M115" s="190">
        <f>Table_03[[#This Row],[Static Parameters Moment of Inertia Iy (in4)]]/(Table_03[[#This Row],[Width w (in)]]/2)</f>
        <v>5.6127626828656467</v>
      </c>
      <c r="N115" s="191">
        <v>50</v>
      </c>
      <c r="O115" s="169">
        <f>SQRT(Table_03[[#This Row],[Static Parameters Moment of Inertia Ix (in4)]]/Table_03[[#This Row],[Sectional Area (in2)]])</f>
        <v>2.6976467177417058</v>
      </c>
      <c r="P115" s="190">
        <f>SQRT(Table_03[[#This Row],[Static Parameters Moment of Inertia Iy (in4)]]/Table_03[[#This Row],[Sectional Area (in2)]])</f>
        <v>1.5227008809692013</v>
      </c>
      <c r="Q115" s="190">
        <f>($B$6*$B$5*12)/Table_03[[#This Row],[ry (in)2]]</f>
        <v>117.91547653516571</v>
      </c>
      <c r="R115" s="190">
        <f>(PI()^2*$B$4)/(Table_03[[#This Row],[KL/ry]]^2)</f>
        <v>20.58524889360184</v>
      </c>
      <c r="S115" s="190">
        <f>IF(Table_03[[#This Row],[Strength (ksi)]]/Table_03[[#This Row],[Fe,y]]&lt;2.25,(0.658^(Table_03[[#This Row],[Strength (ksi)]]/Table_03[[#This Row],[Fe,y]])*Table_03[[#This Row],[Strength (ksi)]]),0.877*Table_03[[#This Row],[Fe,y]])</f>
        <v>18.053263279688814</v>
      </c>
      <c r="T115" s="190">
        <f>Table_03[[#This Row],[Fcr,y]]*Table_03[[#This Row],[Sectional Area (in2)]]</f>
        <v>132.85465661784076</v>
      </c>
      <c r="U115" s="190">
        <f>1.76*Table_03[[#This Row],[ry (in)2]]*SQRT($B$4/Table_03[[#This Row],[Strength (ksi)]])/12</f>
        <v>5.3784856908642906</v>
      </c>
      <c r="V11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23.217386786981503</v>
      </c>
      <c r="W115" s="190">
        <f>Table_03[[#This Row],[Depth h (in)]]-Table_03[[#This Row],[Flange Thickness tf (in)]]</f>
        <v>5.9249999999999998</v>
      </c>
      <c r="X115" s="190">
        <f>(Table_03[[#This Row],[Static Parameters Moment of Inertia Iy (in4)]]*Table_03[[#This Row],[ho]]^2)/4</f>
        <v>149.75005188859322</v>
      </c>
      <c r="Y115" s="190">
        <f>SQRT((SQRT(Table_03[[#This Row],[Static Parameters Moment of Inertia Iy (in4)]]*Table_03[[#This Row],[Cw*]])/Table_03[[#This Row],[Static Parameters Elastic Section Modulus Sx (in3)2]]))</f>
        <v>1.7352180072761656</v>
      </c>
      <c r="Z115" s="190">
        <f>(2*Table_03[[#This Row],[Width w (in)]]*Table_03[[#This Row],[Flange Thickness tf (in)]]^3/3)+((Table_03[[#This Row],[Depth h (in)]]-Table_03[[#This Row],[Flange Thickness tf (in)]]*2)*Table_03[[#This Row],[Web Thickness tw (in)]]^3)/3</f>
        <v>0.44155629333333341</v>
      </c>
      <c r="AA115" s="190">
        <f>Table_03[[#This Row],[Width w (in)]]*0.5/Table_03[[#This Row],[Flange Thickness tf (in)]]</f>
        <v>6.6813186813186816</v>
      </c>
      <c r="AB115" s="190">
        <f>0.38*SQRT($B$4/Table_03[[#This Row],[Strength (ksi)]])</f>
        <v>9.1516118798821449</v>
      </c>
      <c r="AC115" s="190">
        <f>1*SQRT($B$4/Table_03[[#This Row],[Strength (ksi)]])</f>
        <v>24.083189157584592</v>
      </c>
      <c r="AD115" s="190">
        <f>(PI()^2*$B$4/(12*$B$5/Table_03[[#This Row],[rts]])^2)*SQRT(1+0.078*(Table_03[[#This Row],[J*]]/(Table_03[[#This Row],[Static Parameters Elastic Section Modulus Sx (in3)2]]*Table_03[[#This Row],[ho]])*$B$4/(12*$B$5/Table_03[[#This Row],[rts]])^2))</f>
        <v>118.13262211941057</v>
      </c>
      <c r="AE115" s="190">
        <f>0.69*$B$4/Table_03[[#This Row],[b/t]]^2</f>
        <v>448.2524941568559</v>
      </c>
      <c r="AF115" s="192">
        <f>Table_03[[#This Row],[Strength (ksi)]]*Table_03[[#This Row],[Static Parameters Plastic Section Modulus Zx (in3)]]</f>
        <v>949.34873828672062</v>
      </c>
      <c r="AG115" s="190">
        <f>Table_03[[#This Row],[Mp (k-in)]]-(Table_03[[#This Row],[Mp (k-in)]]-0.7*Table_03[[#This Row],[Strength (ksi)]]*Table_03[[#This Row],[Static Parameters Elastic Section Modulus Sx (in3)2]])*((Table_03[[#This Row],[b/t]]-Table_03[[#This Row],[λpf]])/(Table_03[[#This Row],[λrf]]-Table_03[[#This Row],[λpf]]))</f>
        <v>1009.1997231739782</v>
      </c>
      <c r="AH115" s="193">
        <f>0.9*$B$4*Table_03[[#This Row],[kc]]*Table_03[[#This Row],[Static Parameters Elastic Section Modulus Sx (in3)2]]/Table_03[[#This Row],[b/t]]^2</f>
        <v>7459.8527732831399</v>
      </c>
      <c r="AI115" s="194" t="str">
        <f>IF(Table_03[[#This Row],[b/t]]&lt;Table_03[[#This Row],[λpf]],"Compact",IF(AND(Table_03[[#This Row],[b/t]]&gt;Table_03[[#This Row],[λpf]],Table_03[[#This Row],[λrf]]&gt;Table_03[[#This Row],[b/t]]),"Non-Compact","Slender"))</f>
        <v>Compact</v>
      </c>
      <c r="AJ115" s="195">
        <f>IF(Table_03[[#This Row],[Controlling LBx]]="Compact",Table_03[[#This Row],[Mp (k-in)]],IF(Table_03[[#This Row],[Controlling LBx]]="Non-Compact",Table_03[[#This Row],[Mnlb,Non-Compact (k-in)]],IF(Table_03[[#This Row],[Controlling LBx]]="Slender",Table_03[[#This Row],[Mnlb,slender (k-in)]],"ERROR")))</f>
        <v>949.34873828672062</v>
      </c>
      <c r="AK115" s="192">
        <f>Table_03[[#This Row],[Mp (k-in)]]-(Table_03[[#This Row],[Mp (k-in)]]-0.7*Table_03[[#This Row],[Strength (ksi)]]*Table_03[[#This Row],[Static Parameters Elastic Section Modulus Sx (in3)2]])*(($B$5-Table_03[[#This Row],[Lp (ft)]])/(Table_03[[#This Row],[Lr]]-Table_03[[#This Row],[Lp (ft)]]))</f>
        <v>913.93004492184627</v>
      </c>
      <c r="AL115" s="196">
        <f>Table_03[[#This Row],[Fcrx]]*Table_03[[#This Row],[Static Parameters Elastic Section Modulus Sx (in3)2]]</f>
        <v>1983.2176301267709</v>
      </c>
      <c r="AM115" s="197" t="str">
        <f>IF($B$5&lt;Table_03[[#This Row],[Lp (ft)]],"Yielding Controls",IF(AND($B$5&gt;Table_03[[#This Row],[Lp (ft)]],Table_03[[#This Row],[Lr]]&gt;$B$5),"Mltb,p Controls","Mltb,r Controls"))</f>
        <v>Mltb,p Controls</v>
      </c>
      <c r="AN115" s="198">
        <f>IF(Table_03[[#This Row],[Controlling LTB]]="Yielding Controls",Table_03[[#This Row],[Mp (k-in)]],IF(Table_03[[#This Row],[Controlling LTB]]="Mltb,p Controls",Table_03[[#This Row],[Mnltbp (k-in)]],IF(Table_03[[#This Row],[Controlling LTB]]="Mltb,r Controls",Table_03[[#This Row],[Mnltbr (k-in)]],"ERROR")))</f>
        <v>913.93004492184627</v>
      </c>
      <c r="AO115" s="199">
        <f>MIN(Table_03[[#This Row],[Strength (ksi)]]*Table_03[[#This Row],[Static Parameters Plastic Section Modulus Zy (in3)]],1.6*Table_03[[#This Row],[Strength (ksi)]]*Table_03[[#This Row],[Static Parameters Elastic Section Modulus Sy (in3)3]])</f>
        <v>427.49439999999998</v>
      </c>
      <c r="AP115" s="169">
        <f>MIN(Table_03[[#This Row],[Mny (k-in)]],Table_03[[#This Row],[Mny (k-in)]]-(Table_03[[#This Row],[Mny (k-in)]]-0.7*Table_03[[#This Row],[Static Parameters Elastic Section Modulus Sy (in3)3]]*Table_03[[#This Row],[Strength (ksi)]])*((Table_03[[#This Row],[b/t]]-Table_03[[#This Row],[λpf]])/(Table_03[[#This Row],[λrf]]-Table_03[[#This Row],[λpf]])))</f>
        <v>427.49439999999998</v>
      </c>
      <c r="AQ115" s="196">
        <f>MIN(Table_03[[#This Row],[Mny (k-in)]],Table_03[[#This Row],[Fcry]]*Table_03[[#This Row],[Static Parameters Elastic Section Modulus Sy (in3)3]])</f>
        <v>427.49439999999998</v>
      </c>
      <c r="AR115" s="197" t="str">
        <f>IF(Table_03[[#This Row],[b/t]]&lt;Table_03[[#This Row],[λpf]],"Compact",IF(AND(Table_03[[#This Row],[b/t]]&gt;Table_03[[#This Row],[λpf]],Table_03[[#This Row],[λrf]]&gt;Table_03[[#This Row],[b/t]]),"Non-Compact","Slender"))</f>
        <v>Compact</v>
      </c>
      <c r="AS115" s="198">
        <f>IF(Table_03[[#This Row],[Controlling Lby]]="Compact",Table_03[[#This Row],[Mny (k-in)]],IF(Table_03[[#This Row],[Controlling Lby]]="Non-Compact",Table_03[[#This Row],[Mlby,Non-Compact (k-in)]],IF(Table_03[[#This Row],[Controlling Lby]]="Slender",Table_03[[#This Row],[Mlby,Slender (k-in)]],"ERROR")))</f>
        <v>427.49439999999998</v>
      </c>
      <c r="AT115" s="199">
        <f>MIN(Table_03[[#This Row],[LBx]],Table_03[[#This Row],[LTB]],Table_03[[#This Row],[Mp (k-in)]])</f>
        <v>913.93004492184627</v>
      </c>
      <c r="AU115" s="169">
        <f>Table_03[[#This Row],[Mp (k-in)]]</f>
        <v>949.34873828672062</v>
      </c>
      <c r="AV115" s="169">
        <f>MIN(Table_03[[#This Row],[LBy]],Table_03[[#This Row],[Mny (k-in)]])</f>
        <v>427.49439999999998</v>
      </c>
      <c r="AW115" s="200">
        <f>Table_03[[#This Row],[Mny (k-in)]]</f>
        <v>427.49439999999998</v>
      </c>
      <c r="AX115" s="165">
        <f>AX113+$B$3</f>
        <v>0.29723345739196111</v>
      </c>
      <c r="AY115"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15" s="165"/>
      <c r="BB115" s="164">
        <f>Table_03[[#This Row],[Controlling Mnx @ AG (k-in)]]*12000</f>
        <v>10967160.539062155</v>
      </c>
    </row>
    <row r="116" spans="1:54" ht="14.4" thickBot="1" x14ac:dyDescent="0.35">
      <c r="A116" s="201" t="s">
        <v>208</v>
      </c>
      <c r="B116" s="202">
        <v>7.89</v>
      </c>
      <c r="C116" s="202">
        <v>3.94</v>
      </c>
      <c r="D116" s="202">
        <v>0.17</v>
      </c>
      <c r="E116" s="202">
        <v>0.20499999999999999</v>
      </c>
      <c r="F116" s="203">
        <v>2.9</v>
      </c>
      <c r="G116" s="204">
        <v>10</v>
      </c>
      <c r="H116" s="203">
        <v>30.3</v>
      </c>
      <c r="I116" s="203">
        <v>2.1</v>
      </c>
      <c r="J116" s="203">
        <f>Table_03[[#This Row],[Width w (in)]]*Table_03[[#This Row],[Flange Thickness tf (in)]]*(Table_03[[#This Row],[Depth h (in)]]-Table_03[[#This Row],[Flange Thickness tf (in)]])+0.25*Table_03[[#This Row],[Web Thickness tw (in)]]*(Table_03[[#This Row],[Depth h (in)]]-2*Table_03[[#This Row],[Flange Thickness tf (in)]])^2</f>
        <v>8.5850664999999999</v>
      </c>
      <c r="K116" s="203">
        <f>(Table_03[[#This Row],[Width w (in)]]^2*Table_03[[#This Row],[Flange Thickness tf (in)]])/2+0.25*Table_03[[#This Row],[Web Thickness tw (in)]]^2*(Table_03[[#This Row],[Depth h (in)]]-2*Table_03[[#This Row],[Flange Thickness tf (in)]])</f>
        <v>1.6452119999999999</v>
      </c>
      <c r="L116" s="203">
        <v>7.8</v>
      </c>
      <c r="M116" s="203">
        <v>1.1000000000000001</v>
      </c>
      <c r="N116" s="205">
        <v>50</v>
      </c>
      <c r="O116" s="206">
        <f>SQRT(Table_03[[#This Row],[Static Parameters Moment of Inertia Ix (in4)]]/Table_03[[#This Row],[Sectional Area (in2)]])</f>
        <v>3.2323792880893429</v>
      </c>
      <c r="P116" s="203">
        <f>SQRT(Table_03[[#This Row],[Static Parameters Moment of Inertia Iy (in4)]]/Table_03[[#This Row],[Sectional Area (in2)]])</f>
        <v>0.85096294339676315</v>
      </c>
      <c r="Q116" s="203">
        <f>($B$6*$B$5*12)/Table_03[[#This Row],[ry (in)2]]</f>
        <v>210.99626181522746</v>
      </c>
      <c r="R116" s="203">
        <f>(PI()^2*$B$4)/(Table_03[[#This Row],[KL/ry]]^2)</f>
        <v>6.4290709887710529</v>
      </c>
      <c r="S116" s="203">
        <f>IF(Table_03[[#This Row],[Strength (ksi)]]/Table_03[[#This Row],[Fe,y]]&lt;2.25,(0.658^(Table_03[[#This Row],[Strength (ksi)]]/Table_03[[#This Row],[Fe,y]])*Table_03[[#This Row],[Strength (ksi)]]),0.877*Table_03[[#This Row],[Fe,y]])</f>
        <v>5.6382952571522136</v>
      </c>
      <c r="T116" s="203">
        <f>Table_03[[#This Row],[Fcr,y]]*Table_03[[#This Row],[Sectional Area (in2)]]</f>
        <v>16.351056245741418</v>
      </c>
      <c r="U116" s="203">
        <f>1.76*Table_03[[#This Row],[ry (in)2]]*SQRT($B$4/Table_03[[#This Row],[Strength (ksi)]])/12</f>
        <v>3.0057722246814822</v>
      </c>
      <c r="V11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8.4122590973348199</v>
      </c>
      <c r="W116" s="203">
        <f>Table_03[[#This Row],[Depth h (in)]]-Table_03[[#This Row],[Flange Thickness tf (in)]]</f>
        <v>7.6849999999999996</v>
      </c>
      <c r="X116" s="203">
        <f>(Table_03[[#This Row],[Static Parameters Moment of Inertia Iy (in4)]]*Table_03[[#This Row],[ho]]^2)/4</f>
        <v>31.006093124999996</v>
      </c>
      <c r="Y116" s="203">
        <f>SQRT((SQRT(Table_03[[#This Row],[Static Parameters Moment of Inertia Iy (in4)]]*Table_03[[#This Row],[Cw*]])/Table_03[[#This Row],[Static Parameters Elastic Section Modulus Sx (in3)2]]))</f>
        <v>1.017113184836983</v>
      </c>
      <c r="Z116" s="203">
        <f>(2*Table_03[[#This Row],[Width w (in)]]*Table_03[[#This Row],[Flange Thickness tf (in)]]^3/3)+((Table_03[[#This Row],[Depth h (in)]]-Table_03[[#This Row],[Flange Thickness tf (in)]]*2)*Table_03[[#This Row],[Web Thickness tw (in)]]^3)/3</f>
        <v>3.487880833333333E-2</v>
      </c>
      <c r="AA116" s="203">
        <f>Table_03[[#This Row],[Width w (in)]]*0.5/Table_03[[#This Row],[Flange Thickness tf (in)]]</f>
        <v>9.6097560975609753</v>
      </c>
      <c r="AB116" s="203">
        <f>0.38*SQRT($B$4/Table_03[[#This Row],[Strength (ksi)]])</f>
        <v>9.1516118798821449</v>
      </c>
      <c r="AC116" s="203">
        <f>1*SQRT($B$4/Table_03[[#This Row],[Strength (ksi)]])</f>
        <v>24.083189157584592</v>
      </c>
      <c r="AD116" s="203">
        <f>(PI()^2*$B$4/(12*$B$5/Table_03[[#This Row],[rts]])^2)*SQRT(1+0.078*(Table_03[[#This Row],[J*]]/(Table_03[[#This Row],[Static Parameters Elastic Section Modulus Sx (in3)2]]*Table_03[[#This Row],[ho]])*$B$4/(12*$B$5/Table_03[[#This Row],[rts]])^2))</f>
        <v>40.508347262040878</v>
      </c>
      <c r="AE116" s="203">
        <f>0.69*$B$4/Table_03[[#This Row],[b/t]]^2</f>
        <v>216.68176196243141</v>
      </c>
      <c r="AF116" s="207">
        <f>Table_03[[#This Row],[Strength (ksi)]]*Table_03[[#This Row],[Static Parameters Plastic Section Modulus Zx (in3)]]</f>
        <v>429.25332500000002</v>
      </c>
      <c r="AG116" s="203">
        <f>Table_03[[#This Row],[Mp (k-in)]]-(Table_03[[#This Row],[Mp (k-in)]]-0.7*Table_03[[#This Row],[Strength (ksi)]]*Table_03[[#This Row],[Static Parameters Elastic Section Modulus Sx (in3)2]])*((Table_03[[#This Row],[b/t]]-Table_03[[#This Row],[λpf]])/(Table_03[[#This Row],[λrf]]-Table_03[[#This Row],[λpf]]))</f>
        <v>424.45901854392707</v>
      </c>
      <c r="AH116" s="208">
        <f>0.9*$B$4*Table_03[[#This Row],[kc]]*Table_03[[#This Row],[Static Parameters Elastic Section Modulus Sx (in3)2]]/Table_03[[#This Row],[b/t]]^2</f>
        <v>1294.3637161982952</v>
      </c>
      <c r="AI116" s="209" t="str">
        <f>IF(Table_03[[#This Row],[b/t]]&lt;Table_03[[#This Row],[λpf]],"Compact",IF(AND(Table_03[[#This Row],[b/t]]&gt;Table_03[[#This Row],[λpf]],Table_03[[#This Row],[λrf]]&gt;Table_03[[#This Row],[b/t]]),"Non-Compact","Slender"))</f>
        <v>Non-Compact</v>
      </c>
      <c r="AJ116" s="210">
        <f>IF(Table_03[[#This Row],[Controlling LBx]]="Compact",Table_03[[#This Row],[Mp (k-in)]],IF(Table_03[[#This Row],[Controlling LBx]]="Non-Compact",Table_03[[#This Row],[Mnlb,Non-Compact (k-in)]],IF(Table_03[[#This Row],[Controlling LBx]]="Slender",Table_03[[#This Row],[Mnlb,slender (k-in)]],"ERROR")))</f>
        <v>424.45901854392707</v>
      </c>
      <c r="AK116" s="207">
        <f>Table_03[[#This Row],[Mp (k-in)]]-(Table_03[[#This Row],[Mp (k-in)]]-0.7*Table_03[[#This Row],[Strength (ksi)]]*Table_03[[#This Row],[Static Parameters Elastic Section Modulus Sx (in3)2]])*(($B$5-Table_03[[#This Row],[Lp (ft)]])/(Table_03[[#This Row],[Lr]]-Table_03[[#This Row],[Lp (ft)]]))</f>
        <v>310.20318181339667</v>
      </c>
      <c r="AL116" s="211">
        <f>Table_03[[#This Row],[Fcrx]]*Table_03[[#This Row],[Static Parameters Elastic Section Modulus Sx (in3)2]]</f>
        <v>315.96510864391882</v>
      </c>
      <c r="AM116" s="212" t="str">
        <f>IF($B$5&lt;Table_03[[#This Row],[Lp (ft)]],"Yielding Controls",IF(AND($B$5&gt;Table_03[[#This Row],[Lp (ft)]],Table_03[[#This Row],[Lr]]&gt;$B$5),"Mltb,p Controls","Mltb,r Controls"))</f>
        <v>Mltb,p Controls</v>
      </c>
      <c r="AN116" s="213">
        <f>IF(Table_03[[#This Row],[Controlling LTB]]="Yielding Controls",Table_03[[#This Row],[Mp (k-in)]],IF(Table_03[[#This Row],[Controlling LTB]]="Mltb,p Controls",Table_03[[#This Row],[Mnltbp (k-in)]],IF(Table_03[[#This Row],[Controlling LTB]]="Mltb,r Controls",Table_03[[#This Row],[Mnltbr (k-in)]],"ERROR")))</f>
        <v>310.20318181339667</v>
      </c>
      <c r="AO116" s="214">
        <f>MIN(Table_03[[#This Row],[Strength (ksi)]]*Table_03[[#This Row],[Static Parameters Plastic Section Modulus Zy (in3)]],1.6*Table_03[[#This Row],[Strength (ksi)]]*Table_03[[#This Row],[Static Parameters Elastic Section Modulus Sy (in3)3]])</f>
        <v>82.260599999999997</v>
      </c>
      <c r="AP116" s="206">
        <f>MIN(Table_03[[#This Row],[Mny (k-in)]],Table_03[[#This Row],[Mny (k-in)]]-(Table_03[[#This Row],[Mny (k-in)]]-0.7*Table_03[[#This Row],[Static Parameters Elastic Section Modulus Sy (in3)3]]*Table_03[[#This Row],[Strength (ksi)]])*((Table_03[[#This Row],[b/t]]-Table_03[[#This Row],[λpf]])/(Table_03[[#This Row],[λrf]]-Table_03[[#This Row],[λpf]])))</f>
        <v>80.917897519258375</v>
      </c>
      <c r="AQ116" s="211">
        <f>MIN(Table_03[[#This Row],[Mny (k-in)]],Table_03[[#This Row],[Fcry]]*Table_03[[#This Row],[Static Parameters Elastic Section Modulus Sy (in3)3]])</f>
        <v>82.260599999999997</v>
      </c>
      <c r="AR116" s="212" t="str">
        <f>IF(Table_03[[#This Row],[b/t]]&lt;Table_03[[#This Row],[λpf]],"Compact",IF(AND(Table_03[[#This Row],[b/t]]&gt;Table_03[[#This Row],[λpf]],Table_03[[#This Row],[λrf]]&gt;Table_03[[#This Row],[b/t]]),"Non-Compact","Slender"))</f>
        <v>Non-Compact</v>
      </c>
      <c r="AS116" s="213">
        <f>IF(Table_03[[#This Row],[Controlling Lby]]="Compact",Table_03[[#This Row],[Mny (k-in)]],IF(Table_03[[#This Row],[Controlling Lby]]="Non-Compact",Table_03[[#This Row],[Mlby,Non-Compact (k-in)]],IF(Table_03[[#This Row],[Controlling Lby]]="Slender",Table_03[[#This Row],[Mlby,Slender (k-in)]],"ERROR")))</f>
        <v>80.917897519258375</v>
      </c>
      <c r="AT116" s="214">
        <f>MIN(Table_03[[#This Row],[LBx]],Table_03[[#This Row],[LTB]],Table_03[[#This Row],[Mp (k-in)]])</f>
        <v>310.20318181339667</v>
      </c>
      <c r="AU116" s="206">
        <f>Table_03[[#This Row],[Mp (k-in)]]</f>
        <v>429.25332500000002</v>
      </c>
      <c r="AV116" s="206">
        <f>MIN(Table_03[[#This Row],[LBy]],Table_03[[#This Row],[Mny (k-in)]])</f>
        <v>80.917897519258375</v>
      </c>
      <c r="AW116" s="215">
        <f>Table_03[[#This Row],[Mny (k-in)]]</f>
        <v>82.260599999999997</v>
      </c>
      <c r="AX116" s="165">
        <f>SQRT(((Table_03[[#This Row],[Sectional Area (in2)]]-(Table_03[[#This Row],[Flange Thickness tf (in)]]*Table_03[[#This Row],[Width w (in)]]*2+Table_03[[#This Row],[Web Thickness tw (in)]]*((Table_03[[#This Row],[Depth h (in)]]-2*Table_03[[#This Row],[Flange Thickness tf (in)]]))))/4)/(1-PI()/4))</f>
        <v>0.12306228175423092</v>
      </c>
      <c r="AY116" s="165">
        <f>IF(4/SQRT((Table_03[[#This Row],[Depth h (in)]]-Table_03[[#This Row],[Flange Thickness tf (in)]]*2)/Table_03[[#This Row],[Web Thickness tw (in)]])&lt;0.35,0.35,IF(4/SQRT(Table_03[[#This Row],[Depth h (in)]]/Table_03[[#This Row],[Web Thickness tw (in)]])&gt;0.76,0.76,4/SQRT(Table_03[[#This Row],[Depth h (in)]]/Table_03[[#This Row],[Web Thickness tw (in)]])))</f>
        <v>0.58714578891430125</v>
      </c>
      <c r="AZ116" s="165"/>
    </row>
    <row r="117" spans="1:54" ht="14.4" thickBot="1" x14ac:dyDescent="0.35">
      <c r="A117" s="179" t="s">
        <v>209</v>
      </c>
      <c r="B117" s="180">
        <v>7.93</v>
      </c>
      <c r="C117" s="180">
        <v>6.4950000000000001</v>
      </c>
      <c r="D117" s="180">
        <v>0.245</v>
      </c>
      <c r="E117" s="180">
        <v>0.4</v>
      </c>
      <c r="F117" s="181">
        <v>7.1</v>
      </c>
      <c r="G117" s="180">
        <v>24</v>
      </c>
      <c r="H117" s="180">
        <v>82.8</v>
      </c>
      <c r="I117" s="180">
        <v>18.3</v>
      </c>
      <c r="J117" s="181">
        <f>Table_03[[#This Row],[Width w (in)]]*Table_03[[#This Row],[Flange Thickness tf (in)]]*(Table_03[[#This Row],[Depth h (in)]]-Table_03[[#This Row],[Flange Thickness tf (in)]])+0.25*Table_03[[#This Row],[Web Thickness tw (in)]]*(Table_03[[#This Row],[Depth h (in)]]-2*Table_03[[#This Row],[Flange Thickness tf (in)]])^2</f>
        <v>22.676700125</v>
      </c>
      <c r="K117" s="181">
        <f>(Table_03[[#This Row],[Width w (in)]]^2*Table_03[[#This Row],[Flange Thickness tf (in)]])/2+0.25*Table_03[[#This Row],[Web Thickness tw (in)]]^2*(Table_03[[#This Row],[Depth h (in)]]-2*Table_03[[#This Row],[Flange Thickness tf (in)]])</f>
        <v>8.5439995625000016</v>
      </c>
      <c r="L117" s="181">
        <v>20.9</v>
      </c>
      <c r="M117" s="181">
        <v>5.6</v>
      </c>
      <c r="N117" s="182">
        <v>50</v>
      </c>
      <c r="O117" s="181">
        <f>SQRT(Table_03[[#This Row],[Static Parameters Moment of Inertia Ix (in4)]]/Table_03[[#This Row],[Sectional Area (in2)]])</f>
        <v>3.4149629325932538</v>
      </c>
      <c r="P117" s="181">
        <f>SQRT(Table_03[[#This Row],[Static Parameters Moment of Inertia Iy (in4)]]/Table_03[[#This Row],[Sectional Area (in2)]])</f>
        <v>1.6054484696596134</v>
      </c>
      <c r="Q117" s="181">
        <f>($B$6*$B$5*12)/Table_03[[#This Row],[ry (in)2]]</f>
        <v>111.8379090909521</v>
      </c>
      <c r="R117" s="181">
        <f>(PI()^2*$B$4)/(Table_03[[#This Row],[KL/ry]]^2)</f>
        <v>22.883353277939634</v>
      </c>
      <c r="S117" s="181">
        <f>IF(Table_03[[#This Row],[Strength (ksi)]]/Table_03[[#This Row],[Fe,y]]&lt;2.25,(0.658^(Table_03[[#This Row],[Strength (ksi)]]/Table_03[[#This Row],[Fe,y]])*Table_03[[#This Row],[Strength (ksi)]]),0.877*Table_03[[#This Row],[Fe,y]])</f>
        <v>20.035241884264458</v>
      </c>
      <c r="T117" s="181">
        <f>Table_03[[#This Row],[Fcr,y]]*Table_03[[#This Row],[Sectional Area (in2)]]</f>
        <v>142.25021737827765</v>
      </c>
      <c r="U117" s="181">
        <f>1.76*Table_03[[#This Row],[ry (in)2]]*SQRT($B$4/Table_03[[#This Row],[Strength (ksi)]])/12</f>
        <v>5.6707668127098527</v>
      </c>
      <c r="V11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18.448549909609387</v>
      </c>
      <c r="W117" s="181">
        <f>Table_03[[#This Row],[Depth h (in)]]-Table_03[[#This Row],[Flange Thickness tf (in)]]</f>
        <v>7.5299999999999994</v>
      </c>
      <c r="X117" s="181">
        <f>(Table_03[[#This Row],[Static Parameters Moment of Inertia Iy (in4)]]*Table_03[[#This Row],[ho]]^2)/4</f>
        <v>259.40661749999998</v>
      </c>
      <c r="Y117" s="181">
        <f>SQRT((SQRT(Table_03[[#This Row],[Static Parameters Moment of Inertia Iy (in4)]]*Table_03[[#This Row],[Cw*]])/Table_03[[#This Row],[Static Parameters Elastic Section Modulus Sx (in3)2]]))</f>
        <v>1.8156615307535635</v>
      </c>
      <c r="Z117" s="181">
        <f>(2*Table_03[[#This Row],[Width w (in)]]*Table_03[[#This Row],[Flange Thickness tf (in)]]^3/3)+((Table_03[[#This Row],[Depth h (in)]]-Table_03[[#This Row],[Flange Thickness tf (in)]]*2)*Table_03[[#This Row],[Web Thickness tw (in)]]^3)/3</f>
        <v>0.3120715570833334</v>
      </c>
      <c r="AA117" s="181">
        <f>Table_03[[#This Row],[Width w (in)]]*0.5/Table_03[[#This Row],[Flange Thickness tf (in)]]</f>
        <v>8.1187500000000004</v>
      </c>
      <c r="AB117" s="181">
        <f>0.38*SQRT($B$4/Table_03[[#This Row],[Strength (ksi)]])</f>
        <v>9.1516118798821449</v>
      </c>
      <c r="AC117" s="181">
        <f>1*SQRT($B$4/Table_03[[#This Row],[Strength (ksi)]])</f>
        <v>24.083189157584592</v>
      </c>
      <c r="AD117" s="181">
        <f>(PI()^2*$B$4/(12*$B$5/Table_03[[#This Row],[rts]])^2)*SQRT(1+0.078*(Table_03[[#This Row],[J*]]/(Table_03[[#This Row],[Static Parameters Elastic Section Modulus Sx (in3)2]]*Table_03[[#This Row],[ho]])*$B$4/(12*$B$5/Table_03[[#This Row],[rts]])^2))</f>
        <v>129.20344388276547</v>
      </c>
      <c r="AE117" s="181">
        <f>0.69*$B$4/Table_03[[#This Row],[b/t]]^2</f>
        <v>303.57692095714054</v>
      </c>
      <c r="AF117" s="183">
        <f>Table_03[[#This Row],[Strength (ksi)]]*Table_03[[#This Row],[Static Parameters Plastic Section Modulus Zx (in3)]]</f>
        <v>1133.8350062500001</v>
      </c>
      <c r="AG117" s="181">
        <f>Table_03[[#This Row],[Mp (k-in)]]-(Table_03[[#This Row],[Mp (k-in)]]-0.7*Table_03[[#This Row],[Strength (ksi)]]*Table_03[[#This Row],[Static Parameters Elastic Section Modulus Sx (in3)2]])*((Table_03[[#This Row],[b/t]]-Table_03[[#This Row],[λpf]])/(Table_03[[#This Row],[λrf]]-Table_03[[#This Row],[λpf]]))</f>
        <v>1161.6657225346305</v>
      </c>
      <c r="AH117" s="184">
        <f>0.9*$B$4*Table_03[[#This Row],[kc]]*Table_03[[#This Row],[Static Parameters Elastic Section Modulus Sx (in3)2]]/Table_03[[#This Row],[b/t]]^2</f>
        <v>5818.5516856024533</v>
      </c>
      <c r="AI117" s="185" t="str">
        <f>IF(Table_03[[#This Row],[b/t]]&lt;Table_03[[#This Row],[λpf]],"Compact",IF(AND(Table_03[[#This Row],[b/t]]&gt;Table_03[[#This Row],[λpf]],Table_03[[#This Row],[λrf]]&gt;Table_03[[#This Row],[b/t]]),"Non-Compact","Slender"))</f>
        <v>Compact</v>
      </c>
      <c r="AJ117" s="186">
        <f>IF(Table_03[[#This Row],[Controlling LBx]]="Compact",Table_03[[#This Row],[Mp (k-in)]],IF(Table_03[[#This Row],[Controlling LBx]]="Non-Compact",Table_03[[#This Row],[Mnlb,Non-Compact (k-in)]],IF(Table_03[[#This Row],[Controlling LBx]]="Slender",Table_03[[#This Row],[Mnlb,slender (k-in)]],"ERROR")))</f>
        <v>1133.8350062500001</v>
      </c>
      <c r="AK117" s="183">
        <f>Table_03[[#This Row],[Mp (k-in)]]-(Table_03[[#This Row],[Mp (k-in)]]-0.7*Table_03[[#This Row],[Strength (ksi)]]*Table_03[[#This Row],[Static Parameters Elastic Section Modulus Sx (in3)2]])*(($B$5-Table_03[[#This Row],[Lp (ft)]])/(Table_03[[#This Row],[Lr]]-Table_03[[#This Row],[Lp (ft)]]))</f>
        <v>1088.0454577766575</v>
      </c>
      <c r="AL117" s="184">
        <f>Table_03[[#This Row],[Fcrx]]*Table_03[[#This Row],[Static Parameters Elastic Section Modulus Sx (in3)2]]</f>
        <v>2700.3519771497981</v>
      </c>
      <c r="AM117" s="185" t="str">
        <f>IF($B$5&lt;Table_03[[#This Row],[Lp (ft)]],"Yielding Controls",IF(AND($B$5&gt;Table_03[[#This Row],[Lp (ft)]],Table_03[[#This Row],[Lr]]&gt;$B$5),"Mltb,p Controls","Mltb,r Controls"))</f>
        <v>Mltb,p Controls</v>
      </c>
      <c r="AN117" s="186">
        <f>IF(Table_03[[#This Row],[Controlling LTB]]="Yielding Controls",Table_03[[#This Row],[Mp (k-in)]],IF(Table_03[[#This Row],[Controlling LTB]]="Mltb,p Controls",Table_03[[#This Row],[Mnltbp (k-in)]],IF(Table_03[[#This Row],[Controlling LTB]]="Mltb,r Controls",Table_03[[#This Row],[Mnltbr (k-in)]],"ERROR")))</f>
        <v>1088.0454577766575</v>
      </c>
      <c r="AO117" s="183">
        <f>MIN(Table_03[[#This Row],[Strength (ksi)]]*Table_03[[#This Row],[Static Parameters Plastic Section Modulus Zy (in3)]],1.6*Table_03[[#This Row],[Strength (ksi)]]*Table_03[[#This Row],[Static Parameters Elastic Section Modulus Sy (in3)3]])</f>
        <v>427.19997812500009</v>
      </c>
      <c r="AP117" s="181">
        <f>MIN(Table_03[[#This Row],[Mny (k-in)]],Table_03[[#This Row],[Mny (k-in)]]-(Table_03[[#This Row],[Mny (k-in)]]-0.7*Table_03[[#This Row],[Static Parameters Elastic Section Modulus Sy (in3)3]]*Table_03[[#This Row],[Strength (ksi)]])*((Table_03[[#This Row],[b/t]]-Table_03[[#This Row],[λpf]])/(Table_03[[#This Row],[λrf]]-Table_03[[#This Row],[λpf]])))</f>
        <v>427.19997812500009</v>
      </c>
      <c r="AQ117" s="184">
        <f>MIN(Table_03[[#This Row],[Mny (k-in)]],Table_03[[#This Row],[Fcry]]*Table_03[[#This Row],[Static Parameters Elastic Section Modulus Sy (in3)3]])</f>
        <v>427.19997812500009</v>
      </c>
      <c r="AR117" s="185" t="str">
        <f>IF(Table_03[[#This Row],[b/t]]&lt;Table_03[[#This Row],[λpf]],"Compact",IF(AND(Table_03[[#This Row],[b/t]]&gt;Table_03[[#This Row],[λpf]],Table_03[[#This Row],[λrf]]&gt;Table_03[[#This Row],[b/t]]),"Non-Compact","Slender"))</f>
        <v>Compact</v>
      </c>
      <c r="AS117" s="186">
        <f>IF(Table_03[[#This Row],[Controlling Lby]]="Compact",Table_03[[#This Row],[Mny (k-in)]],IF(Table_03[[#This Row],[Controlling Lby]]="Non-Compact",Table_03[[#This Row],[Mlby,Non-Compact (k-in)]],IF(Table_03[[#This Row],[Controlling Lby]]="Slender",Table_03[[#This Row],[Mlby,Slender (k-in)]],"ERROR")))</f>
        <v>427.19997812500009</v>
      </c>
      <c r="AT117" s="183">
        <f>MIN(Table_03[[#This Row],[LBx]],Table_03[[#This Row],[LTB]],Table_03[[#This Row],[Mp (k-in)]])</f>
        <v>1088.0454577766575</v>
      </c>
      <c r="AU117" s="181">
        <f>Table_03[[#This Row],[Mp (k-in)]]</f>
        <v>1133.8350062500001</v>
      </c>
      <c r="AV117" s="181">
        <f>MIN(Table_03[[#This Row],[LBy]],Table_03[[#This Row],[Mny (k-in)]])</f>
        <v>427.19997812500009</v>
      </c>
      <c r="AW117" s="187">
        <f>Table_03[[#This Row],[Mny (k-in)]]</f>
        <v>427.19997812500009</v>
      </c>
      <c r="AX117" s="165">
        <f>SQRT(((Table_03[[#This Row],[Sectional Area (in2)]]-(Table_03[[#This Row],[Flange Thickness tf (in)]]*Table_03[[#This Row],[Width w (in)]]*2+Table_03[[#This Row],[Web Thickness tw (in)]]*((Table_03[[#This Row],[Depth h (in)]]-2*Table_03[[#This Row],[Flange Thickness tf (in)]]))))/4)/(1-PI()/4))</f>
        <v>0.42786866278334895</v>
      </c>
      <c r="AY117" s="165">
        <f>IF(4/SQRT((Table_03[[#This Row],[Depth h (in)]]-Table_03[[#This Row],[Flange Thickness tf (in)]]*2)/Table_03[[#This Row],[Web Thickness tw (in)]])&lt;0.35,0.35,IF(4/SQRT(Table_03[[#This Row],[Depth h (in)]]/Table_03[[#This Row],[Web Thickness tw (in)]])&gt;0.76,0.76,4/SQRT(Table_03[[#This Row],[Depth h (in)]]/Table_03[[#This Row],[Web Thickness tw (in)]])))</f>
        <v>0.70308274533255555</v>
      </c>
      <c r="AZ117" s="165"/>
    </row>
    <row r="118" spans="1:54" ht="14.4" thickBot="1" x14ac:dyDescent="0.35">
      <c r="A118" s="188" t="s">
        <v>210</v>
      </c>
      <c r="B118" s="189">
        <f>B117-$B$1*2</f>
        <v>7.93</v>
      </c>
      <c r="C118" s="189">
        <f>C117-$B$1*2</f>
        <v>6.4950000000000001</v>
      </c>
      <c r="D118" s="189">
        <f>D117-$B$1*2</f>
        <v>0.245</v>
      </c>
      <c r="E118" s="189">
        <f>E117-$B$1*2</f>
        <v>0.4</v>
      </c>
      <c r="F118" s="190">
        <f>4*(Table_03[[#This Row],[Fillet Radius]]^2*(1-PI()/4))+2*Table_03[[#This Row],[Width w (in)]]*Table_03[[#This Row],[Flange Thickness tf (in)]]+Table_03[[#This Row],[Web Thickness tw (in)]]*(Table_03[[#This Row],[Depth h (in)]]-2*Table_03[[#This Row],[Flange Thickness tf (in)]])</f>
        <v>7.1</v>
      </c>
      <c r="G118" s="189"/>
      <c r="H118" s="203">
        <f>2*(1/12*C118*E118^3+C118*E118*((B118/2-E118/2)^2))+
1/12*D118*(B118-2*E118)^3+
4*(1/12*AX118^4+
AX118^2*((AX118/(6-3*PI()/2))-AX118/2)^2-
(PI()*AX118^4/16+PI()*AX118^2/4*((AX118/(6-3*PI()/2))-4*AX118/(3*PI()))^2)+
(AX118^2-PI()*AX118^2/4)*((B118/2-E118-(AX118-AX118/(6-3*PI()/2)))^2))</f>
        <v>82.997768270554261</v>
      </c>
      <c r="I118" s="180">
        <f>2*((1/12)*E118*C118^3)+(1/12)*(B118-2*E118)*D118^3+4*((AX118^2-PI()*AX118^2/4)*(D118/2+(AX118-(AX118/(6-3*PI()/2))))^2)</f>
        <v>18.282327054626119</v>
      </c>
      <c r="J118" s="181">
        <f>F118*((B118/2)-((C118*E118*(E118/2))+(D118*(B118/2-E118)*(E118+(B118/2-E118)/2))+(2*(AX118^2-PI()*AX118^2/4)*(E118+(AX118-AX118/(6-3*PI()/2)))))/(F118/2))</f>
        <v>23.221920712987568</v>
      </c>
      <c r="K118" s="190">
        <f>(Table_03[[#This Row],[Width w (in)]]^2*Table_03[[#This Row],[Flange Thickness tf (in)]])/2+0.25*Table_03[[#This Row],[Web Thickness tw (in)]]^2*(Table_03[[#This Row],[Depth h (in)]]-2*Table_03[[#This Row],[Flange Thickness tf (in)]])</f>
        <v>8.5439995625000016</v>
      </c>
      <c r="L118" s="190">
        <f>Table_03[[#This Row],[Static Parameters Moment of Inertia Ix (in4)]]/(Table_03[[#This Row],[Depth h (in)]]/2)</f>
        <v>20.932602338096913</v>
      </c>
      <c r="M118" s="190">
        <f>Table_03[[#This Row],[Static Parameters Moment of Inertia Iy (in4)]]/(Table_03[[#This Row],[Width w (in)]]/2)</f>
        <v>5.6296619105854102</v>
      </c>
      <c r="N118" s="191">
        <v>50</v>
      </c>
      <c r="O118" s="169">
        <f>SQRT(Table_03[[#This Row],[Static Parameters Moment of Inertia Ix (in4)]]/Table_03[[#This Row],[Sectional Area (in2)]])</f>
        <v>3.4190388294050531</v>
      </c>
      <c r="P118" s="190">
        <f>SQRT(Table_03[[#This Row],[Static Parameters Moment of Inertia Iy (in4)]]/Table_03[[#This Row],[Sectional Area (in2)]])</f>
        <v>1.604673063741221</v>
      </c>
      <c r="Q118" s="190">
        <f>($B$6*$B$5*12)/Table_03[[#This Row],[ry (in)2]]</f>
        <v>111.89195111270048</v>
      </c>
      <c r="R118" s="190">
        <f>(PI()^2*$B$4)/(Table_03[[#This Row],[KL/ry]]^2)</f>
        <v>22.86125402917175</v>
      </c>
      <c r="S118" s="190">
        <f>IF(Table_03[[#This Row],[Strength (ksi)]]/Table_03[[#This Row],[Fe,y]]&lt;2.25,(0.658^(Table_03[[#This Row],[Strength (ksi)]]/Table_03[[#This Row],[Fe,y]])*Table_03[[#This Row],[Strength (ksi)]]),0.877*Table_03[[#This Row],[Fe,y]])</f>
        <v>20.017537609424149</v>
      </c>
      <c r="T118" s="190">
        <f>Table_03[[#This Row],[Fcr,y]]*Table_03[[#This Row],[Sectional Area (in2)]]</f>
        <v>142.12451702691146</v>
      </c>
      <c r="U118" s="190">
        <f>1.76*Table_03[[#This Row],[ry (in)2]]*SQRT($B$4/Table_03[[#This Row],[Strength (ksi)]])/12</f>
        <v>5.6680279230902251</v>
      </c>
      <c r="V11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18.417608963678745</v>
      </c>
      <c r="W118" s="190">
        <f>Table_03[[#This Row],[Depth h (in)]]-Table_03[[#This Row],[Flange Thickness tf (in)]]</f>
        <v>7.5299999999999994</v>
      </c>
      <c r="X118" s="190">
        <f>(Table_03[[#This Row],[Static Parameters Moment of Inertia Iy (in4)]]*Table_03[[#This Row],[ho]]^2)/4</f>
        <v>259.15609952291248</v>
      </c>
      <c r="Y118" s="190">
        <f>SQRT((SQRT(Table_03[[#This Row],[Static Parameters Moment of Inertia Iy (in4)]]*Table_03[[#This Row],[Cw*]])/Table_03[[#This Row],[Static Parameters Elastic Section Modulus Sx (in3)2]]))</f>
        <v>1.81337078931328</v>
      </c>
      <c r="Z118" s="190">
        <f>(2*Table_03[[#This Row],[Width w (in)]]*Table_03[[#This Row],[Flange Thickness tf (in)]]^3/3)+((Table_03[[#This Row],[Depth h (in)]]-Table_03[[#This Row],[Flange Thickness tf (in)]]*2)*Table_03[[#This Row],[Web Thickness tw (in)]]^3)/3</f>
        <v>0.3120715570833334</v>
      </c>
      <c r="AA118" s="190">
        <f>Table_03[[#This Row],[Width w (in)]]*0.5/Table_03[[#This Row],[Flange Thickness tf (in)]]</f>
        <v>8.1187500000000004</v>
      </c>
      <c r="AB118" s="190">
        <f>0.38*SQRT($B$4/Table_03[[#This Row],[Strength (ksi)]])</f>
        <v>9.1516118798821449</v>
      </c>
      <c r="AC118" s="190">
        <f>1*SQRT($B$4/Table_03[[#This Row],[Strength (ksi)]])</f>
        <v>24.083189157584592</v>
      </c>
      <c r="AD118" s="190">
        <f>(PI()^2*$B$4/(12*$B$5/Table_03[[#This Row],[rts]])^2)*SQRT(1+0.078*(Table_03[[#This Row],[J*]]/(Table_03[[#This Row],[Static Parameters Elastic Section Modulus Sx (in3)2]]*Table_03[[#This Row],[ho]])*$B$4/(12*$B$5/Table_03[[#This Row],[rts]])^2))</f>
        <v>128.87709866092251</v>
      </c>
      <c r="AE118" s="190">
        <f>0.69*$B$4/Table_03[[#This Row],[b/t]]^2</f>
        <v>303.57692095714054</v>
      </c>
      <c r="AF118" s="192">
        <f>Table_03[[#This Row],[Strength (ksi)]]*Table_03[[#This Row],[Static Parameters Plastic Section Modulus Zx (in3)]]</f>
        <v>1161.0960356493783</v>
      </c>
      <c r="AG118" s="190">
        <f>Table_03[[#This Row],[Mp (k-in)]]-(Table_03[[#This Row],[Mp (k-in)]]-0.7*Table_03[[#This Row],[Strength (ksi)]]*Table_03[[#This Row],[Static Parameters Elastic Section Modulus Sx (in3)2]])*((Table_03[[#This Row],[b/t]]-Table_03[[#This Row],[λpf]])/(Table_03[[#This Row],[λrf]]-Table_03[[#This Row],[λpf]]))</f>
        <v>1190.7335468655606</v>
      </c>
      <c r="AH118" s="193">
        <f>0.9*$B$4*Table_03[[#This Row],[kc]]*Table_03[[#This Row],[Static Parameters Elastic Section Modulus Sx (in3)2]]/Table_03[[#This Row],[b/t]]^2</f>
        <v>5827.6281635588348</v>
      </c>
      <c r="AI118" s="194" t="str">
        <f>IF(Table_03[[#This Row],[b/t]]&lt;Table_03[[#This Row],[λpf]],"Compact",IF(AND(Table_03[[#This Row],[b/t]]&gt;Table_03[[#This Row],[λpf]],Table_03[[#This Row],[λrf]]&gt;Table_03[[#This Row],[b/t]]),"Non-Compact","Slender"))</f>
        <v>Compact</v>
      </c>
      <c r="AJ118" s="195">
        <f>IF(Table_03[[#This Row],[Controlling LBx]]="Compact",Table_03[[#This Row],[Mp (k-in)]],IF(Table_03[[#This Row],[Controlling LBx]]="Non-Compact",Table_03[[#This Row],[Mnlb,Non-Compact (k-in)]],IF(Table_03[[#This Row],[Controlling LBx]]="Slender",Table_03[[#This Row],[Mnlb,slender (k-in)]],"ERROR")))</f>
        <v>1161.0960356493783</v>
      </c>
      <c r="AK118" s="192">
        <f>Table_03[[#This Row],[Mp (k-in)]]-(Table_03[[#This Row],[Mp (k-in)]]-0.7*Table_03[[#This Row],[Strength (ksi)]]*Table_03[[#This Row],[Static Parameters Elastic Section Modulus Sx (in3)2]])*(($B$5-Table_03[[#This Row],[Lp (ft)]])/(Table_03[[#This Row],[Lr]]-Table_03[[#This Row],[Lp (ft)]]))</f>
        <v>1112.1338852903777</v>
      </c>
      <c r="AL118" s="196">
        <f>Table_03[[#This Row],[Fcrx]]*Table_03[[#This Row],[Static Parameters Elastic Section Modulus Sx (in3)2]]</f>
        <v>2697.7330567567733</v>
      </c>
      <c r="AM118" s="197" t="str">
        <f>IF($B$5&lt;Table_03[[#This Row],[Lp (ft)]],"Yielding Controls",IF(AND($B$5&gt;Table_03[[#This Row],[Lp (ft)]],Table_03[[#This Row],[Lr]]&gt;$B$5),"Mltb,p Controls","Mltb,r Controls"))</f>
        <v>Mltb,p Controls</v>
      </c>
      <c r="AN118" s="198">
        <f>IF(Table_03[[#This Row],[Controlling LTB]]="Yielding Controls",Table_03[[#This Row],[Mp (k-in)]],IF(Table_03[[#This Row],[Controlling LTB]]="Mltb,p Controls",Table_03[[#This Row],[Mnltbp (k-in)]],IF(Table_03[[#This Row],[Controlling LTB]]="Mltb,r Controls",Table_03[[#This Row],[Mnltbr (k-in)]],"ERROR")))</f>
        <v>1112.1338852903777</v>
      </c>
      <c r="AO118" s="199">
        <f>MIN(Table_03[[#This Row],[Strength (ksi)]]*Table_03[[#This Row],[Static Parameters Plastic Section Modulus Zy (in3)]],1.6*Table_03[[#This Row],[Strength (ksi)]]*Table_03[[#This Row],[Static Parameters Elastic Section Modulus Sy (in3)3]])</f>
        <v>427.19997812500009</v>
      </c>
      <c r="AP118" s="169">
        <f>MIN(Table_03[[#This Row],[Mny (k-in)]],Table_03[[#This Row],[Mny (k-in)]]-(Table_03[[#This Row],[Mny (k-in)]]-0.7*Table_03[[#This Row],[Static Parameters Elastic Section Modulus Sy (in3)3]]*Table_03[[#This Row],[Strength (ksi)]])*((Table_03[[#This Row],[b/t]]-Table_03[[#This Row],[λpf]])/(Table_03[[#This Row],[λrf]]-Table_03[[#This Row],[λpf]])))</f>
        <v>427.19997812500009</v>
      </c>
      <c r="AQ118" s="196">
        <f>MIN(Table_03[[#This Row],[Mny (k-in)]],Table_03[[#This Row],[Fcry]]*Table_03[[#This Row],[Static Parameters Elastic Section Modulus Sy (in3)3]])</f>
        <v>427.19997812500009</v>
      </c>
      <c r="AR118" s="197" t="str">
        <f>IF(Table_03[[#This Row],[b/t]]&lt;Table_03[[#This Row],[λpf]],"Compact",IF(AND(Table_03[[#This Row],[b/t]]&gt;Table_03[[#This Row],[λpf]],Table_03[[#This Row],[λrf]]&gt;Table_03[[#This Row],[b/t]]),"Non-Compact","Slender"))</f>
        <v>Compact</v>
      </c>
      <c r="AS118" s="198">
        <f>IF(Table_03[[#This Row],[Controlling Lby]]="Compact",Table_03[[#This Row],[Mny (k-in)]],IF(Table_03[[#This Row],[Controlling Lby]]="Non-Compact",Table_03[[#This Row],[Mlby,Non-Compact (k-in)]],IF(Table_03[[#This Row],[Controlling Lby]]="Slender",Table_03[[#This Row],[Mlby,Slender (k-in)]],"ERROR")))</f>
        <v>427.19997812500009</v>
      </c>
      <c r="AT118" s="199">
        <f>MIN(Table_03[[#This Row],[LBx]],Table_03[[#This Row],[LTB]],Table_03[[#This Row],[Mp (k-in)]])</f>
        <v>1112.1338852903777</v>
      </c>
      <c r="AU118" s="169">
        <f>Table_03[[#This Row],[Mp (k-in)]]</f>
        <v>1161.0960356493783</v>
      </c>
      <c r="AV118" s="169">
        <f>MIN(Table_03[[#This Row],[LBy]],Table_03[[#This Row],[Mny (k-in)]])</f>
        <v>427.19997812500009</v>
      </c>
      <c r="AW118" s="200">
        <f>Table_03[[#This Row],[Mny (k-in)]]</f>
        <v>427.19997812500009</v>
      </c>
      <c r="AX118" s="165">
        <f>AX117+$B$1</f>
        <v>0.42786866278334895</v>
      </c>
      <c r="AY118" s="165">
        <f>IF(4/SQRT((Table_03[[#This Row],[Depth h (in)]]-Table_03[[#This Row],[Flange Thickness tf (in)]]*2)/Table_03[[#This Row],[Web Thickness tw (in)]])&lt;0.35,0.35,IF(4/SQRT(Table_03[[#This Row],[Depth h (in)]]/Table_03[[#This Row],[Web Thickness tw (in)]])&gt;0.76,0.76,4/SQRT(Table_03[[#This Row],[Depth h (in)]]/Table_03[[#This Row],[Web Thickness tw (in)]])))</f>
        <v>0.70308274533255555</v>
      </c>
      <c r="AZ118" s="165"/>
      <c r="BB118" s="164">
        <f>Table_03[[#This Row],[Controlling Mnx @ AG (k-in)]]*12000</f>
        <v>13345606.623484533</v>
      </c>
    </row>
    <row r="119" spans="1:54" x14ac:dyDescent="0.3">
      <c r="A119" s="188" t="s">
        <v>211</v>
      </c>
      <c r="B119" s="189">
        <v>7.99</v>
      </c>
      <c r="C119" s="189">
        <v>4</v>
      </c>
      <c r="D119" s="189">
        <v>0.23</v>
      </c>
      <c r="E119" s="189">
        <v>0.255</v>
      </c>
      <c r="F119" s="190">
        <v>3.8</v>
      </c>
      <c r="G119" s="189">
        <v>13</v>
      </c>
      <c r="H119" s="190">
        <v>39.6</v>
      </c>
      <c r="I119" s="190">
        <v>2.7</v>
      </c>
      <c r="J119" s="190">
        <f>Table_03[[#This Row],[Width w (in)]]*Table_03[[#This Row],[Flange Thickness tf (in)]]*(Table_03[[#This Row],[Depth h (in)]]-Table_03[[#This Row],[Flange Thickness tf (in)]])+0.25*Table_03[[#This Row],[Web Thickness tw (in)]]*(Table_03[[#This Row],[Depth h (in)]]-2*Table_03[[#This Row],[Flange Thickness tf (in)]])^2</f>
        <v>11.106848000000001</v>
      </c>
      <c r="K119" s="190">
        <f>(Table_03[[#This Row],[Width w (in)]]^2*Table_03[[#This Row],[Flange Thickness tf (in)]])/2+0.25*Table_03[[#This Row],[Web Thickness tw (in)]]^2*(Table_03[[#This Row],[Depth h (in)]]-2*Table_03[[#This Row],[Flange Thickness tf (in)]])</f>
        <v>2.1389230000000001</v>
      </c>
      <c r="L119" s="190">
        <v>9.9</v>
      </c>
      <c r="M119" s="190">
        <v>1.4</v>
      </c>
      <c r="N119" s="191">
        <v>50</v>
      </c>
      <c r="O119" s="169">
        <f>SQRT(Table_03[[#This Row],[Static Parameters Moment of Inertia Ix (in4)]]/Table_03[[#This Row],[Sectional Area (in2)]])</f>
        <v>3.228165521093822</v>
      </c>
      <c r="P119" s="190">
        <f>SQRT(Table_03[[#This Row],[Static Parameters Moment of Inertia Iy (in4)]]/Table_03[[#This Row],[Sectional Area (in2)]])</f>
        <v>0.84292723042352458</v>
      </c>
      <c r="Q119" s="190">
        <f>($B$6*$B$5*12)/Table_03[[#This Row],[ry (in)2]]</f>
        <v>213.00771112802468</v>
      </c>
      <c r="R119" s="190">
        <f>(PI()^2*$B$4)/(Table_03[[#This Row],[KL/ry]]^2)</f>
        <v>6.3082237897340034</v>
      </c>
      <c r="S119" s="190">
        <f>IF(Table_03[[#This Row],[Strength (ksi)]]/Table_03[[#This Row],[Fe,y]]&lt;2.25,(0.658^(Table_03[[#This Row],[Strength (ksi)]]/Table_03[[#This Row],[Fe,y]])*Table_03[[#This Row],[Strength (ksi)]]),0.877*Table_03[[#This Row],[Fe,y]])</f>
        <v>5.5323122635967215</v>
      </c>
      <c r="T119" s="190">
        <f>Table_03[[#This Row],[Fcr,y]]*Table_03[[#This Row],[Sectional Area (in2)]]</f>
        <v>21.022786601667541</v>
      </c>
      <c r="U119" s="190">
        <f>1.76*Table_03[[#This Row],[ry (in)2]]*SQRT($B$4/Table_03[[#This Row],[Strength (ksi)]])/12</f>
        <v>2.9773884706674001</v>
      </c>
      <c r="V11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9.0244424084133836</v>
      </c>
      <c r="W119" s="190">
        <f>Table_03[[#This Row],[Depth h (in)]]-Table_03[[#This Row],[Flange Thickness tf (in)]]</f>
        <v>7.7350000000000003</v>
      </c>
      <c r="X119" s="190">
        <f>(Table_03[[#This Row],[Static Parameters Moment of Inertia Iy (in4)]]*Table_03[[#This Row],[ho]]^2)/4</f>
        <v>40.385401875000007</v>
      </c>
      <c r="Y119" s="190">
        <f>SQRT((SQRT(Table_03[[#This Row],[Static Parameters Moment of Inertia Iy (in4)]]*Table_03[[#This Row],[Cw*]])/Table_03[[#This Row],[Static Parameters Elastic Section Modulus Sx (in3)2]]))</f>
        <v>1.0270212886170995</v>
      </c>
      <c r="Z119" s="190">
        <f>(2*Table_03[[#This Row],[Width w (in)]]*Table_03[[#This Row],[Flange Thickness tf (in)]]^3/3)+((Table_03[[#This Row],[Depth h (in)]]-Table_03[[#This Row],[Flange Thickness tf (in)]]*2)*Table_03[[#This Row],[Web Thickness tw (in)]]^3)/3</f>
        <v>7.4553386666666666E-2</v>
      </c>
      <c r="AA119" s="190">
        <f>Table_03[[#This Row],[Width w (in)]]*0.5/Table_03[[#This Row],[Flange Thickness tf (in)]]</f>
        <v>7.8431372549019605</v>
      </c>
      <c r="AB119" s="190">
        <f>0.38*SQRT($B$4/Table_03[[#This Row],[Strength (ksi)]])</f>
        <v>9.1516118798821449</v>
      </c>
      <c r="AC119" s="190">
        <f>1*SQRT($B$4/Table_03[[#This Row],[Strength (ksi)]])</f>
        <v>24.083189157584592</v>
      </c>
      <c r="AD119" s="190">
        <f>(PI()^2*$B$4/(12*$B$5/Table_03[[#This Row],[rts]])^2)*SQRT(1+0.078*(Table_03[[#This Row],[J*]]/(Table_03[[#This Row],[Static Parameters Elastic Section Modulus Sx (in3)2]]*Table_03[[#This Row],[ho]])*$B$4/(12*$B$5/Table_03[[#This Row],[rts]])^2))</f>
        <v>41.304121943619371</v>
      </c>
      <c r="AE119" s="190">
        <f>0.69*$B$4/Table_03[[#This Row],[b/t]]^2</f>
        <v>325.28756250000004</v>
      </c>
      <c r="AF119" s="192">
        <f>Table_03[[#This Row],[Strength (ksi)]]*Table_03[[#This Row],[Static Parameters Plastic Section Modulus Zx (in3)]]</f>
        <v>555.34240000000011</v>
      </c>
      <c r="AG119" s="190">
        <f>Table_03[[#This Row],[Mp (k-in)]]-(Table_03[[#This Row],[Mp (k-in)]]-0.7*Table_03[[#This Row],[Strength (ksi)]]*Table_03[[#This Row],[Static Parameters Elastic Section Modulus Sx (in3)2]])*((Table_03[[#This Row],[b/t]]-Table_03[[#This Row],[λpf]])/(Table_03[[#This Row],[λrf]]-Table_03[[#This Row],[λpf]]))</f>
        <v>573.64354635163386</v>
      </c>
      <c r="AH119" s="193">
        <f>0.9*$B$4*Table_03[[#This Row],[kc]]*Table_03[[#This Row],[Static Parameters Elastic Section Modulus Sx (in3)2]]/Table_03[[#This Row],[b/t]]^2</f>
        <v>2850.6676753711781</v>
      </c>
      <c r="AI119" s="194" t="str">
        <f>IF(Table_03[[#This Row],[b/t]]&lt;Table_03[[#This Row],[λpf]],"Compact",IF(AND(Table_03[[#This Row],[b/t]]&gt;Table_03[[#This Row],[λpf]],Table_03[[#This Row],[λrf]]&gt;Table_03[[#This Row],[b/t]]),"Non-Compact","Slender"))</f>
        <v>Compact</v>
      </c>
      <c r="AJ119" s="195">
        <f>IF(Table_03[[#This Row],[Controlling LBx]]="Compact",Table_03[[#This Row],[Mp (k-in)]],IF(Table_03[[#This Row],[Controlling LBx]]="Non-Compact",Table_03[[#This Row],[Mnlb,Non-Compact (k-in)]],IF(Table_03[[#This Row],[Controlling LBx]]="Slender",Table_03[[#This Row],[Mnlb,slender (k-in)]],"ERROR")))</f>
        <v>555.34240000000011</v>
      </c>
      <c r="AK119" s="192">
        <f>Table_03[[#This Row],[Mp (k-in)]]-(Table_03[[#This Row],[Mp (k-in)]]-0.7*Table_03[[#This Row],[Strength (ksi)]]*Table_03[[#This Row],[Static Parameters Elastic Section Modulus Sx (in3)2]])*(($B$5-Table_03[[#This Row],[Lp (ft)]])/(Table_03[[#This Row],[Lr]]-Table_03[[#This Row],[Lp (ft)]]))</f>
        <v>412.09956556013356</v>
      </c>
      <c r="AL119" s="196">
        <f>Table_03[[#This Row],[Fcrx]]*Table_03[[#This Row],[Static Parameters Elastic Section Modulus Sx (in3)2]]</f>
        <v>408.91080724183178</v>
      </c>
      <c r="AM119" s="197" t="str">
        <f>IF($B$5&lt;Table_03[[#This Row],[Lp (ft)]],"Yielding Controls",IF(AND($B$5&gt;Table_03[[#This Row],[Lp (ft)]],Table_03[[#This Row],[Lr]]&gt;$B$5),"Mltb,p Controls","Mltb,r Controls"))</f>
        <v>Mltb,p Controls</v>
      </c>
      <c r="AN119" s="198">
        <f>IF(Table_03[[#This Row],[Controlling LTB]]="Yielding Controls",Table_03[[#This Row],[Mp (k-in)]],IF(Table_03[[#This Row],[Controlling LTB]]="Mltb,p Controls",Table_03[[#This Row],[Mnltbp (k-in)]],IF(Table_03[[#This Row],[Controlling LTB]]="Mltb,r Controls",Table_03[[#This Row],[Mnltbr (k-in)]],"ERROR")))</f>
        <v>412.09956556013356</v>
      </c>
      <c r="AO119" s="199">
        <f>MIN(Table_03[[#This Row],[Strength (ksi)]]*Table_03[[#This Row],[Static Parameters Plastic Section Modulus Zy (in3)]],1.6*Table_03[[#This Row],[Strength (ksi)]]*Table_03[[#This Row],[Static Parameters Elastic Section Modulus Sy (in3)3]])</f>
        <v>106.94615</v>
      </c>
      <c r="AP119" s="169">
        <f>MIN(Table_03[[#This Row],[Mny (k-in)]],Table_03[[#This Row],[Mny (k-in)]]-(Table_03[[#This Row],[Mny (k-in)]]-0.7*Table_03[[#This Row],[Static Parameters Elastic Section Modulus Sy (in3)3]]*Table_03[[#This Row],[Strength (ksi)]])*((Table_03[[#This Row],[b/t]]-Table_03[[#This Row],[λpf]])/(Table_03[[#This Row],[λrf]]-Table_03[[#This Row],[λpf]])))</f>
        <v>106.94615</v>
      </c>
      <c r="AQ119" s="196">
        <f>MIN(Table_03[[#This Row],[Mny (k-in)]],Table_03[[#This Row],[Fcry]]*Table_03[[#This Row],[Static Parameters Elastic Section Modulus Sy (in3)3]])</f>
        <v>106.94615</v>
      </c>
      <c r="AR119" s="197" t="str">
        <f>IF(Table_03[[#This Row],[b/t]]&lt;Table_03[[#This Row],[λpf]],"Compact",IF(AND(Table_03[[#This Row],[b/t]]&gt;Table_03[[#This Row],[λpf]],Table_03[[#This Row],[λrf]]&gt;Table_03[[#This Row],[b/t]]),"Non-Compact","Slender"))</f>
        <v>Compact</v>
      </c>
      <c r="AS119" s="198">
        <f>IF(Table_03[[#This Row],[Controlling Lby]]="Compact",Table_03[[#This Row],[Mny (k-in)]],IF(Table_03[[#This Row],[Controlling Lby]]="Non-Compact",Table_03[[#This Row],[Mlby,Non-Compact (k-in)]],IF(Table_03[[#This Row],[Controlling Lby]]="Slender",Table_03[[#This Row],[Mlby,Slender (k-in)]],"ERROR")))</f>
        <v>106.94615</v>
      </c>
      <c r="AT119" s="199">
        <f>MIN(Table_03[[#This Row],[LBx]],Table_03[[#This Row],[LTB]],Table_03[[#This Row],[Mp (k-in)]])</f>
        <v>412.09956556013356</v>
      </c>
      <c r="AU119" s="169">
        <f>Table_03[[#This Row],[Mp (k-in)]]</f>
        <v>555.34240000000011</v>
      </c>
      <c r="AV119" s="169">
        <f>MIN(Table_03[[#This Row],[LBy]],Table_03[[#This Row],[Mny (k-in)]])</f>
        <v>106.94615</v>
      </c>
      <c r="AW119" s="200">
        <f>Table_03[[#This Row],[Mny (k-in)]]</f>
        <v>106.94615</v>
      </c>
      <c r="AX119" s="165">
        <f>SQRT(((Table_03[[#This Row],[Sectional Area (in2)]]-(Table_03[[#This Row],[Flange Thickness tf (in)]]*Table_03[[#This Row],[Width w (in)]]*2+Table_03[[#This Row],[Web Thickness tw (in)]]*((Table_03[[#This Row],[Depth h (in)]]-2*Table_03[[#This Row],[Flange Thickness tf (in)]]))))/4)/(1-PI()/4))</f>
        <v>0.21478348266713132</v>
      </c>
      <c r="AY119" s="165">
        <f>IF(4/SQRT((Table_03[[#This Row],[Depth h (in)]]-Table_03[[#This Row],[Flange Thickness tf (in)]]*2)/Table_03[[#This Row],[Web Thickness tw (in)]])&lt;0.35,0.35,IF(4/SQRT(Table_03[[#This Row],[Depth h (in)]]/Table_03[[#This Row],[Web Thickness tw (in)]])&gt;0.76,0.76,4/SQRT(Table_03[[#This Row],[Depth h (in)]]/Table_03[[#This Row],[Web Thickness tw (in)]])))</f>
        <v>0.67865729175303346</v>
      </c>
      <c r="AZ119" s="165"/>
    </row>
    <row r="120" spans="1:54" ht="14.4" thickBot="1" x14ac:dyDescent="0.35">
      <c r="A120" s="201" t="s">
        <v>212</v>
      </c>
      <c r="B120" s="202">
        <v>8</v>
      </c>
      <c r="C120" s="202">
        <v>8</v>
      </c>
      <c r="D120" s="202">
        <v>0.28499999999999998</v>
      </c>
      <c r="E120" s="202">
        <v>0.435</v>
      </c>
      <c r="F120" s="203">
        <v>9.1300000000000008</v>
      </c>
      <c r="G120" s="204">
        <v>31</v>
      </c>
      <c r="H120" s="203">
        <v>110</v>
      </c>
      <c r="I120" s="203">
        <v>37.1</v>
      </c>
      <c r="J120" s="203">
        <f>Table_03[[#This Row],[Width w (in)]]*Table_03[[#This Row],[Flange Thickness tf (in)]]*(Table_03[[#This Row],[Depth h (in)]]-Table_03[[#This Row],[Flange Thickness tf (in)]])+0.25*Table_03[[#This Row],[Web Thickness tw (in)]]*(Table_03[[#This Row],[Depth h (in)]]-2*Table_03[[#This Row],[Flange Thickness tf (in)]])^2</f>
        <v>29.948329125000001</v>
      </c>
      <c r="K120" s="203">
        <f>(Table_03[[#This Row],[Width w (in)]]^2*Table_03[[#This Row],[Flange Thickness tf (in)]])/2+0.25*Table_03[[#This Row],[Web Thickness tw (in)]]^2*(Table_03[[#This Row],[Depth h (in)]]-2*Table_03[[#This Row],[Flange Thickness tf (in)]])</f>
        <v>14.064783562500001</v>
      </c>
      <c r="L120" s="203">
        <v>27.5</v>
      </c>
      <c r="M120" s="203">
        <v>9.3000000000000007</v>
      </c>
      <c r="N120" s="205">
        <v>50</v>
      </c>
      <c r="O120" s="206">
        <f>SQRT(Table_03[[#This Row],[Static Parameters Moment of Inertia Ix (in4)]]/Table_03[[#This Row],[Sectional Area (in2)]])</f>
        <v>3.4710506725031163</v>
      </c>
      <c r="P120" s="203">
        <f>SQRT(Table_03[[#This Row],[Static Parameters Moment of Inertia Iy (in4)]]/Table_03[[#This Row],[Sectional Area (in2)]])</f>
        <v>2.015819147297488</v>
      </c>
      <c r="Q120" s="203">
        <f>($B$6*$B$5*12)/Table_03[[#This Row],[ry (in)2]]</f>
        <v>89.070490396280874</v>
      </c>
      <c r="R120" s="203">
        <f>(PI()^2*$B$4)/(Table_03[[#This Row],[KL/ry]]^2)</f>
        <v>36.076970097630927</v>
      </c>
      <c r="S120" s="203">
        <f>IF(Table_03[[#This Row],[Strength (ksi)]]/Table_03[[#This Row],[Fe,y]]&lt;2.25,(0.658^(Table_03[[#This Row],[Strength (ksi)]]/Table_03[[#This Row],[Fe,y]])*Table_03[[#This Row],[Strength (ksi)]]),0.877*Table_03[[#This Row],[Fe,y]])</f>
        <v>27.992687694180958</v>
      </c>
      <c r="T120" s="203">
        <f>Table_03[[#This Row],[Fcr,y]]*Table_03[[#This Row],[Sectional Area (in2)]]</f>
        <v>255.57323864787216</v>
      </c>
      <c r="U120" s="203">
        <f>1.76*Table_03[[#This Row],[ry (in)2]]*SQRT($B$4/Table_03[[#This Row],[Strength (ksi)]])/12</f>
        <v>7.1202785620041213</v>
      </c>
      <c r="V12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24.160329744449967</v>
      </c>
      <c r="W120" s="203">
        <f>Table_03[[#This Row],[Depth h (in)]]-Table_03[[#This Row],[Flange Thickness tf (in)]]</f>
        <v>7.5650000000000004</v>
      </c>
      <c r="X120" s="203">
        <f>(Table_03[[#This Row],[Static Parameters Moment of Inertia Iy (in4)]]*Table_03[[#This Row],[ho]]^2)/4</f>
        <v>530.80106187500007</v>
      </c>
      <c r="Y120" s="203">
        <f>SQRT((SQRT(Table_03[[#This Row],[Static Parameters Moment of Inertia Iy (in4)]]*Table_03[[#This Row],[Cw*]])/Table_03[[#This Row],[Static Parameters Elastic Section Modulus Sx (in3)2]]))</f>
        <v>2.2589679864124599</v>
      </c>
      <c r="Z120" s="203">
        <f>(2*Table_03[[#This Row],[Width w (in)]]*Table_03[[#This Row],[Flange Thickness tf (in)]]^3/3)+((Table_03[[#This Row],[Depth h (in)]]-Table_03[[#This Row],[Flange Thickness tf (in)]]*2)*Table_03[[#This Row],[Web Thickness tw (in)]]^3)/3</f>
        <v>0.49401975375000007</v>
      </c>
      <c r="AA120" s="203">
        <f>Table_03[[#This Row],[Width w (in)]]*0.5/Table_03[[#This Row],[Flange Thickness tf (in)]]</f>
        <v>9.1954022988505741</v>
      </c>
      <c r="AB120" s="203">
        <f>0.38*SQRT($B$4/Table_03[[#This Row],[Strength (ksi)]])</f>
        <v>9.1516118798821449</v>
      </c>
      <c r="AC120" s="203">
        <f>1*SQRT($B$4/Table_03[[#This Row],[Strength (ksi)]])</f>
        <v>24.083189157584592</v>
      </c>
      <c r="AD120" s="203">
        <f>(PI()^2*$B$4/(12*$B$5/Table_03[[#This Row],[rts]])^2)*SQRT(1+0.078*(Table_03[[#This Row],[J*]]/(Table_03[[#This Row],[Static Parameters Elastic Section Modulus Sx (in3)2]]*Table_03[[#This Row],[ho]])*$B$4/(12*$B$5/Table_03[[#This Row],[rts]])^2))</f>
        <v>200.1697080231439</v>
      </c>
      <c r="AE120" s="203">
        <f>0.69*$B$4/Table_03[[#This Row],[b/t]]^2</f>
        <v>236.64951562500002</v>
      </c>
      <c r="AF120" s="207">
        <f>Table_03[[#This Row],[Strength (ksi)]]*Table_03[[#This Row],[Static Parameters Plastic Section Modulus Zx (in3)]]</f>
        <v>1497.41645625</v>
      </c>
      <c r="AG120" s="203">
        <f>Table_03[[#This Row],[Mp (k-in)]]-(Table_03[[#This Row],[Mp (k-in)]]-0.7*Table_03[[#This Row],[Strength (ksi)]]*Table_03[[#This Row],[Static Parameters Elastic Section Modulus Sx (in3)2]])*((Table_03[[#This Row],[b/t]]-Table_03[[#This Row],[λpf]])/(Table_03[[#This Row],[λrf]]-Table_03[[#This Row],[λpf]]))</f>
        <v>1495.8476858986403</v>
      </c>
      <c r="AH120" s="208">
        <f>0.9*$B$4*Table_03[[#This Row],[kc]]*Table_03[[#This Row],[Static Parameters Elastic Section Modulus Sx (in3)2]]/Table_03[[#This Row],[b/t]]^2</f>
        <v>6408.6884620804749</v>
      </c>
      <c r="AI120" s="209" t="str">
        <f>IF(Table_03[[#This Row],[b/t]]&lt;Table_03[[#This Row],[λpf]],"Compact",IF(AND(Table_03[[#This Row],[b/t]]&gt;Table_03[[#This Row],[λpf]],Table_03[[#This Row],[λrf]]&gt;Table_03[[#This Row],[b/t]]),"Non-Compact","Slender"))</f>
        <v>Non-Compact</v>
      </c>
      <c r="AJ120" s="210">
        <f>IF(Table_03[[#This Row],[Controlling LBx]]="Compact",Table_03[[#This Row],[Mp (k-in)]],IF(Table_03[[#This Row],[Controlling LBx]]="Non-Compact",Table_03[[#This Row],[Mnlb,Non-Compact (k-in)]],IF(Table_03[[#This Row],[Controlling LBx]]="Slender",Table_03[[#This Row],[Mnlb,slender (k-in)]],"ERROR")))</f>
        <v>1495.8476858986403</v>
      </c>
      <c r="AK120" s="207">
        <f>Table_03[[#This Row],[Mp (k-in)]]-(Table_03[[#This Row],[Mp (k-in)]]-0.7*Table_03[[#This Row],[Strength (ksi)]]*Table_03[[#This Row],[Static Parameters Elastic Section Modulus Sx (in3)2]])*(($B$5-Table_03[[#This Row],[Lp (ft)]])/(Table_03[[#This Row],[Lr]]-Table_03[[#This Row],[Lp (ft)]]))</f>
        <v>1497.2682422068544</v>
      </c>
      <c r="AL120" s="211">
        <f>Table_03[[#This Row],[Fcrx]]*Table_03[[#This Row],[Static Parameters Elastic Section Modulus Sx (in3)2]]</f>
        <v>5504.6669706364573</v>
      </c>
      <c r="AM120" s="212" t="str">
        <f>IF($B$5&lt;Table_03[[#This Row],[Lp (ft)]],"Yielding Controls",IF(AND($B$5&gt;Table_03[[#This Row],[Lp (ft)]],Table_03[[#This Row],[Lr]]&gt;$B$5),"Mltb,p Controls","Mltb,r Controls"))</f>
        <v>Mltb,p Controls</v>
      </c>
      <c r="AN120" s="213">
        <f>IF(Table_03[[#This Row],[Controlling LTB]]="Yielding Controls",Table_03[[#This Row],[Mp (k-in)]],IF(Table_03[[#This Row],[Controlling LTB]]="Mltb,p Controls",Table_03[[#This Row],[Mnltbp (k-in)]],IF(Table_03[[#This Row],[Controlling LTB]]="Mltb,r Controls",Table_03[[#This Row],[Mnltbr (k-in)]],"ERROR")))</f>
        <v>1497.2682422068544</v>
      </c>
      <c r="AO120" s="214">
        <f>MIN(Table_03[[#This Row],[Strength (ksi)]]*Table_03[[#This Row],[Static Parameters Plastic Section Modulus Zy (in3)]],1.6*Table_03[[#This Row],[Strength (ksi)]]*Table_03[[#This Row],[Static Parameters Elastic Section Modulus Sy (in3)3]])</f>
        <v>703.23917812500008</v>
      </c>
      <c r="AP120" s="206">
        <f>MIN(Table_03[[#This Row],[Mny (k-in)]],Table_03[[#This Row],[Mny (k-in)]]-(Table_03[[#This Row],[Mny (k-in)]]-0.7*Table_03[[#This Row],[Static Parameters Elastic Section Modulus Sy (in3)3]]*Table_03[[#This Row],[Strength (ksi)]])*((Table_03[[#This Row],[b/t]]-Table_03[[#This Row],[λpf]])/(Table_03[[#This Row],[λrf]]-Table_03[[#This Row],[λpf]])))</f>
        <v>702.13136770663357</v>
      </c>
      <c r="AQ120" s="211">
        <f>MIN(Table_03[[#This Row],[Mny (k-in)]],Table_03[[#This Row],[Fcry]]*Table_03[[#This Row],[Static Parameters Elastic Section Modulus Sy (in3)3]])</f>
        <v>703.23917812500008</v>
      </c>
      <c r="AR120" s="212" t="str">
        <f>IF(Table_03[[#This Row],[b/t]]&lt;Table_03[[#This Row],[λpf]],"Compact",IF(AND(Table_03[[#This Row],[b/t]]&gt;Table_03[[#This Row],[λpf]],Table_03[[#This Row],[λrf]]&gt;Table_03[[#This Row],[b/t]]),"Non-Compact","Slender"))</f>
        <v>Non-Compact</v>
      </c>
      <c r="AS120" s="213">
        <f>IF(Table_03[[#This Row],[Controlling Lby]]="Compact",Table_03[[#This Row],[Mny (k-in)]],IF(Table_03[[#This Row],[Controlling Lby]]="Non-Compact",Table_03[[#This Row],[Mlby,Non-Compact (k-in)]],IF(Table_03[[#This Row],[Controlling Lby]]="Slender",Table_03[[#This Row],[Mlby,Slender (k-in)]],"ERROR")))</f>
        <v>702.13136770663357</v>
      </c>
      <c r="AT120" s="214">
        <f>MIN(Table_03[[#This Row],[LBx]],Table_03[[#This Row],[LTB]],Table_03[[#This Row],[Mp (k-in)]])</f>
        <v>1495.8476858986403</v>
      </c>
      <c r="AU120" s="206">
        <f>Table_03[[#This Row],[Mp (k-in)]]</f>
        <v>1497.41645625</v>
      </c>
      <c r="AV120" s="206">
        <f>MIN(Table_03[[#This Row],[LBy]],Table_03[[#This Row],[Mny (k-in)]])</f>
        <v>702.13136770663357</v>
      </c>
      <c r="AW120" s="215">
        <f>Table_03[[#This Row],[Mny (k-in)]]</f>
        <v>703.23917812500008</v>
      </c>
      <c r="AX120" s="165">
        <f>SQRT(((Table_03[[#This Row],[Sectional Area (in2)]]-(Table_03[[#This Row],[Flange Thickness tf (in)]]*Table_03[[#This Row],[Width w (in)]]*2+Table_03[[#This Row],[Web Thickness tw (in)]]*((Table_03[[#This Row],[Depth h (in)]]-2*Table_03[[#This Row],[Flange Thickness tf (in)]]))))/4)/(1-PI()/4))</f>
        <v>0.40087976905008854</v>
      </c>
      <c r="AY120" s="165">
        <f>IF(4/SQRT((Table_03[[#This Row],[Depth h (in)]]-Table_03[[#This Row],[Flange Thickness tf (in)]]*2)/Table_03[[#This Row],[Web Thickness tw (in)]])&lt;0.35,0.35,IF(4/SQRT(Table_03[[#This Row],[Depth h (in)]]/Table_03[[#This Row],[Web Thickness tw (in)]])&gt;0.76,0.76,4/SQRT(Table_03[[#This Row],[Depth h (in)]]/Table_03[[#This Row],[Web Thickness tw (in)]])))</f>
        <v>0.75498344352707503</v>
      </c>
      <c r="AZ120" s="165"/>
    </row>
    <row r="121" spans="1:54" ht="14.4" thickBot="1" x14ac:dyDescent="0.35">
      <c r="A121" s="188" t="s">
        <v>213</v>
      </c>
      <c r="B121" s="189">
        <f>B120-$B$1*2</f>
        <v>8</v>
      </c>
      <c r="C121" s="189">
        <f>C120-$B$1*2</f>
        <v>8</v>
      </c>
      <c r="D121" s="189">
        <f>D120-$B$1*2</f>
        <v>0.28499999999999998</v>
      </c>
      <c r="E121" s="189">
        <f>E120-$B$1*2</f>
        <v>0.435</v>
      </c>
      <c r="F121" s="190">
        <f>4*(Table_03[[#This Row],[Fillet Radius]]^2*(1-PI()/4))+2*Table_03[[#This Row],[Width w (in)]]*Table_03[[#This Row],[Flange Thickness tf (in)]]+Table_03[[#This Row],[Web Thickness tw (in)]]*(Table_03[[#This Row],[Depth h (in)]]-2*Table_03[[#This Row],[Flange Thickness tf (in)]])</f>
        <v>9.1300000000000026</v>
      </c>
      <c r="G121" s="189"/>
      <c r="H121" s="203">
        <f>2*(1/12*C121*E121^3+C121*E121*((B121/2-E121/2)^2))+
1/12*D121*(B121-2*E121)^3+
4*(1/12*AX121^4+
AX121^2*((AX121/(6-3*PI()/2))-AX121/2)^2-
(PI()*AX121^4/16+PI()*AX121^2/4*((AX121/(6-3*PI()/2))-4*AX121/(3*PI()))^2)+
(AX121^2-PI()*AX121^2/4)*((B121/2-E121-(AX121-AX121/(6-3*PI()/2)))^2))</f>
        <v>109.94963047464682</v>
      </c>
      <c r="I121" s="180">
        <f>2*((1/12)*E121*C121^3)+(1/12)*(B121-2*E121)*D121^3+4*((AX121^2-PI()*AX121^2/4)*(D121/2+(AX121-(AX121/(6-3*PI()/2))))^2)</f>
        <v>37.141182255903026</v>
      </c>
      <c r="J121" s="181">
        <f>F121*((B121/2)-((C121*E121*(E121/2))+(D121*(B121/2-E121)*(E121+(B121/2-E121)/2))+(2*(AX121^2-PI()*AX121^2/4)*(E121+(AX121-AX121/(6-3*PI()/2)))))/(F121/2))</f>
        <v>30.427768323271064</v>
      </c>
      <c r="K121" s="190">
        <f>(Table_03[[#This Row],[Width w (in)]]^2*Table_03[[#This Row],[Flange Thickness tf (in)]])/2+0.25*Table_03[[#This Row],[Web Thickness tw (in)]]^2*(Table_03[[#This Row],[Depth h (in)]]-2*Table_03[[#This Row],[Flange Thickness tf (in)]])</f>
        <v>14.064783562500001</v>
      </c>
      <c r="L121" s="190">
        <f>Table_03[[#This Row],[Static Parameters Moment of Inertia Ix (in4)]]/(Table_03[[#This Row],[Depth h (in)]]/2)</f>
        <v>27.487407618661706</v>
      </c>
      <c r="M121" s="190">
        <f>Table_03[[#This Row],[Static Parameters Moment of Inertia Iy (in4)]]/(Table_03[[#This Row],[Width w (in)]]/2)</f>
        <v>9.2852955639757564</v>
      </c>
      <c r="N121" s="191">
        <v>50</v>
      </c>
      <c r="O121" s="169">
        <f>SQRT(Table_03[[#This Row],[Static Parameters Moment of Inertia Ix (in4)]]/Table_03[[#This Row],[Sectional Area (in2)]])</f>
        <v>3.4702558761672075</v>
      </c>
      <c r="P121" s="190">
        <f>SQRT(Table_03[[#This Row],[Static Parameters Moment of Inertia Iy (in4)]]/Table_03[[#This Row],[Sectional Area (in2)]])</f>
        <v>2.0169376507357444</v>
      </c>
      <c r="Q121" s="190">
        <f>($B$6*$B$5*12)/Table_03[[#This Row],[ry (in)2]]</f>
        <v>89.021095884894237</v>
      </c>
      <c r="R121" s="190">
        <f>(PI()^2*$B$4)/(Table_03[[#This Row],[KL/ry]]^2)</f>
        <v>36.117016755710871</v>
      </c>
      <c r="S121" s="190">
        <f>IF(Table_03[[#This Row],[Strength (ksi)]]/Table_03[[#This Row],[Fe,y]]&lt;2.25,(0.658^(Table_03[[#This Row],[Strength (ksi)]]/Table_03[[#This Row],[Fe,y]])*Table_03[[#This Row],[Strength (ksi)]]),0.877*Table_03[[#This Row],[Fe,y]])</f>
        <v>28.010698217757792</v>
      </c>
      <c r="T121" s="190">
        <f>Table_03[[#This Row],[Fcr,y]]*Table_03[[#This Row],[Sectional Area (in2)]]</f>
        <v>255.73767472812872</v>
      </c>
      <c r="U121" s="190">
        <f>1.76*Table_03[[#This Row],[ry (in)2]]*SQRT($B$4/Table_03[[#This Row],[Strength (ksi)]])/12</f>
        <v>7.1242293410527386</v>
      </c>
      <c r="V12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24.182614049863378</v>
      </c>
      <c r="W121" s="190">
        <f>Table_03[[#This Row],[Depth h (in)]]-Table_03[[#This Row],[Flange Thickness tf (in)]]</f>
        <v>7.5650000000000004</v>
      </c>
      <c r="X121" s="190">
        <f>(Table_03[[#This Row],[Static Parameters Moment of Inertia Iy (in4)]]*Table_03[[#This Row],[ho]]^2)/4</f>
        <v>531.39026902227056</v>
      </c>
      <c r="Y121" s="190">
        <f>SQRT((SQRT(Table_03[[#This Row],[Static Parameters Moment of Inertia Iy (in4)]]*Table_03[[#This Row],[Cw*]])/Table_03[[#This Row],[Static Parameters Elastic Section Modulus Sx (in3)2]]))</f>
        <v>2.2607390650166113</v>
      </c>
      <c r="Z121" s="190">
        <f>(2*Table_03[[#This Row],[Width w (in)]]*Table_03[[#This Row],[Flange Thickness tf (in)]]^3/3)+((Table_03[[#This Row],[Depth h (in)]]-Table_03[[#This Row],[Flange Thickness tf (in)]]*2)*Table_03[[#This Row],[Web Thickness tw (in)]]^3)/3</f>
        <v>0.49401975375000007</v>
      </c>
      <c r="AA121" s="190">
        <f>Table_03[[#This Row],[Width w (in)]]*0.5/Table_03[[#This Row],[Flange Thickness tf (in)]]</f>
        <v>9.1954022988505741</v>
      </c>
      <c r="AB121" s="190">
        <f>0.38*SQRT($B$4/Table_03[[#This Row],[Strength (ksi)]])</f>
        <v>9.1516118798821449</v>
      </c>
      <c r="AC121" s="190">
        <f>1*SQRT($B$4/Table_03[[#This Row],[Strength (ksi)]])</f>
        <v>24.083189157584592</v>
      </c>
      <c r="AD121" s="190">
        <f>(PI()^2*$B$4/(12*$B$5/Table_03[[#This Row],[rts]])^2)*SQRT(1+0.078*(Table_03[[#This Row],[J*]]/(Table_03[[#This Row],[Static Parameters Elastic Section Modulus Sx (in3)2]]*Table_03[[#This Row],[ho]])*$B$4/(12*$B$5/Table_03[[#This Row],[rts]])^2))</f>
        <v>200.48446483656465</v>
      </c>
      <c r="AE121" s="190">
        <f>0.69*$B$4/Table_03[[#This Row],[b/t]]^2</f>
        <v>236.64951562500002</v>
      </c>
      <c r="AF121" s="192">
        <f>Table_03[[#This Row],[Strength (ksi)]]*Table_03[[#This Row],[Static Parameters Plastic Section Modulus Zx (in3)]]</f>
        <v>1521.3884161635531</v>
      </c>
      <c r="AG121" s="190">
        <f>Table_03[[#This Row],[Mp (k-in)]]-(Table_03[[#This Row],[Mp (k-in)]]-0.7*Table_03[[#This Row],[Strength (ksi)]]*Table_03[[#This Row],[Static Parameters Elastic Section Modulus Sx (in3)2]])*((Table_03[[#This Row],[b/t]]-Table_03[[#This Row],[λpf]])/(Table_03[[#This Row],[λrf]]-Table_03[[#This Row],[λpf]]))</f>
        <v>1519.7480497546478</v>
      </c>
      <c r="AH121" s="193">
        <f>0.9*$B$4*Table_03[[#This Row],[kc]]*Table_03[[#This Row],[Static Parameters Elastic Section Modulus Sx (in3)2]]/Table_03[[#This Row],[b/t]]^2</f>
        <v>6405.7538930261908</v>
      </c>
      <c r="AI121" s="194" t="str">
        <f>IF(Table_03[[#This Row],[b/t]]&lt;Table_03[[#This Row],[λpf]],"Compact",IF(AND(Table_03[[#This Row],[b/t]]&gt;Table_03[[#This Row],[λpf]],Table_03[[#This Row],[λrf]]&gt;Table_03[[#This Row],[b/t]]),"Non-Compact","Slender"))</f>
        <v>Non-Compact</v>
      </c>
      <c r="AJ121" s="195">
        <f>IF(Table_03[[#This Row],[Controlling LBx]]="Compact",Table_03[[#This Row],[Mp (k-in)]],IF(Table_03[[#This Row],[Controlling LBx]]="Non-Compact",Table_03[[#This Row],[Mnlb,Non-Compact (k-in)]],IF(Table_03[[#This Row],[Controlling LBx]]="Slender",Table_03[[#This Row],[Mnlb,slender (k-in)]],"ERROR")))</f>
        <v>1519.7480497546478</v>
      </c>
      <c r="AK121" s="192">
        <f>Table_03[[#This Row],[Mp (k-in)]]-(Table_03[[#This Row],[Mp (k-in)]]-0.7*Table_03[[#This Row],[Strength (ksi)]]*Table_03[[#This Row],[Static Parameters Elastic Section Modulus Sx (in3)2]])*(($B$5-Table_03[[#This Row],[Lp (ft)]])/(Table_03[[#This Row],[Lr]]-Table_03[[#This Row],[Lp (ft)]]))</f>
        <v>1521.363146947218</v>
      </c>
      <c r="AL121" s="196">
        <f>Table_03[[#This Row],[Fcrx]]*Table_03[[#This Row],[Static Parameters Elastic Section Modulus Sx (in3)2]]</f>
        <v>5510.7982061719022</v>
      </c>
      <c r="AM121" s="197" t="str">
        <f>IF($B$5&lt;Table_03[[#This Row],[Lp (ft)]],"Yielding Controls",IF(AND($B$5&gt;Table_03[[#This Row],[Lp (ft)]],Table_03[[#This Row],[Lr]]&gt;$B$5),"Mltb,p Controls","Mltb,r Controls"))</f>
        <v>Mltb,p Controls</v>
      </c>
      <c r="AN121" s="198">
        <f>IF(Table_03[[#This Row],[Controlling LTB]]="Yielding Controls",Table_03[[#This Row],[Mp (k-in)]],IF(Table_03[[#This Row],[Controlling LTB]]="Mltb,p Controls",Table_03[[#This Row],[Mnltbp (k-in)]],IF(Table_03[[#This Row],[Controlling LTB]]="Mltb,r Controls",Table_03[[#This Row],[Mnltbr (k-in)]],"ERROR")))</f>
        <v>1521.363146947218</v>
      </c>
      <c r="AO121" s="199">
        <f>MIN(Table_03[[#This Row],[Strength (ksi)]]*Table_03[[#This Row],[Static Parameters Plastic Section Modulus Zy (in3)]],1.6*Table_03[[#This Row],[Strength (ksi)]]*Table_03[[#This Row],[Static Parameters Elastic Section Modulus Sy (in3)3]])</f>
        <v>703.23917812500008</v>
      </c>
      <c r="AP121" s="169">
        <f>MIN(Table_03[[#This Row],[Mny (k-in)]],Table_03[[#This Row],[Mny (k-in)]]-(Table_03[[#This Row],[Mny (k-in)]]-0.7*Table_03[[#This Row],[Static Parameters Elastic Section Modulus Sy (in3)3]]*Table_03[[#This Row],[Strength (ksi)]])*((Table_03[[#This Row],[b/t]]-Table_03[[#This Row],[λpf]])/(Table_03[[#This Row],[λrf]]-Table_03[[#This Row],[λpf]])))</f>
        <v>702.12985835708002</v>
      </c>
      <c r="AQ121" s="196">
        <f>MIN(Table_03[[#This Row],[Mny (k-in)]],Table_03[[#This Row],[Fcry]]*Table_03[[#This Row],[Static Parameters Elastic Section Modulus Sy (in3)3]])</f>
        <v>703.23917812500008</v>
      </c>
      <c r="AR121" s="197" t="str">
        <f>IF(Table_03[[#This Row],[b/t]]&lt;Table_03[[#This Row],[λpf]],"Compact",IF(AND(Table_03[[#This Row],[b/t]]&gt;Table_03[[#This Row],[λpf]],Table_03[[#This Row],[λrf]]&gt;Table_03[[#This Row],[b/t]]),"Non-Compact","Slender"))</f>
        <v>Non-Compact</v>
      </c>
      <c r="AS121" s="198">
        <f>IF(Table_03[[#This Row],[Controlling Lby]]="Compact",Table_03[[#This Row],[Mny (k-in)]],IF(Table_03[[#This Row],[Controlling Lby]]="Non-Compact",Table_03[[#This Row],[Mlby,Non-Compact (k-in)]],IF(Table_03[[#This Row],[Controlling Lby]]="Slender",Table_03[[#This Row],[Mlby,Slender (k-in)]],"ERROR")))</f>
        <v>702.12985835708002</v>
      </c>
      <c r="AT121" s="199">
        <f>MIN(Table_03[[#This Row],[LBx]],Table_03[[#This Row],[LTB]],Table_03[[#This Row],[Mp (k-in)]])</f>
        <v>1519.7480497546478</v>
      </c>
      <c r="AU121" s="169">
        <f>Table_03[[#This Row],[Mp (k-in)]]</f>
        <v>1521.3884161635531</v>
      </c>
      <c r="AV121" s="169">
        <f>MIN(Table_03[[#This Row],[LBy]],Table_03[[#This Row],[Mny (k-in)]])</f>
        <v>702.12985835708002</v>
      </c>
      <c r="AW121" s="200">
        <f>Table_03[[#This Row],[Mny (k-in)]]</f>
        <v>703.23917812500008</v>
      </c>
      <c r="AX121" s="165">
        <f>AX120+$B$1</f>
        <v>0.40087976905008854</v>
      </c>
      <c r="AY121" s="165">
        <f>IF(4/SQRT((Table_03[[#This Row],[Depth h (in)]]-Table_03[[#This Row],[Flange Thickness tf (in)]]*2)/Table_03[[#This Row],[Web Thickness tw (in)]])&lt;0.35,0.35,IF(4/SQRT(Table_03[[#This Row],[Depth h (in)]]/Table_03[[#This Row],[Web Thickness tw (in)]])&gt;0.76,0.76,4/SQRT(Table_03[[#This Row],[Depth h (in)]]/Table_03[[#This Row],[Web Thickness tw (in)]])))</f>
        <v>0.75498344352707503</v>
      </c>
      <c r="AZ121" s="165"/>
      <c r="BB121" s="164">
        <f>Table_03[[#This Row],[Controlling Mnx @ AG (k-in)]]*12000</f>
        <v>18236976.597055774</v>
      </c>
    </row>
    <row r="122" spans="1:54" ht="14.4" thickBot="1" x14ac:dyDescent="0.35">
      <c r="A122" s="179" t="s">
        <v>214</v>
      </c>
      <c r="B122" s="180">
        <v>8.06</v>
      </c>
      <c r="C122" s="180">
        <v>6.5350000000000001</v>
      </c>
      <c r="D122" s="180">
        <v>0.28499999999999998</v>
      </c>
      <c r="E122" s="180">
        <v>0.46500000000000002</v>
      </c>
      <c r="F122" s="181">
        <v>8.3000000000000007</v>
      </c>
      <c r="G122" s="180">
        <v>28</v>
      </c>
      <c r="H122" s="180">
        <v>98</v>
      </c>
      <c r="I122" s="180">
        <v>21.7</v>
      </c>
      <c r="J122" s="181">
        <f>Table_03[[#This Row],[Width w (in)]]*Table_03[[#This Row],[Flange Thickness tf (in)]]*(Table_03[[#This Row],[Depth h (in)]]-Table_03[[#This Row],[Flange Thickness tf (in)]])+0.25*Table_03[[#This Row],[Web Thickness tw (in)]]*(Table_03[[#This Row],[Depth h (in)]]-2*Table_03[[#This Row],[Flange Thickness tf (in)]])^2</f>
        <v>26.701625250000003</v>
      </c>
      <c r="K122" s="181">
        <f>(Table_03[[#This Row],[Width w (in)]]^2*Table_03[[#This Row],[Flange Thickness tf (in)]])/2+0.25*Table_03[[#This Row],[Web Thickness tw (in)]]^2*(Table_03[[#This Row],[Depth h (in)]]-2*Table_03[[#This Row],[Flange Thickness tf (in)]])</f>
        <v>10.073980875000002</v>
      </c>
      <c r="L122" s="181">
        <v>24.3</v>
      </c>
      <c r="M122" s="181">
        <v>6.6</v>
      </c>
      <c r="N122" s="182">
        <v>50</v>
      </c>
      <c r="O122" s="181">
        <f>SQRT(Table_03[[#This Row],[Static Parameters Moment of Inertia Ix (in4)]]/Table_03[[#This Row],[Sectional Area (in2)]])</f>
        <v>3.4361648557167115</v>
      </c>
      <c r="P122" s="181">
        <f>SQRT(Table_03[[#This Row],[Static Parameters Moment of Inertia Iy (in4)]]/Table_03[[#This Row],[Sectional Area (in2)]])</f>
        <v>1.6169285176918926</v>
      </c>
      <c r="Q122" s="181">
        <f>($B$6*$B$5*12)/Table_03[[#This Row],[ry (in)2]]</f>
        <v>111.04386992710178</v>
      </c>
      <c r="R122" s="181">
        <f>(PI()^2*$B$4)/(Table_03[[#This Row],[KL/ry]]^2)</f>
        <v>23.211786421305934</v>
      </c>
      <c r="S122" s="181">
        <f>IF(Table_03[[#This Row],[Strength (ksi)]]/Table_03[[#This Row],[Fe,y]]&lt;2.25,(0.658^(Table_03[[#This Row],[Strength (ksi)]]/Table_03[[#This Row],[Fe,y]])*Table_03[[#This Row],[Strength (ksi)]]),0.877*Table_03[[#This Row],[Fe,y]])</f>
        <v>20.296183878079848</v>
      </c>
      <c r="T122" s="181">
        <f>Table_03[[#This Row],[Fcr,y]]*Table_03[[#This Row],[Sectional Area (in2)]]</f>
        <v>168.45832618806276</v>
      </c>
      <c r="U122" s="181">
        <f>1.76*Table_03[[#This Row],[ry (in)2]]*SQRT($B$4/Table_03[[#This Row],[Strength (ksi)]])/12</f>
        <v>5.7113166507271176</v>
      </c>
      <c r="V12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20.435242470747319</v>
      </c>
      <c r="W122" s="181">
        <f>Table_03[[#This Row],[Depth h (in)]]-Table_03[[#This Row],[Flange Thickness tf (in)]]</f>
        <v>7.5950000000000006</v>
      </c>
      <c r="X122" s="181">
        <f>(Table_03[[#This Row],[Static Parameters Moment of Inertia Iy (in4)]]*Table_03[[#This Row],[ho]]^2)/4</f>
        <v>312.93583562500004</v>
      </c>
      <c r="Y122" s="181">
        <f>SQRT((SQRT(Table_03[[#This Row],[Static Parameters Moment of Inertia Iy (in4)]]*Table_03[[#This Row],[Cw*]])/Table_03[[#This Row],[Static Parameters Elastic Section Modulus Sx (in3)2]]))</f>
        <v>1.8415165292692912</v>
      </c>
      <c r="Z122" s="181">
        <f>(2*Table_03[[#This Row],[Width w (in)]]*Table_03[[#This Row],[Flange Thickness tf (in)]]^3/3)+((Table_03[[#This Row],[Depth h (in)]]-Table_03[[#This Row],[Flange Thickness tf (in)]]*2)*Table_03[[#This Row],[Web Thickness tw (in)]]^3)/3</f>
        <v>0.4930571700000001</v>
      </c>
      <c r="AA122" s="181">
        <f>Table_03[[#This Row],[Width w (in)]]*0.5/Table_03[[#This Row],[Flange Thickness tf (in)]]</f>
        <v>7.0268817204301071</v>
      </c>
      <c r="AB122" s="181">
        <f>0.38*SQRT($B$4/Table_03[[#This Row],[Strength (ksi)]])</f>
        <v>9.1516118798821449</v>
      </c>
      <c r="AC122" s="181">
        <f>1*SQRT($B$4/Table_03[[#This Row],[Strength (ksi)]])</f>
        <v>24.083189157584592</v>
      </c>
      <c r="AD122" s="181">
        <f>(PI()^2*$B$4/(12*$B$5/Table_03[[#This Row],[rts]])^2)*SQRT(1+0.078*(Table_03[[#This Row],[J*]]/(Table_03[[#This Row],[Static Parameters Elastic Section Modulus Sx (in3)2]]*Table_03[[#This Row],[ho]])*$B$4/(12*$B$5/Table_03[[#This Row],[rts]])^2))</f>
        <v>132.96111279272847</v>
      </c>
      <c r="AE122" s="181">
        <f>0.69*$B$4/Table_03[[#This Row],[b/t]]^2</f>
        <v>405.24886009006889</v>
      </c>
      <c r="AF122" s="183">
        <f>Table_03[[#This Row],[Strength (ksi)]]*Table_03[[#This Row],[Static Parameters Plastic Section Modulus Zx (in3)]]</f>
        <v>1335.0812625000001</v>
      </c>
      <c r="AG122" s="181">
        <f>Table_03[[#This Row],[Mp (k-in)]]-(Table_03[[#This Row],[Mp (k-in)]]-0.7*Table_03[[#This Row],[Strength (ksi)]]*Table_03[[#This Row],[Static Parameters Elastic Section Modulus Sx (in3)2]])*((Table_03[[#This Row],[b/t]]-Table_03[[#This Row],[λpf]])/(Table_03[[#This Row],[λrf]]-Table_03[[#This Row],[λpf]]))</f>
        <v>1404.0360958702577</v>
      </c>
      <c r="AH122" s="184">
        <f>0.9*$B$4*Table_03[[#This Row],[kc]]*Table_03[[#This Row],[Static Parameters Elastic Section Modulus Sx (in3)2]]/Table_03[[#This Row],[b/t]]^2</f>
        <v>9661.3183914390247</v>
      </c>
      <c r="AI122" s="185" t="str">
        <f>IF(Table_03[[#This Row],[b/t]]&lt;Table_03[[#This Row],[λpf]],"Compact",IF(AND(Table_03[[#This Row],[b/t]]&gt;Table_03[[#This Row],[λpf]],Table_03[[#This Row],[λrf]]&gt;Table_03[[#This Row],[b/t]]),"Non-Compact","Slender"))</f>
        <v>Compact</v>
      </c>
      <c r="AJ122" s="186">
        <f>IF(Table_03[[#This Row],[Controlling LBx]]="Compact",Table_03[[#This Row],[Mp (k-in)]],IF(Table_03[[#This Row],[Controlling LBx]]="Non-Compact",Table_03[[#This Row],[Mnlb,Non-Compact (k-in)]],IF(Table_03[[#This Row],[Controlling LBx]]="Slender",Table_03[[#This Row],[Mnlb,slender (k-in)]],"ERROR")))</f>
        <v>1335.0812625000001</v>
      </c>
      <c r="AK122" s="183">
        <f>Table_03[[#This Row],[Mp (k-in)]]-(Table_03[[#This Row],[Mp (k-in)]]-0.7*Table_03[[#This Row],[Strength (ksi)]]*Table_03[[#This Row],[Static Parameters Elastic Section Modulus Sx (in3)2]])*(($B$5-Table_03[[#This Row],[Lp (ft)]])/(Table_03[[#This Row],[Lr]]-Table_03[[#This Row],[Lp (ft)]]))</f>
        <v>1288.5553243405982</v>
      </c>
      <c r="AL122" s="184">
        <f>Table_03[[#This Row],[Fcrx]]*Table_03[[#This Row],[Static Parameters Elastic Section Modulus Sx (in3)2]]</f>
        <v>3230.9550408633017</v>
      </c>
      <c r="AM122" s="185" t="str">
        <f>IF($B$5&lt;Table_03[[#This Row],[Lp (ft)]],"Yielding Controls",IF(AND($B$5&gt;Table_03[[#This Row],[Lp (ft)]],Table_03[[#This Row],[Lr]]&gt;$B$5),"Mltb,p Controls","Mltb,r Controls"))</f>
        <v>Mltb,p Controls</v>
      </c>
      <c r="AN122" s="186">
        <f>IF(Table_03[[#This Row],[Controlling LTB]]="Yielding Controls",Table_03[[#This Row],[Mp (k-in)]],IF(Table_03[[#This Row],[Controlling LTB]]="Mltb,p Controls",Table_03[[#This Row],[Mnltbp (k-in)]],IF(Table_03[[#This Row],[Controlling LTB]]="Mltb,r Controls",Table_03[[#This Row],[Mnltbr (k-in)]],"ERROR")))</f>
        <v>1288.5553243405982</v>
      </c>
      <c r="AO122" s="183">
        <f>MIN(Table_03[[#This Row],[Strength (ksi)]]*Table_03[[#This Row],[Static Parameters Plastic Section Modulus Zy (in3)]],1.6*Table_03[[#This Row],[Strength (ksi)]]*Table_03[[#This Row],[Static Parameters Elastic Section Modulus Sy (in3)3]])</f>
        <v>503.6990437500001</v>
      </c>
      <c r="AP122" s="181">
        <f>MIN(Table_03[[#This Row],[Mny (k-in)]],Table_03[[#This Row],[Mny (k-in)]]-(Table_03[[#This Row],[Mny (k-in)]]-0.7*Table_03[[#This Row],[Static Parameters Elastic Section Modulus Sy (in3)3]]*Table_03[[#This Row],[Strength (ksi)]])*((Table_03[[#This Row],[b/t]]-Table_03[[#This Row],[λpf]])/(Table_03[[#This Row],[λrf]]-Table_03[[#This Row],[λpf]])))</f>
        <v>503.6990437500001</v>
      </c>
      <c r="AQ122" s="184">
        <f>MIN(Table_03[[#This Row],[Mny (k-in)]],Table_03[[#This Row],[Fcry]]*Table_03[[#This Row],[Static Parameters Elastic Section Modulus Sy (in3)3]])</f>
        <v>503.6990437500001</v>
      </c>
      <c r="AR122" s="185" t="str">
        <f>IF(Table_03[[#This Row],[b/t]]&lt;Table_03[[#This Row],[λpf]],"Compact",IF(AND(Table_03[[#This Row],[b/t]]&gt;Table_03[[#This Row],[λpf]],Table_03[[#This Row],[λrf]]&gt;Table_03[[#This Row],[b/t]]),"Non-Compact","Slender"))</f>
        <v>Compact</v>
      </c>
      <c r="AS122" s="186">
        <f>IF(Table_03[[#This Row],[Controlling Lby]]="Compact",Table_03[[#This Row],[Mny (k-in)]],IF(Table_03[[#This Row],[Controlling Lby]]="Non-Compact",Table_03[[#This Row],[Mlby,Non-Compact (k-in)]],IF(Table_03[[#This Row],[Controlling Lby]]="Slender",Table_03[[#This Row],[Mlby,Slender (k-in)]],"ERROR")))</f>
        <v>503.6990437500001</v>
      </c>
      <c r="AT122" s="183">
        <f>MIN(Table_03[[#This Row],[LBx]],Table_03[[#This Row],[LTB]],Table_03[[#This Row],[Mp (k-in)]])</f>
        <v>1288.5553243405982</v>
      </c>
      <c r="AU122" s="181">
        <f>Table_03[[#This Row],[Mp (k-in)]]</f>
        <v>1335.0812625000001</v>
      </c>
      <c r="AV122" s="181">
        <f>MIN(Table_03[[#This Row],[LBy]],Table_03[[#This Row],[Mny (k-in)]])</f>
        <v>503.6990437500001</v>
      </c>
      <c r="AW122" s="187">
        <f>Table_03[[#This Row],[Mny (k-in)]]</f>
        <v>503.6990437500001</v>
      </c>
      <c r="AX122" s="165">
        <f>SQRT(((Table_03[[#This Row],[Sectional Area (in2)]]-(Table_03[[#This Row],[Flange Thickness tf (in)]]*Table_03[[#This Row],[Width w (in)]]*2+Table_03[[#This Row],[Web Thickness tw (in)]]*((Table_03[[#This Row],[Depth h (in)]]-2*Table_03[[#This Row],[Flange Thickness tf (in)]]))))/4)/(1-PI()/4))</f>
        <v>0.47096296737333138</v>
      </c>
      <c r="AY122" s="165">
        <f>IF(4/SQRT((Table_03[[#This Row],[Depth h (in)]]-Table_03[[#This Row],[Flange Thickness tf (in)]]*2)/Table_03[[#This Row],[Web Thickness tw (in)]])&lt;0.35,0.35,IF(4/SQRT(Table_03[[#This Row],[Depth h (in)]]/Table_03[[#This Row],[Web Thickness tw (in)]])&gt;0.76,0.76,4/SQRT(Table_03[[#This Row],[Depth h (in)]]/Table_03[[#This Row],[Web Thickness tw (in)]])))</f>
        <v>0.75216808216072284</v>
      </c>
      <c r="AZ122" s="165"/>
    </row>
    <row r="123" spans="1:54" ht="14.4" thickBot="1" x14ac:dyDescent="0.35">
      <c r="A123" s="188" t="s">
        <v>215</v>
      </c>
      <c r="B123" s="189">
        <f>B122-$B$1*2</f>
        <v>8.06</v>
      </c>
      <c r="C123" s="189">
        <f>C122-$B$1*2</f>
        <v>6.5350000000000001</v>
      </c>
      <c r="D123" s="189">
        <f>D122-$B$1*2</f>
        <v>0.28499999999999998</v>
      </c>
      <c r="E123" s="189">
        <f>E122-$B$1*2</f>
        <v>0.46500000000000002</v>
      </c>
      <c r="F123" s="190">
        <f>4*(Table_03[[#This Row],[Fillet Radius]]^2*(1-PI()/4))+2*Table_03[[#This Row],[Width w (in)]]*Table_03[[#This Row],[Flange Thickness tf (in)]]+Table_03[[#This Row],[Web Thickness tw (in)]]*(Table_03[[#This Row],[Depth h (in)]]-2*Table_03[[#This Row],[Flange Thickness tf (in)]])</f>
        <v>8.3000000000000007</v>
      </c>
      <c r="G123" s="189"/>
      <c r="H123" s="203">
        <f>2*(1/12*C123*E123^3+C123*E123*((B123/2-E123/2)^2))+
1/12*D123*(B123-2*E123)^3+
4*(1/12*AX123^4+
AX123^2*((AX123/(6-3*PI()/2))-AX123/2)^2-
(PI()*AX123^4/16+PI()*AX123^2/4*((AX123/(6-3*PI()/2))-4*AX123/(3*PI()))^2)+
(AX123^2-PI()*AX123^2/4)*((B123/2-E123-(AX123-AX123/(6-3*PI()/2)))^2))</f>
        <v>98.615266145907711</v>
      </c>
      <c r="I123" s="180">
        <f>2*((1/12)*E123*C123^3)+(1/12)*(B123-2*E123)*D123^3+4*((AX123^2-PI()*AX123^2/4)*(D123/2+(AX123-(AX123/(6-3*PI()/2))))^2)</f>
        <v>21.654537778647427</v>
      </c>
      <c r="J123" s="181">
        <f>F123*((B123/2)-((C123*E123*(E123/2))+(D123*(B123/2-E123)*(E123+(B123/2-E123)/2))+(2*(AX123^2-PI()*AX123^2/4)*(E123+(AX123-AX123/(6-3*PI()/2)))))/(F123/2))</f>
        <v>27.360371545594099</v>
      </c>
      <c r="K123" s="190">
        <f>(Table_03[[#This Row],[Width w (in)]]^2*Table_03[[#This Row],[Flange Thickness tf (in)]])/2+0.25*Table_03[[#This Row],[Web Thickness tw (in)]]^2*(Table_03[[#This Row],[Depth h (in)]]-2*Table_03[[#This Row],[Flange Thickness tf (in)]])</f>
        <v>10.073980875000002</v>
      </c>
      <c r="L123" s="190">
        <f>Table_03[[#This Row],[Static Parameters Moment of Inertia Ix (in4)]]/(Table_03[[#This Row],[Depth h (in)]]/2)</f>
        <v>24.470289366230201</v>
      </c>
      <c r="M123" s="190">
        <f>Table_03[[#This Row],[Static Parameters Moment of Inertia Iy (in4)]]/(Table_03[[#This Row],[Width w (in)]]/2)</f>
        <v>6.6272495114452719</v>
      </c>
      <c r="N123" s="191">
        <v>50</v>
      </c>
      <c r="O123" s="169">
        <f>SQRT(Table_03[[#This Row],[Static Parameters Moment of Inertia Ix (in4)]]/Table_03[[#This Row],[Sectional Area (in2)]])</f>
        <v>3.4469344883500228</v>
      </c>
      <c r="P123" s="190">
        <f>SQRT(Table_03[[#This Row],[Static Parameters Moment of Inertia Iy (in4)]]/Table_03[[#This Row],[Sectional Area (in2)]])</f>
        <v>1.615233870143493</v>
      </c>
      <c r="Q123" s="190">
        <f>($B$6*$B$5*12)/Table_03[[#This Row],[ry (in)2]]</f>
        <v>111.1603733173632</v>
      </c>
      <c r="R123" s="190">
        <f>(PI()^2*$B$4)/(Table_03[[#This Row],[KL/ry]]^2)</f>
        <v>23.163156957145841</v>
      </c>
      <c r="S123" s="190">
        <f>IF(Table_03[[#This Row],[Strength (ksi)]]/Table_03[[#This Row],[Fe,y]]&lt;2.25,(0.658^(Table_03[[#This Row],[Strength (ksi)]]/Table_03[[#This Row],[Fe,y]])*Table_03[[#This Row],[Strength (ksi)]]),0.877*Table_03[[#This Row],[Fe,y]])</f>
        <v>20.257803052595897</v>
      </c>
      <c r="T123" s="190">
        <f>Table_03[[#This Row],[Fcr,y]]*Table_03[[#This Row],[Sectional Area (in2)]]</f>
        <v>168.13976533654596</v>
      </c>
      <c r="U123" s="190">
        <f>1.76*Table_03[[#This Row],[ry (in)2]]*SQRT($B$4/Table_03[[#This Row],[Strength (ksi)]])/12</f>
        <v>5.7053308148324646</v>
      </c>
      <c r="V12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20.296770378069482</v>
      </c>
      <c r="W123" s="190">
        <f>Table_03[[#This Row],[Depth h (in)]]-Table_03[[#This Row],[Flange Thickness tf (in)]]</f>
        <v>7.5950000000000006</v>
      </c>
      <c r="X123" s="190">
        <f>(Table_03[[#This Row],[Static Parameters Moment of Inertia Iy (in4)]]*Table_03[[#This Row],[ho]]^2)/4</f>
        <v>312.28022464673575</v>
      </c>
      <c r="Y123" s="190">
        <f>SQRT((SQRT(Table_03[[#This Row],[Static Parameters Moment of Inertia Iy (in4)]]*Table_03[[#This Row],[Cw*]])/Table_03[[#This Row],[Static Parameters Elastic Section Modulus Sx (in3)2]]))</f>
        <v>1.8331744592134751</v>
      </c>
      <c r="Z123" s="190">
        <f>(2*Table_03[[#This Row],[Width w (in)]]*Table_03[[#This Row],[Flange Thickness tf (in)]]^3/3)+((Table_03[[#This Row],[Depth h (in)]]-Table_03[[#This Row],[Flange Thickness tf (in)]]*2)*Table_03[[#This Row],[Web Thickness tw (in)]]^3)/3</f>
        <v>0.4930571700000001</v>
      </c>
      <c r="AA123" s="190">
        <f>Table_03[[#This Row],[Width w (in)]]*0.5/Table_03[[#This Row],[Flange Thickness tf (in)]]</f>
        <v>7.0268817204301071</v>
      </c>
      <c r="AB123" s="190">
        <f>0.38*SQRT($B$4/Table_03[[#This Row],[Strength (ksi)]])</f>
        <v>9.1516118798821449</v>
      </c>
      <c r="AC123" s="190">
        <f>1*SQRT($B$4/Table_03[[#This Row],[Strength (ksi)]])</f>
        <v>24.083189157584592</v>
      </c>
      <c r="AD123" s="190">
        <f>(PI()^2*$B$4/(12*$B$5/Table_03[[#This Row],[rts]])^2)*SQRT(1+0.078*(Table_03[[#This Row],[J*]]/(Table_03[[#This Row],[Static Parameters Elastic Section Modulus Sx (in3)2]]*Table_03[[#This Row],[ho]])*$B$4/(12*$B$5/Table_03[[#This Row],[rts]])^2))</f>
        <v>131.75627873458595</v>
      </c>
      <c r="AE123" s="190">
        <f>0.69*$B$4/Table_03[[#This Row],[b/t]]^2</f>
        <v>405.24886009006889</v>
      </c>
      <c r="AF123" s="192">
        <f>Table_03[[#This Row],[Strength (ksi)]]*Table_03[[#This Row],[Static Parameters Plastic Section Modulus Zx (in3)]]</f>
        <v>1368.0185772797049</v>
      </c>
      <c r="AG123" s="190">
        <f>Table_03[[#This Row],[Mp (k-in)]]-(Table_03[[#This Row],[Mp (k-in)]]-0.7*Table_03[[#This Row],[Strength (ksi)]]*Table_03[[#This Row],[Static Parameters Elastic Section Modulus Sx (in3)2]])*((Table_03[[#This Row],[b/t]]-Table_03[[#This Row],[λpf]])/(Table_03[[#This Row],[λrf]]-Table_03[[#This Row],[λpf]]))</f>
        <v>1440.812204214001</v>
      </c>
      <c r="AH123" s="193">
        <f>0.9*$B$4*Table_03[[#This Row],[kc]]*Table_03[[#This Row],[Static Parameters Elastic Section Modulus Sx (in3)2]]/Table_03[[#This Row],[b/t]]^2</f>
        <v>9729.0229093742655</v>
      </c>
      <c r="AI123" s="194" t="str">
        <f>IF(Table_03[[#This Row],[b/t]]&lt;Table_03[[#This Row],[λpf]],"Compact",IF(AND(Table_03[[#This Row],[b/t]]&gt;Table_03[[#This Row],[λpf]],Table_03[[#This Row],[λrf]]&gt;Table_03[[#This Row],[b/t]]),"Non-Compact","Slender"))</f>
        <v>Compact</v>
      </c>
      <c r="AJ123" s="195">
        <f>IF(Table_03[[#This Row],[Controlling LBx]]="Compact",Table_03[[#This Row],[Mp (k-in)]],IF(Table_03[[#This Row],[Controlling LBx]]="Non-Compact",Table_03[[#This Row],[Mnlb,Non-Compact (k-in)]],IF(Table_03[[#This Row],[Controlling LBx]]="Slender",Table_03[[#This Row],[Mnlb,slender (k-in)]],"ERROR")))</f>
        <v>1368.0185772797049</v>
      </c>
      <c r="AK123" s="192">
        <f>Table_03[[#This Row],[Mp (k-in)]]-(Table_03[[#This Row],[Mp (k-in)]]-0.7*Table_03[[#This Row],[Strength (ksi)]]*Table_03[[#This Row],[Static Parameters Elastic Section Modulus Sx (in3)2]])*(($B$5-Table_03[[#This Row],[Lp (ft)]])/(Table_03[[#This Row],[Lr]]-Table_03[[#This Row],[Lp (ft)]]))</f>
        <v>1318.2466706788957</v>
      </c>
      <c r="AL123" s="196">
        <f>Table_03[[#This Row],[Fcrx]]*Table_03[[#This Row],[Static Parameters Elastic Section Modulus Sx (in3)2]]</f>
        <v>3224.1142664530007</v>
      </c>
      <c r="AM123" s="197" t="str">
        <f>IF($B$5&lt;Table_03[[#This Row],[Lp (ft)]],"Yielding Controls",IF(AND($B$5&gt;Table_03[[#This Row],[Lp (ft)]],Table_03[[#This Row],[Lr]]&gt;$B$5),"Mltb,p Controls","Mltb,r Controls"))</f>
        <v>Mltb,p Controls</v>
      </c>
      <c r="AN123" s="198">
        <f>IF(Table_03[[#This Row],[Controlling LTB]]="Yielding Controls",Table_03[[#This Row],[Mp (k-in)]],IF(Table_03[[#This Row],[Controlling LTB]]="Mltb,p Controls",Table_03[[#This Row],[Mnltbp (k-in)]],IF(Table_03[[#This Row],[Controlling LTB]]="Mltb,r Controls",Table_03[[#This Row],[Mnltbr (k-in)]],"ERROR")))</f>
        <v>1318.2466706788957</v>
      </c>
      <c r="AO123" s="199">
        <f>MIN(Table_03[[#This Row],[Strength (ksi)]]*Table_03[[#This Row],[Static Parameters Plastic Section Modulus Zy (in3)]],1.6*Table_03[[#This Row],[Strength (ksi)]]*Table_03[[#This Row],[Static Parameters Elastic Section Modulus Sy (in3)3]])</f>
        <v>503.6990437500001</v>
      </c>
      <c r="AP123" s="169">
        <f>MIN(Table_03[[#This Row],[Mny (k-in)]],Table_03[[#This Row],[Mny (k-in)]]-(Table_03[[#This Row],[Mny (k-in)]]-0.7*Table_03[[#This Row],[Static Parameters Elastic Section Modulus Sy (in3)3]]*Table_03[[#This Row],[Strength (ksi)]])*((Table_03[[#This Row],[b/t]]-Table_03[[#This Row],[λpf]])/(Table_03[[#This Row],[λrf]]-Table_03[[#This Row],[λpf]])))</f>
        <v>503.6990437500001</v>
      </c>
      <c r="AQ123" s="196">
        <f>MIN(Table_03[[#This Row],[Mny (k-in)]],Table_03[[#This Row],[Fcry]]*Table_03[[#This Row],[Static Parameters Elastic Section Modulus Sy (in3)3]])</f>
        <v>503.6990437500001</v>
      </c>
      <c r="AR123" s="197" t="str">
        <f>IF(Table_03[[#This Row],[b/t]]&lt;Table_03[[#This Row],[λpf]],"Compact",IF(AND(Table_03[[#This Row],[b/t]]&gt;Table_03[[#This Row],[λpf]],Table_03[[#This Row],[λrf]]&gt;Table_03[[#This Row],[b/t]]),"Non-Compact","Slender"))</f>
        <v>Compact</v>
      </c>
      <c r="AS123" s="198">
        <f>IF(Table_03[[#This Row],[Controlling Lby]]="Compact",Table_03[[#This Row],[Mny (k-in)]],IF(Table_03[[#This Row],[Controlling Lby]]="Non-Compact",Table_03[[#This Row],[Mlby,Non-Compact (k-in)]],IF(Table_03[[#This Row],[Controlling Lby]]="Slender",Table_03[[#This Row],[Mlby,Slender (k-in)]],"ERROR")))</f>
        <v>503.6990437500001</v>
      </c>
      <c r="AT123" s="199">
        <f>MIN(Table_03[[#This Row],[LBx]],Table_03[[#This Row],[LTB]],Table_03[[#This Row],[Mp (k-in)]])</f>
        <v>1318.2466706788957</v>
      </c>
      <c r="AU123" s="169">
        <f>Table_03[[#This Row],[Mp (k-in)]]</f>
        <v>1368.0185772797049</v>
      </c>
      <c r="AV123" s="169">
        <f>MIN(Table_03[[#This Row],[LBy]],Table_03[[#This Row],[Mny (k-in)]])</f>
        <v>503.6990437500001</v>
      </c>
      <c r="AW123" s="200">
        <f>Table_03[[#This Row],[Mny (k-in)]]</f>
        <v>503.6990437500001</v>
      </c>
      <c r="AX123" s="165">
        <f>AX122+$B$1</f>
        <v>0.47096296737333138</v>
      </c>
      <c r="AY123" s="165">
        <f>IF(4/SQRT((Table_03[[#This Row],[Depth h (in)]]-Table_03[[#This Row],[Flange Thickness tf (in)]]*2)/Table_03[[#This Row],[Web Thickness tw (in)]])&lt;0.35,0.35,IF(4/SQRT(Table_03[[#This Row],[Depth h (in)]]/Table_03[[#This Row],[Web Thickness tw (in)]])&gt;0.76,0.76,4/SQRT(Table_03[[#This Row],[Depth h (in)]]/Table_03[[#This Row],[Web Thickness tw (in)]])))</f>
        <v>0.75216808216072284</v>
      </c>
      <c r="AZ123" s="165"/>
      <c r="BB123" s="164">
        <f>Table_03[[#This Row],[Controlling Mnx @ AG (k-in)]]*12000</f>
        <v>15818960.048146749</v>
      </c>
    </row>
    <row r="124" spans="1:54" x14ac:dyDescent="0.3">
      <c r="A124" s="188" t="s">
        <v>216</v>
      </c>
      <c r="B124" s="189">
        <v>8.11</v>
      </c>
      <c r="C124" s="189">
        <v>4.0149999999999997</v>
      </c>
      <c r="D124" s="189">
        <v>0.245</v>
      </c>
      <c r="E124" s="189">
        <v>0.315</v>
      </c>
      <c r="F124" s="190">
        <v>4.4000000000000004</v>
      </c>
      <c r="G124" s="189">
        <v>15</v>
      </c>
      <c r="H124" s="190">
        <v>48</v>
      </c>
      <c r="I124" s="190">
        <v>3.4</v>
      </c>
      <c r="J124" s="190">
        <f>Table_03[[#This Row],[Width w (in)]]*Table_03[[#This Row],[Flange Thickness tf (in)]]*(Table_03[[#This Row],[Depth h (in)]]-Table_03[[#This Row],[Flange Thickness tf (in)]])+0.25*Table_03[[#This Row],[Web Thickness tw (in)]]*(Table_03[[#This Row],[Depth h (in)]]-2*Table_03[[#This Row],[Flange Thickness tf (in)]])^2</f>
        <v>13.285493374999998</v>
      </c>
      <c r="K124" s="190">
        <f>(Table_03[[#This Row],[Width w (in)]]^2*Table_03[[#This Row],[Flange Thickness tf (in)]])/2+0.25*Table_03[[#This Row],[Web Thickness tw (in)]]^2*(Table_03[[#This Row],[Depth h (in)]]-2*Table_03[[#This Row],[Flange Thickness tf (in)]])</f>
        <v>2.6511821874999999</v>
      </c>
      <c r="L124" s="190">
        <v>11.8</v>
      </c>
      <c r="M124" s="190">
        <v>1.7</v>
      </c>
      <c r="N124" s="191">
        <v>50</v>
      </c>
      <c r="O124" s="169">
        <f>SQRT(Table_03[[#This Row],[Static Parameters Moment of Inertia Ix (in4)]]/Table_03[[#This Row],[Sectional Area (in2)]])</f>
        <v>3.3028912953790819</v>
      </c>
      <c r="P124" s="190">
        <f>SQRT(Table_03[[#This Row],[Static Parameters Moment of Inertia Iy (in4)]]/Table_03[[#This Row],[Sectional Area (in2)]])</f>
        <v>0.87904907299153245</v>
      </c>
      <c r="Q124" s="190">
        <f>($B$6*$B$5*12)/Table_03[[#This Row],[ry (in)2]]</f>
        <v>204.25480842493255</v>
      </c>
      <c r="R124" s="190">
        <f>(PI()^2*$B$4)/(Table_03[[#This Row],[KL/ry]]^2)</f>
        <v>6.8604588689699773</v>
      </c>
      <c r="S124" s="190">
        <f>IF(Table_03[[#This Row],[Strength (ksi)]]/Table_03[[#This Row],[Fe,y]]&lt;2.25,(0.658^(Table_03[[#This Row],[Strength (ksi)]]/Table_03[[#This Row],[Fe,y]])*Table_03[[#This Row],[Strength (ksi)]]),0.877*Table_03[[#This Row],[Fe,y]])</f>
        <v>6.01662242808667</v>
      </c>
      <c r="T124" s="190">
        <f>Table_03[[#This Row],[Fcr,y]]*Table_03[[#This Row],[Sectional Area (in2)]]</f>
        <v>26.47313868358135</v>
      </c>
      <c r="U124" s="190">
        <f>1.76*Table_03[[#This Row],[ry (in)2]]*SQRT($B$4/Table_03[[#This Row],[Strength (ksi)]])/12</f>
        <v>3.1049780818693211</v>
      </c>
      <c r="V12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9.7901245003506272</v>
      </c>
      <c r="W124" s="190">
        <f>Table_03[[#This Row],[Depth h (in)]]-Table_03[[#This Row],[Flange Thickness tf (in)]]</f>
        <v>7.794999999999999</v>
      </c>
      <c r="X124" s="190">
        <f>(Table_03[[#This Row],[Static Parameters Moment of Inertia Iy (in4)]]*Table_03[[#This Row],[ho]]^2)/4</f>
        <v>51.647721249999989</v>
      </c>
      <c r="Y124" s="190">
        <f>SQRT((SQRT(Table_03[[#This Row],[Static Parameters Moment of Inertia Iy (in4)]]*Table_03[[#This Row],[Cw*]])/Table_03[[#This Row],[Static Parameters Elastic Section Modulus Sx (in3)2]]))</f>
        <v>1.0597209418409503</v>
      </c>
      <c r="Z124" s="190">
        <f>(2*Table_03[[#This Row],[Width w (in)]]*Table_03[[#This Row],[Flange Thickness tf (in)]]^3/3)+((Table_03[[#This Row],[Depth h (in)]]-Table_03[[#This Row],[Flange Thickness tf (in)]]*2)*Table_03[[#This Row],[Web Thickness tw (in)]]^3)/3</f>
        <v>0.12032883041666664</v>
      </c>
      <c r="AA124" s="190">
        <f>Table_03[[#This Row],[Width w (in)]]*0.5/Table_03[[#This Row],[Flange Thickness tf (in)]]</f>
        <v>6.3730158730158726</v>
      </c>
      <c r="AB124" s="190">
        <f>0.38*SQRT($B$4/Table_03[[#This Row],[Strength (ksi)]])</f>
        <v>9.1516118798821449</v>
      </c>
      <c r="AC124" s="190">
        <f>1*SQRT($B$4/Table_03[[#This Row],[Strength (ksi)]])</f>
        <v>24.083189157584592</v>
      </c>
      <c r="AD124" s="190">
        <f>(PI()^2*$B$4/(12*$B$5/Table_03[[#This Row],[rts]])^2)*SQRT(1+0.078*(Table_03[[#This Row],[J*]]/(Table_03[[#This Row],[Static Parameters Elastic Section Modulus Sx (in3)2]]*Table_03[[#This Row],[ho]])*$B$4/(12*$B$5/Table_03[[#This Row],[rts]])^2))</f>
        <v>43.979191063181318</v>
      </c>
      <c r="AE124" s="190">
        <f>0.69*$B$4/Table_03[[#This Row],[b/t]]^2</f>
        <v>492.67110105473103</v>
      </c>
      <c r="AF124" s="192">
        <f>Table_03[[#This Row],[Strength (ksi)]]*Table_03[[#This Row],[Static Parameters Plastic Section Modulus Zx (in3)]]</f>
        <v>664.27466874999993</v>
      </c>
      <c r="AG124" s="190">
        <f>Table_03[[#This Row],[Mp (k-in)]]-(Table_03[[#This Row],[Mp (k-in)]]-0.7*Table_03[[#This Row],[Strength (ksi)]]*Table_03[[#This Row],[Static Parameters Elastic Section Modulus Sx (in3)2]])*((Table_03[[#This Row],[b/t]]-Table_03[[#This Row],[λpf]])/(Table_03[[#This Row],[λrf]]-Table_03[[#This Row],[λpf]]))</f>
        <v>711.03401494834259</v>
      </c>
      <c r="AH124" s="193">
        <f>0.9*$B$4*Table_03[[#This Row],[kc]]*Table_03[[#This Row],[Static Parameters Elastic Section Modulus Sx (in3)2]]/Table_03[[#This Row],[b/t]]^2</f>
        <v>5271.8751997778563</v>
      </c>
      <c r="AI124" s="194" t="str">
        <f>IF(Table_03[[#This Row],[b/t]]&lt;Table_03[[#This Row],[λpf]],"Compact",IF(AND(Table_03[[#This Row],[b/t]]&gt;Table_03[[#This Row],[λpf]],Table_03[[#This Row],[λrf]]&gt;Table_03[[#This Row],[b/t]]),"Non-Compact","Slender"))</f>
        <v>Compact</v>
      </c>
      <c r="AJ124" s="195">
        <f>IF(Table_03[[#This Row],[Controlling LBx]]="Compact",Table_03[[#This Row],[Mp (k-in)]],IF(Table_03[[#This Row],[Controlling LBx]]="Non-Compact",Table_03[[#This Row],[Mnlb,Non-Compact (k-in)]],IF(Table_03[[#This Row],[Controlling LBx]]="Slender",Table_03[[#This Row],[Mnlb,slender (k-in)]],"ERROR")))</f>
        <v>664.27466874999993</v>
      </c>
      <c r="AK124" s="192">
        <f>Table_03[[#This Row],[Mp (k-in)]]-(Table_03[[#This Row],[Mp (k-in)]]-0.7*Table_03[[#This Row],[Strength (ksi)]]*Table_03[[#This Row],[Static Parameters Elastic Section Modulus Sx (in3)2]])*(($B$5-Table_03[[#This Row],[Lp (ft)]])/(Table_03[[#This Row],[Lr]]-Table_03[[#This Row],[Lp (ft)]]))</f>
        <v>513.1740626281221</v>
      </c>
      <c r="AL124" s="196">
        <f>Table_03[[#This Row],[Fcrx]]*Table_03[[#This Row],[Static Parameters Elastic Section Modulus Sx (in3)2]]</f>
        <v>518.95445454553953</v>
      </c>
      <c r="AM124" s="197" t="str">
        <f>IF($B$5&lt;Table_03[[#This Row],[Lp (ft)]],"Yielding Controls",IF(AND($B$5&gt;Table_03[[#This Row],[Lp (ft)]],Table_03[[#This Row],[Lr]]&gt;$B$5),"Mltb,p Controls","Mltb,r Controls"))</f>
        <v>Mltb,p Controls</v>
      </c>
      <c r="AN124" s="198">
        <f>IF(Table_03[[#This Row],[Controlling LTB]]="Yielding Controls",Table_03[[#This Row],[Mp (k-in)]],IF(Table_03[[#This Row],[Controlling LTB]]="Mltb,p Controls",Table_03[[#This Row],[Mnltbp (k-in)]],IF(Table_03[[#This Row],[Controlling LTB]]="Mltb,r Controls",Table_03[[#This Row],[Mnltbr (k-in)]],"ERROR")))</f>
        <v>513.1740626281221</v>
      </c>
      <c r="AO124" s="199">
        <f>MIN(Table_03[[#This Row],[Strength (ksi)]]*Table_03[[#This Row],[Static Parameters Plastic Section Modulus Zy (in3)]],1.6*Table_03[[#This Row],[Strength (ksi)]]*Table_03[[#This Row],[Static Parameters Elastic Section Modulus Sy (in3)3]])</f>
        <v>132.55910937499999</v>
      </c>
      <c r="AP124" s="169">
        <f>MIN(Table_03[[#This Row],[Mny (k-in)]],Table_03[[#This Row],[Mny (k-in)]]-(Table_03[[#This Row],[Mny (k-in)]]-0.7*Table_03[[#This Row],[Static Parameters Elastic Section Modulus Sy (in3)3]]*Table_03[[#This Row],[Strength (ksi)]])*((Table_03[[#This Row],[b/t]]-Table_03[[#This Row],[λpf]])/(Table_03[[#This Row],[λrf]]-Table_03[[#This Row],[λpf]])))</f>
        <v>132.55910937499999</v>
      </c>
      <c r="AQ124" s="196">
        <f>MIN(Table_03[[#This Row],[Mny (k-in)]],Table_03[[#This Row],[Fcry]]*Table_03[[#This Row],[Static Parameters Elastic Section Modulus Sy (in3)3]])</f>
        <v>132.55910937499999</v>
      </c>
      <c r="AR124" s="197" t="str">
        <f>IF(Table_03[[#This Row],[b/t]]&lt;Table_03[[#This Row],[λpf]],"Compact",IF(AND(Table_03[[#This Row],[b/t]]&gt;Table_03[[#This Row],[λpf]],Table_03[[#This Row],[λrf]]&gt;Table_03[[#This Row],[b/t]]),"Non-Compact","Slender"))</f>
        <v>Compact</v>
      </c>
      <c r="AS124" s="198">
        <f>IF(Table_03[[#This Row],[Controlling Lby]]="Compact",Table_03[[#This Row],[Mny (k-in)]],IF(Table_03[[#This Row],[Controlling Lby]]="Non-Compact",Table_03[[#This Row],[Mlby,Non-Compact (k-in)]],IF(Table_03[[#This Row],[Controlling Lby]]="Slender",Table_03[[#This Row],[Mlby,Slender (k-in)]],"ERROR")))</f>
        <v>132.55910937499999</v>
      </c>
      <c r="AT124" s="199">
        <f>MIN(Table_03[[#This Row],[LBx]],Table_03[[#This Row],[LTB]],Table_03[[#This Row],[Mp (k-in)]])</f>
        <v>513.1740626281221</v>
      </c>
      <c r="AU124" s="169">
        <f>Table_03[[#This Row],[Mp (k-in)]]</f>
        <v>664.27466874999993</v>
      </c>
      <c r="AV124" s="169">
        <f>MIN(Table_03[[#This Row],[LBy]],Table_03[[#This Row],[Mny (k-in)]])</f>
        <v>132.55910937499999</v>
      </c>
      <c r="AW124" s="200">
        <f>Table_03[[#This Row],[Mny (k-in)]]</f>
        <v>132.55910937499999</v>
      </c>
      <c r="AX124" s="165">
        <f>SQRT(((Table_03[[#This Row],[Sectional Area (in2)]]-(Table_03[[#This Row],[Flange Thickness tf (in)]]*Table_03[[#This Row],[Width w (in)]]*2+Table_03[[#This Row],[Web Thickness tw (in)]]*((Table_03[[#This Row],[Depth h (in)]]-2*Table_03[[#This Row],[Flange Thickness tf (in)]]))))/4)/(1-PI()/4))</f>
        <v>0.21026121866743161</v>
      </c>
      <c r="AY124" s="165">
        <f>IF(4/SQRT((Table_03[[#This Row],[Depth h (in)]]-Table_03[[#This Row],[Flange Thickness tf (in)]]*2)/Table_03[[#This Row],[Web Thickness tw (in)]])&lt;0.35,0.35,IF(4/SQRT(Table_03[[#This Row],[Depth h (in)]]/Table_03[[#This Row],[Web Thickness tw (in)]])&gt;0.76,0.76,4/SQRT(Table_03[[#This Row],[Depth h (in)]]/Table_03[[#This Row],[Web Thickness tw (in)]])))</f>
        <v>0.69523656699983172</v>
      </c>
      <c r="AZ124" s="165"/>
    </row>
    <row r="125" spans="1:54" ht="14.4" thickBot="1" x14ac:dyDescent="0.35">
      <c r="A125" s="201" t="s">
        <v>217</v>
      </c>
      <c r="B125" s="202">
        <v>8.1199999999999992</v>
      </c>
      <c r="C125" s="202">
        <v>8.02</v>
      </c>
      <c r="D125" s="202">
        <v>0.31</v>
      </c>
      <c r="E125" s="202">
        <v>0.495</v>
      </c>
      <c r="F125" s="203">
        <v>10.3</v>
      </c>
      <c r="G125" s="204">
        <v>35</v>
      </c>
      <c r="H125" s="203">
        <v>127</v>
      </c>
      <c r="I125" s="203">
        <v>42.6</v>
      </c>
      <c r="J125" s="203">
        <f>Table_03[[#This Row],[Width w (in)]]*Table_03[[#This Row],[Flange Thickness tf (in)]]*(Table_03[[#This Row],[Depth h (in)]]-Table_03[[#This Row],[Flange Thickness tf (in)]])+0.25*Table_03[[#This Row],[Web Thickness tw (in)]]*(Table_03[[#This Row],[Depth h (in)]]-2*Table_03[[#This Row],[Flange Thickness tf (in)]])^2</f>
        <v>34.210347249999991</v>
      </c>
      <c r="K125" s="203">
        <f>(Table_03[[#This Row],[Width w (in)]]^2*Table_03[[#This Row],[Flange Thickness tf (in)]])/2+0.25*Table_03[[#This Row],[Web Thickness tw (in)]]^2*(Table_03[[#This Row],[Depth h (in)]]-2*Table_03[[#This Row],[Flange Thickness tf (in)]])</f>
        <v>16.090597249999998</v>
      </c>
      <c r="L125" s="203">
        <v>31.2</v>
      </c>
      <c r="M125" s="203">
        <v>10.6</v>
      </c>
      <c r="N125" s="205">
        <v>50</v>
      </c>
      <c r="O125" s="206">
        <f>SQRT(Table_03[[#This Row],[Static Parameters Moment of Inertia Ix (in4)]]/Table_03[[#This Row],[Sectional Area (in2)]])</f>
        <v>3.5114237977462417</v>
      </c>
      <c r="P125" s="203">
        <f>SQRT(Table_03[[#This Row],[Static Parameters Moment of Inertia Iy (in4)]]/Table_03[[#This Row],[Sectional Area (in2)]])</f>
        <v>2.03369671536763</v>
      </c>
      <c r="Q125" s="203">
        <f>($B$6*$B$5*12)/Table_03[[#This Row],[ry (in)2]]</f>
        <v>88.287500610700889</v>
      </c>
      <c r="R125" s="203">
        <f>(PI()^2*$B$4)/(Table_03[[#This Row],[KL/ry]]^2)</f>
        <v>36.719714745851867</v>
      </c>
      <c r="S125" s="203">
        <f>IF(Table_03[[#This Row],[Strength (ksi)]]/Table_03[[#This Row],[Fe,y]]&lt;2.25,(0.658^(Table_03[[#This Row],[Strength (ksi)]]/Table_03[[#This Row],[Fe,y]])*Table_03[[#This Row],[Strength (ksi)]]),0.877*Table_03[[#This Row],[Fe,y]])</f>
        <v>28.278366584657949</v>
      </c>
      <c r="T125" s="203">
        <f>Table_03[[#This Row],[Fcr,y]]*Table_03[[#This Row],[Sectional Area (in2)]]</f>
        <v>291.26717582197688</v>
      </c>
      <c r="U125" s="203">
        <f>1.76*Table_03[[#This Row],[ry (in)2]]*SQRT($B$4/Table_03[[#This Row],[Strength (ksi)]])/12</f>
        <v>7.1834257271857078</v>
      </c>
      <c r="V12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26.392083372165633</v>
      </c>
      <c r="W125" s="203">
        <f>Table_03[[#This Row],[Depth h (in)]]-Table_03[[#This Row],[Flange Thickness tf (in)]]</f>
        <v>7.6249999999999991</v>
      </c>
      <c r="X125" s="203">
        <f>(Table_03[[#This Row],[Static Parameters Moment of Inertia Iy (in4)]]*Table_03[[#This Row],[ho]]^2)/4</f>
        <v>619.19765624999991</v>
      </c>
      <c r="Y125" s="203">
        <f>SQRT((SQRT(Table_03[[#This Row],[Static Parameters Moment of Inertia Iy (in4)]]*Table_03[[#This Row],[Cw*]])/Table_03[[#This Row],[Static Parameters Elastic Section Modulus Sx (in3)2]]))</f>
        <v>2.2815628078476924</v>
      </c>
      <c r="Z125" s="203">
        <f>(2*Table_03[[#This Row],[Width w (in)]]*Table_03[[#This Row],[Flange Thickness tf (in)]]^3/3)+((Table_03[[#This Row],[Depth h (in)]]-Table_03[[#This Row],[Flange Thickness tf (in)]]*2)*Table_03[[#This Row],[Web Thickness tw (in)]]^3)/3</f>
        <v>0.71928644166666655</v>
      </c>
      <c r="AA125" s="203">
        <f>Table_03[[#This Row],[Width w (in)]]*0.5/Table_03[[#This Row],[Flange Thickness tf (in)]]</f>
        <v>8.1010101010101003</v>
      </c>
      <c r="AB125" s="203">
        <f>0.38*SQRT($B$4/Table_03[[#This Row],[Strength (ksi)]])</f>
        <v>9.1516118798821449</v>
      </c>
      <c r="AC125" s="203">
        <f>1*SQRT($B$4/Table_03[[#This Row],[Strength (ksi)]])</f>
        <v>24.083189157584592</v>
      </c>
      <c r="AD125" s="203">
        <f>(PI()^2*$B$4/(12*$B$5/Table_03[[#This Row],[rts]])^2)*SQRT(1+0.078*(Table_03[[#This Row],[J*]]/(Table_03[[#This Row],[Static Parameters Elastic Section Modulus Sx (in3)2]]*Table_03[[#This Row],[ho]])*$B$4/(12*$B$5/Table_03[[#This Row],[rts]])^2))</f>
        <v>204.30797560849584</v>
      </c>
      <c r="AE125" s="203">
        <f>0.69*$B$4/Table_03[[#This Row],[b/t]]^2</f>
        <v>304.90794522422129</v>
      </c>
      <c r="AF125" s="207">
        <f>Table_03[[#This Row],[Strength (ksi)]]*Table_03[[#This Row],[Static Parameters Plastic Section Modulus Zx (in3)]]</f>
        <v>1710.5173624999995</v>
      </c>
      <c r="AG125" s="203">
        <f>Table_03[[#This Row],[Mp (k-in)]]-(Table_03[[#This Row],[Mp (k-in)]]-0.7*Table_03[[#This Row],[Strength (ksi)]]*Table_03[[#This Row],[Static Parameters Elastic Section Modulus Sx (in3)2]])*((Table_03[[#This Row],[b/t]]-Table_03[[#This Row],[λpf]])/(Table_03[[#This Row],[λrf]]-Table_03[[#This Row],[λpf]]))</f>
        <v>1754.0369069674232</v>
      </c>
      <c r="AH125" s="208">
        <f>0.9*$B$4*Table_03[[#This Row],[kc]]*Table_03[[#This Row],[Static Parameters Elastic Section Modulus Sx (in3)2]]/Table_03[[#This Row],[b/t]]^2</f>
        <v>9430.4050397696537</v>
      </c>
      <c r="AI125" s="209" t="str">
        <f>IF(Table_03[[#This Row],[b/t]]&lt;Table_03[[#This Row],[λpf]],"Compact",IF(AND(Table_03[[#This Row],[b/t]]&gt;Table_03[[#This Row],[λpf]],Table_03[[#This Row],[λrf]]&gt;Table_03[[#This Row],[b/t]]),"Non-Compact","Slender"))</f>
        <v>Compact</v>
      </c>
      <c r="AJ125" s="210">
        <f>IF(Table_03[[#This Row],[Controlling LBx]]="Compact",Table_03[[#This Row],[Mp (k-in)]],IF(Table_03[[#This Row],[Controlling LBx]]="Non-Compact",Table_03[[#This Row],[Mnlb,Non-Compact (k-in)]],IF(Table_03[[#This Row],[Controlling LBx]]="Slender",Table_03[[#This Row],[Mnlb,slender (k-in)]],"ERROR")))</f>
        <v>1710.5173624999995</v>
      </c>
      <c r="AK125" s="207">
        <f>Table_03[[#This Row],[Mp (k-in)]]-(Table_03[[#This Row],[Mp (k-in)]]-0.7*Table_03[[#This Row],[Strength (ksi)]]*Table_03[[#This Row],[Static Parameters Elastic Section Modulus Sx (in3)2]])*(($B$5-Table_03[[#This Row],[Lp (ft)]])/(Table_03[[#This Row],[Lr]]-Table_03[[#This Row],[Lp (ft)]]))</f>
        <v>1712.398666615516</v>
      </c>
      <c r="AL125" s="211">
        <f>Table_03[[#This Row],[Fcrx]]*Table_03[[#This Row],[Static Parameters Elastic Section Modulus Sx (in3)2]]</f>
        <v>6374.4088389850704</v>
      </c>
      <c r="AM125" s="212" t="str">
        <f>IF($B$5&lt;Table_03[[#This Row],[Lp (ft)]],"Yielding Controls",IF(AND($B$5&gt;Table_03[[#This Row],[Lp (ft)]],Table_03[[#This Row],[Lr]]&gt;$B$5),"Mltb,p Controls","Mltb,r Controls"))</f>
        <v>Yielding Controls</v>
      </c>
      <c r="AN125" s="213">
        <f>IF(Table_03[[#This Row],[Controlling LTB]]="Yielding Controls",Table_03[[#This Row],[Mp (k-in)]],IF(Table_03[[#This Row],[Controlling LTB]]="Mltb,p Controls",Table_03[[#This Row],[Mnltbp (k-in)]],IF(Table_03[[#This Row],[Controlling LTB]]="Mltb,r Controls",Table_03[[#This Row],[Mnltbr (k-in)]],"ERROR")))</f>
        <v>1710.5173624999995</v>
      </c>
      <c r="AO125" s="214">
        <f>MIN(Table_03[[#This Row],[Strength (ksi)]]*Table_03[[#This Row],[Static Parameters Plastic Section Modulus Zy (in3)]],1.6*Table_03[[#This Row],[Strength (ksi)]]*Table_03[[#This Row],[Static Parameters Elastic Section Modulus Sy (in3)3]])</f>
        <v>804.52986249999992</v>
      </c>
      <c r="AP125" s="206">
        <f>MIN(Table_03[[#This Row],[Mny (k-in)]],Table_03[[#This Row],[Mny (k-in)]]-(Table_03[[#This Row],[Mny (k-in)]]-0.7*Table_03[[#This Row],[Static Parameters Elastic Section Modulus Sy (in3)3]]*Table_03[[#This Row],[Strength (ksi)]])*((Table_03[[#This Row],[b/t]]-Table_03[[#This Row],[λpf]])/(Table_03[[#This Row],[λrf]]-Table_03[[#This Row],[λpf]])))</f>
        <v>804.52986249999992</v>
      </c>
      <c r="AQ125" s="211">
        <f>MIN(Table_03[[#This Row],[Mny (k-in)]],Table_03[[#This Row],[Fcry]]*Table_03[[#This Row],[Static Parameters Elastic Section Modulus Sy (in3)3]])</f>
        <v>804.52986249999992</v>
      </c>
      <c r="AR125" s="212" t="str">
        <f>IF(Table_03[[#This Row],[b/t]]&lt;Table_03[[#This Row],[λpf]],"Compact",IF(AND(Table_03[[#This Row],[b/t]]&gt;Table_03[[#This Row],[λpf]],Table_03[[#This Row],[λrf]]&gt;Table_03[[#This Row],[b/t]]),"Non-Compact","Slender"))</f>
        <v>Compact</v>
      </c>
      <c r="AS125" s="213">
        <f>IF(Table_03[[#This Row],[Controlling Lby]]="Compact",Table_03[[#This Row],[Mny (k-in)]],IF(Table_03[[#This Row],[Controlling Lby]]="Non-Compact",Table_03[[#This Row],[Mlby,Non-Compact (k-in)]],IF(Table_03[[#This Row],[Controlling Lby]]="Slender",Table_03[[#This Row],[Mlby,Slender (k-in)]],"ERROR")))</f>
        <v>804.52986249999992</v>
      </c>
      <c r="AT125" s="214">
        <f>MIN(Table_03[[#This Row],[LBx]],Table_03[[#This Row],[LTB]],Table_03[[#This Row],[Mp (k-in)]])</f>
        <v>1710.5173624999995</v>
      </c>
      <c r="AU125" s="206">
        <f>Table_03[[#This Row],[Mp (k-in)]]</f>
        <v>1710.5173624999995</v>
      </c>
      <c r="AV125" s="206">
        <f>MIN(Table_03[[#This Row],[LBy]],Table_03[[#This Row],[Mny (k-in)]])</f>
        <v>804.52986249999992</v>
      </c>
      <c r="AW125" s="215">
        <f>Table_03[[#This Row],[Mny (k-in)]]</f>
        <v>804.52986249999992</v>
      </c>
      <c r="AX125" s="165">
        <f>SQRT(((Table_03[[#This Row],[Sectional Area (in2)]]-(Table_03[[#This Row],[Flange Thickness tf (in)]]*Table_03[[#This Row],[Width w (in)]]*2+Table_03[[#This Row],[Web Thickness tw (in)]]*((Table_03[[#This Row],[Depth h (in)]]-2*Table_03[[#This Row],[Flange Thickness tf (in)]]))))/4)/(1-PI()/4))</f>
        <v>0.41788242237266976</v>
      </c>
      <c r="AY125"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25" s="165"/>
    </row>
    <row r="126" spans="1:54" ht="14.4" thickBot="1" x14ac:dyDescent="0.35">
      <c r="A126" s="188" t="s">
        <v>218</v>
      </c>
      <c r="B126" s="189">
        <f>B125-$B$1*2</f>
        <v>8.1199999999999992</v>
      </c>
      <c r="C126" s="189">
        <f>C125-$B$1*2</f>
        <v>8.02</v>
      </c>
      <c r="D126" s="189">
        <f>D125-$B$1*2</f>
        <v>0.31</v>
      </c>
      <c r="E126" s="189">
        <f>E125-$B$1*2</f>
        <v>0.495</v>
      </c>
      <c r="F126" s="190">
        <f>4*(Table_03[[#This Row],[Fillet Radius]]^2*(1-PI()/4))+2*Table_03[[#This Row],[Width w (in)]]*Table_03[[#This Row],[Flange Thickness tf (in)]]+Table_03[[#This Row],[Web Thickness tw (in)]]*(Table_03[[#This Row],[Depth h (in)]]-2*Table_03[[#This Row],[Flange Thickness tf (in)]])</f>
        <v>10.3</v>
      </c>
      <c r="G126" s="189"/>
      <c r="H126" s="203">
        <f>2*(1/12*C126*E126^3+C126*E126*((B126/2-E126/2)^2))+
1/12*D126*(B126-2*E126)^3+
4*(1/12*AX126^4+
AX126^2*((AX126/(6-3*PI()/2))-AX126/2)^2-
(PI()*AX126^4/16+PI()*AX126^2/4*((AX126/(6-3*PI()/2))-4*AX126/(3*PI()))^2)+
(AX126^2-PI()*AX126^2/4)*((B126/2-E126-(AX126-AX126/(6-3*PI()/2)))^2))</f>
        <v>126.72240853016574</v>
      </c>
      <c r="I126" s="180">
        <f>2*((1/12)*E126*C126^3)+(1/12)*(B126-2*E126)*D126^3+4*((AX126^2-PI()*AX126^2/4)*(D126/2+(AX126-(AX126/(6-3*PI()/2))))^2)</f>
        <v>42.584538339546079</v>
      </c>
      <c r="J126" s="181">
        <f>F126*((B126/2)-((C126*E126*(E126/2))+(D126*(B126/2-E126)*(E126+(B126/2-E126)/2))+(2*(AX126^2-PI()*AX126^2/4)*(E126+(AX126-AX126/(6-3*PI()/2)))))/(F126/2))</f>
        <v>34.730748853842485</v>
      </c>
      <c r="K126" s="190">
        <f>(Table_03[[#This Row],[Width w (in)]]^2*Table_03[[#This Row],[Flange Thickness tf (in)]])/2+0.25*Table_03[[#This Row],[Web Thickness tw (in)]]^2*(Table_03[[#This Row],[Depth h (in)]]-2*Table_03[[#This Row],[Flange Thickness tf (in)]])</f>
        <v>16.090597249999998</v>
      </c>
      <c r="L126" s="190">
        <f>Table_03[[#This Row],[Static Parameters Moment of Inertia Ix (in4)]]/(Table_03[[#This Row],[Depth h (in)]]/2)</f>
        <v>31.212415894129496</v>
      </c>
      <c r="M126" s="190">
        <f>Table_03[[#This Row],[Static Parameters Moment of Inertia Iy (in4)]]/(Table_03[[#This Row],[Width w (in)]]/2)</f>
        <v>10.619585620834433</v>
      </c>
      <c r="N126" s="191">
        <v>50</v>
      </c>
      <c r="O126" s="169">
        <f>SQRT(Table_03[[#This Row],[Static Parameters Moment of Inertia Ix (in4)]]/Table_03[[#This Row],[Sectional Area (in2)]])</f>
        <v>3.5075841343066014</v>
      </c>
      <c r="P126" s="190">
        <f>SQRT(Table_03[[#This Row],[Static Parameters Moment of Inertia Iy (in4)]]/Table_03[[#This Row],[Sectional Area (in2)]])</f>
        <v>2.0333276169899879</v>
      </c>
      <c r="Q126" s="190">
        <f>($B$6*$B$5*12)/Table_03[[#This Row],[ry (in)2]]</f>
        <v>88.303526937678001</v>
      </c>
      <c r="R126" s="190">
        <f>(PI()^2*$B$4)/(Table_03[[#This Row],[KL/ry]]^2)</f>
        <v>36.706387333613264</v>
      </c>
      <c r="S126" s="190">
        <f>IF(Table_03[[#This Row],[Strength (ksi)]]/Table_03[[#This Row],[Fe,y]]&lt;2.25,(0.658^(Table_03[[#This Row],[Strength (ksi)]]/Table_03[[#This Row],[Fe,y]])*Table_03[[#This Row],[Strength (ksi)]]),0.877*Table_03[[#This Row],[Fe,y]])</f>
        <v>28.272515559202066</v>
      </c>
      <c r="T126" s="190">
        <f>Table_03[[#This Row],[Fcr,y]]*Table_03[[#This Row],[Sectional Area (in2)]]</f>
        <v>291.2069102597813</v>
      </c>
      <c r="U126" s="190">
        <f>1.76*Table_03[[#This Row],[ry (in)2]]*SQRT($B$4/Table_03[[#This Row],[Strength (ksi)]])/12</f>
        <v>7.1821219974988866</v>
      </c>
      <c r="V12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26.378403761045657</v>
      </c>
      <c r="W126" s="190">
        <f>Table_03[[#This Row],[Depth h (in)]]-Table_03[[#This Row],[Flange Thickness tf (in)]]</f>
        <v>7.6249999999999991</v>
      </c>
      <c r="X126" s="190">
        <f>(Table_03[[#This Row],[Static Parameters Moment of Inertia Iy (in4)]]*Table_03[[#This Row],[ho]]^2)/4</f>
        <v>618.97291859941765</v>
      </c>
      <c r="Y126" s="190">
        <f>SQRT((SQRT(Table_03[[#This Row],[Static Parameters Moment of Inertia Iy (in4)]]*Table_03[[#This Row],[Cw*]])/Table_03[[#This Row],[Static Parameters Elastic Section Modulus Sx (in3)2]]))</f>
        <v>2.2806949731031931</v>
      </c>
      <c r="Z126" s="190">
        <f>(2*Table_03[[#This Row],[Width w (in)]]*Table_03[[#This Row],[Flange Thickness tf (in)]]^3/3)+((Table_03[[#This Row],[Depth h (in)]]-Table_03[[#This Row],[Flange Thickness tf (in)]]*2)*Table_03[[#This Row],[Web Thickness tw (in)]]^3)/3</f>
        <v>0.71928644166666655</v>
      </c>
      <c r="AA126" s="190">
        <f>Table_03[[#This Row],[Width w (in)]]*0.5/Table_03[[#This Row],[Flange Thickness tf (in)]]</f>
        <v>8.1010101010101003</v>
      </c>
      <c r="AB126" s="190">
        <f>0.38*SQRT($B$4/Table_03[[#This Row],[Strength (ksi)]])</f>
        <v>9.1516118798821449</v>
      </c>
      <c r="AC126" s="190">
        <f>1*SQRT($B$4/Table_03[[#This Row],[Strength (ksi)]])</f>
        <v>24.083189157584592</v>
      </c>
      <c r="AD126" s="190">
        <f>(PI()^2*$B$4/(12*$B$5/Table_03[[#This Row],[rts]])^2)*SQRT(1+0.078*(Table_03[[#This Row],[J*]]/(Table_03[[#This Row],[Static Parameters Elastic Section Modulus Sx (in3)2]]*Table_03[[#This Row],[ho]])*$B$4/(12*$B$5/Table_03[[#This Row],[rts]])^2))</f>
        <v>204.15200760059503</v>
      </c>
      <c r="AE126" s="190">
        <f>0.69*$B$4/Table_03[[#This Row],[b/t]]^2</f>
        <v>304.90794522422129</v>
      </c>
      <c r="AF126" s="192">
        <f>Table_03[[#This Row],[Strength (ksi)]]*Table_03[[#This Row],[Static Parameters Plastic Section Modulus Zx (in3)]]</f>
        <v>1736.5374426921242</v>
      </c>
      <c r="AG126" s="190">
        <f>Table_03[[#This Row],[Mp (k-in)]]-(Table_03[[#This Row],[Mp (k-in)]]-0.7*Table_03[[#This Row],[Strength (ksi)]]*Table_03[[#This Row],[Static Parameters Elastic Section Modulus Sx (in3)2]])*((Table_03[[#This Row],[b/t]]-Table_03[[#This Row],[λpf]])/(Table_03[[#This Row],[λrf]]-Table_03[[#This Row],[λpf]]))</f>
        <v>1781.8572120400315</v>
      </c>
      <c r="AH126" s="193">
        <f>0.9*$B$4*Table_03[[#This Row],[kc]]*Table_03[[#This Row],[Static Parameters Elastic Section Modulus Sx (in3)2]]/Table_03[[#This Row],[b/t]]^2</f>
        <v>9434.1578253649132</v>
      </c>
      <c r="AI126" s="194" t="str">
        <f>IF(Table_03[[#This Row],[b/t]]&lt;Table_03[[#This Row],[λpf]],"Compact",IF(AND(Table_03[[#This Row],[b/t]]&gt;Table_03[[#This Row],[λpf]],Table_03[[#This Row],[λrf]]&gt;Table_03[[#This Row],[b/t]]),"Non-Compact","Slender"))</f>
        <v>Compact</v>
      </c>
      <c r="AJ126" s="195">
        <f>IF(Table_03[[#This Row],[Controlling LBx]]="Compact",Table_03[[#This Row],[Mp (k-in)]],IF(Table_03[[#This Row],[Controlling LBx]]="Non-Compact",Table_03[[#This Row],[Mnlb,Non-Compact (k-in)]],IF(Table_03[[#This Row],[Controlling LBx]]="Slender",Table_03[[#This Row],[Mnlb,slender (k-in)]],"ERROR")))</f>
        <v>1736.5374426921242</v>
      </c>
      <c r="AK126" s="192">
        <f>Table_03[[#This Row],[Mp (k-in)]]-(Table_03[[#This Row],[Mp (k-in)]]-0.7*Table_03[[#This Row],[Strength (ksi)]]*Table_03[[#This Row],[Static Parameters Elastic Section Modulus Sx (in3)2]])*(($B$5-Table_03[[#This Row],[Lp (ft)]])/(Table_03[[#This Row],[Lr]]-Table_03[[#This Row],[Lp (ft)]]))</f>
        <v>1738.4540869630837</v>
      </c>
      <c r="AL126" s="196">
        <f>Table_03[[#This Row],[Fcrx]]*Table_03[[#This Row],[Static Parameters Elastic Section Modulus Sx (in3)2]]</f>
        <v>6372.0773668512575</v>
      </c>
      <c r="AM126" s="197" t="str">
        <f>IF($B$5&lt;Table_03[[#This Row],[Lp (ft)]],"Yielding Controls",IF(AND($B$5&gt;Table_03[[#This Row],[Lp (ft)]],Table_03[[#This Row],[Lr]]&gt;$B$5),"Mltb,p Controls","Mltb,r Controls"))</f>
        <v>Yielding Controls</v>
      </c>
      <c r="AN126" s="198">
        <f>IF(Table_03[[#This Row],[Controlling LTB]]="Yielding Controls",Table_03[[#This Row],[Mp (k-in)]],IF(Table_03[[#This Row],[Controlling LTB]]="Mltb,p Controls",Table_03[[#This Row],[Mnltbp (k-in)]],IF(Table_03[[#This Row],[Controlling LTB]]="Mltb,r Controls",Table_03[[#This Row],[Mnltbr (k-in)]],"ERROR")))</f>
        <v>1736.5374426921242</v>
      </c>
      <c r="AO126" s="199">
        <f>MIN(Table_03[[#This Row],[Strength (ksi)]]*Table_03[[#This Row],[Static Parameters Plastic Section Modulus Zy (in3)]],1.6*Table_03[[#This Row],[Strength (ksi)]]*Table_03[[#This Row],[Static Parameters Elastic Section Modulus Sy (in3)3]])</f>
        <v>804.52986249999992</v>
      </c>
      <c r="AP126" s="169">
        <f>MIN(Table_03[[#This Row],[Mny (k-in)]],Table_03[[#This Row],[Mny (k-in)]]-(Table_03[[#This Row],[Mny (k-in)]]-0.7*Table_03[[#This Row],[Static Parameters Elastic Section Modulus Sy (in3)3]]*Table_03[[#This Row],[Strength (ksi)]])*((Table_03[[#This Row],[b/t]]-Table_03[[#This Row],[λpf]])/(Table_03[[#This Row],[λrf]]-Table_03[[#This Row],[λpf]])))</f>
        <v>804.52986249999992</v>
      </c>
      <c r="AQ126" s="196">
        <f>MIN(Table_03[[#This Row],[Mny (k-in)]],Table_03[[#This Row],[Fcry]]*Table_03[[#This Row],[Static Parameters Elastic Section Modulus Sy (in3)3]])</f>
        <v>804.52986249999992</v>
      </c>
      <c r="AR126" s="197" t="str">
        <f>IF(Table_03[[#This Row],[b/t]]&lt;Table_03[[#This Row],[λpf]],"Compact",IF(AND(Table_03[[#This Row],[b/t]]&gt;Table_03[[#This Row],[λpf]],Table_03[[#This Row],[λrf]]&gt;Table_03[[#This Row],[b/t]]),"Non-Compact","Slender"))</f>
        <v>Compact</v>
      </c>
      <c r="AS126" s="198">
        <f>IF(Table_03[[#This Row],[Controlling Lby]]="Compact",Table_03[[#This Row],[Mny (k-in)]],IF(Table_03[[#This Row],[Controlling Lby]]="Non-Compact",Table_03[[#This Row],[Mlby,Non-Compact (k-in)]],IF(Table_03[[#This Row],[Controlling Lby]]="Slender",Table_03[[#This Row],[Mlby,Slender (k-in)]],"ERROR")))</f>
        <v>804.52986249999992</v>
      </c>
      <c r="AT126" s="199">
        <f>MIN(Table_03[[#This Row],[LBx]],Table_03[[#This Row],[LTB]],Table_03[[#This Row],[Mp (k-in)]])</f>
        <v>1736.5374426921242</v>
      </c>
      <c r="AU126" s="169">
        <f>Table_03[[#This Row],[Mp (k-in)]]</f>
        <v>1736.5374426921242</v>
      </c>
      <c r="AV126" s="169">
        <f>MIN(Table_03[[#This Row],[LBy]],Table_03[[#This Row],[Mny (k-in)]])</f>
        <v>804.52986249999992</v>
      </c>
      <c r="AW126" s="200">
        <f>Table_03[[#This Row],[Mny (k-in)]]</f>
        <v>804.52986249999992</v>
      </c>
      <c r="AX126" s="165">
        <f>AX125+$B$1</f>
        <v>0.41788242237266976</v>
      </c>
      <c r="AY126"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26" s="165"/>
      <c r="BB126" s="164">
        <f>Table_03[[#This Row],[Controlling Mnx @ AG (k-in)]]*12000</f>
        <v>20838449.312305491</v>
      </c>
    </row>
    <row r="127" spans="1:54" x14ac:dyDescent="0.3">
      <c r="A127" s="179" t="s">
        <v>219</v>
      </c>
      <c r="B127" s="180">
        <v>8.14</v>
      </c>
      <c r="C127" s="180">
        <v>5.25</v>
      </c>
      <c r="D127" s="180">
        <v>0.23</v>
      </c>
      <c r="E127" s="180">
        <v>0.33</v>
      </c>
      <c r="F127" s="181">
        <v>5.3</v>
      </c>
      <c r="G127" s="180">
        <v>18</v>
      </c>
      <c r="H127" s="180">
        <v>61.9</v>
      </c>
      <c r="I127" s="180">
        <v>8</v>
      </c>
      <c r="J127" s="181">
        <f>Table_03[[#This Row],[Width w (in)]]*Table_03[[#This Row],[Flange Thickness tf (in)]]*(Table_03[[#This Row],[Depth h (in)]]-Table_03[[#This Row],[Flange Thickness tf (in)]])+0.25*Table_03[[#This Row],[Web Thickness tw (in)]]*(Table_03[[#This Row],[Depth h (in)]]-2*Table_03[[#This Row],[Flange Thickness tf (in)]])^2</f>
        <v>16.747973000000002</v>
      </c>
      <c r="K127" s="181">
        <f>(Table_03[[#This Row],[Width w (in)]]^2*Table_03[[#This Row],[Flange Thickness tf (in)]])/2+0.25*Table_03[[#This Row],[Web Thickness tw (in)]]^2*(Table_03[[#This Row],[Depth h (in)]]-2*Table_03[[#This Row],[Flange Thickness tf (in)]])</f>
        <v>4.6467355000000001</v>
      </c>
      <c r="L127" s="181">
        <v>15.2</v>
      </c>
      <c r="M127" s="181">
        <v>3</v>
      </c>
      <c r="N127" s="182">
        <v>50</v>
      </c>
      <c r="O127" s="181">
        <f>SQRT(Table_03[[#This Row],[Static Parameters Moment of Inertia Ix (in4)]]/Table_03[[#This Row],[Sectional Area (in2)]])</f>
        <v>3.4174910801666871</v>
      </c>
      <c r="P127" s="181">
        <f>SQRT(Table_03[[#This Row],[Static Parameters Moment of Inertia Iy (in4)]]/Table_03[[#This Row],[Sectional Area (in2)]])</f>
        <v>1.2285902336679024</v>
      </c>
      <c r="Q127" s="181">
        <f>($B$6*$B$5*12)/Table_03[[#This Row],[ry (in)2]]</f>
        <v>146.14311190148513</v>
      </c>
      <c r="R127" s="181">
        <f>(PI()^2*$B$4)/(Table_03[[#This Row],[KL/ry]]^2)</f>
        <v>13.401118323404173</v>
      </c>
      <c r="S127" s="181">
        <f>IF(Table_03[[#This Row],[Strength (ksi)]]/Table_03[[#This Row],[Fe,y]]&lt;2.25,(0.658^(Table_03[[#This Row],[Strength (ksi)]]/Table_03[[#This Row],[Fe,y]])*Table_03[[#This Row],[Strength (ksi)]]),0.877*Table_03[[#This Row],[Fe,y]])</f>
        <v>11.75278076962546</v>
      </c>
      <c r="T127" s="181">
        <f>Table_03[[#This Row],[Fcr,y]]*Table_03[[#This Row],[Sectional Area (in2)]]</f>
        <v>62.289738079014938</v>
      </c>
      <c r="U127" s="181">
        <f>1.76*Table_03[[#This Row],[ry (in)2]]*SQRT($B$4/Table_03[[#This Row],[Strength (ksi)]])/12</f>
        <v>4.3396277458724883</v>
      </c>
      <c r="V12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13.257762714426088</v>
      </c>
      <c r="W127" s="181">
        <f>Table_03[[#This Row],[Depth h (in)]]-Table_03[[#This Row],[Flange Thickness tf (in)]]</f>
        <v>7.8100000000000005</v>
      </c>
      <c r="X127" s="181">
        <f>(Table_03[[#This Row],[Static Parameters Moment of Inertia Iy (in4)]]*Table_03[[#This Row],[ho]]^2)/4</f>
        <v>121.99220000000001</v>
      </c>
      <c r="Y127" s="181">
        <f>SQRT((SQRT(Table_03[[#This Row],[Static Parameters Moment of Inertia Iy (in4)]]*Table_03[[#This Row],[Cw*]])/Table_03[[#This Row],[Static Parameters Elastic Section Modulus Sx (in3)2]]))</f>
        <v>1.4336189026009447</v>
      </c>
      <c r="Z127" s="181">
        <f>(2*Table_03[[#This Row],[Width w (in)]]*Table_03[[#This Row],[Flange Thickness tf (in)]]^3/3)+((Table_03[[#This Row],[Depth h (in)]]-Table_03[[#This Row],[Flange Thickness tf (in)]]*2)*Table_03[[#This Row],[Web Thickness tw (in)]]^3)/3</f>
        <v>0.15611588666666668</v>
      </c>
      <c r="AA127" s="181">
        <f>Table_03[[#This Row],[Width w (in)]]*0.5/Table_03[[#This Row],[Flange Thickness tf (in)]]</f>
        <v>7.9545454545454541</v>
      </c>
      <c r="AB127" s="181">
        <f>0.38*SQRT($B$4/Table_03[[#This Row],[Strength (ksi)]])</f>
        <v>9.1516118798821449</v>
      </c>
      <c r="AC127" s="181">
        <f>1*SQRT($B$4/Table_03[[#This Row],[Strength (ksi)]])</f>
        <v>24.083189157584592</v>
      </c>
      <c r="AD127" s="181">
        <f>(PI()^2*$B$4/(12*$B$5/Table_03[[#This Row],[rts]])^2)*SQRT(1+0.078*(Table_03[[#This Row],[J*]]/(Table_03[[#This Row],[Static Parameters Elastic Section Modulus Sx (in3)2]]*Table_03[[#This Row],[ho]])*$B$4/(12*$B$5/Table_03[[#This Row],[rts]])^2))</f>
        <v>80.503448228885986</v>
      </c>
      <c r="AE127" s="181">
        <f>0.69*$B$4/Table_03[[#This Row],[b/t]]^2</f>
        <v>316.23967346938781</v>
      </c>
      <c r="AF127" s="183">
        <f>Table_03[[#This Row],[Strength (ksi)]]*Table_03[[#This Row],[Static Parameters Plastic Section Modulus Zx (in3)]]</f>
        <v>837.39865000000009</v>
      </c>
      <c r="AG127" s="181">
        <f>Table_03[[#This Row],[Mp (k-in)]]-(Table_03[[#This Row],[Mp (k-in)]]-0.7*Table_03[[#This Row],[Strength (ksi)]]*Table_03[[#This Row],[Static Parameters Elastic Section Modulus Sx (in3)2]])*((Table_03[[#This Row],[b/t]]-Table_03[[#This Row],[λpf]])/(Table_03[[#This Row],[λrf]]-Table_03[[#This Row],[λpf]]))</f>
        <v>861.8824981199225</v>
      </c>
      <c r="AH127" s="184">
        <f>0.9*$B$4*Table_03[[#This Row],[kc]]*Table_03[[#This Row],[Static Parameters Elastic Section Modulus Sx (in3)2]]/Table_03[[#This Row],[b/t]]^2</f>
        <v>4215.6550436847656</v>
      </c>
      <c r="AI127" s="185" t="str">
        <f>IF(Table_03[[#This Row],[b/t]]&lt;Table_03[[#This Row],[λpf]],"Compact",IF(AND(Table_03[[#This Row],[b/t]]&gt;Table_03[[#This Row],[λpf]],Table_03[[#This Row],[λrf]]&gt;Table_03[[#This Row],[b/t]]),"Non-Compact","Slender"))</f>
        <v>Compact</v>
      </c>
      <c r="AJ127" s="186">
        <f>IF(Table_03[[#This Row],[Controlling LBx]]="Compact",Table_03[[#This Row],[Mp (k-in)]],IF(Table_03[[#This Row],[Controlling LBx]]="Non-Compact",Table_03[[#This Row],[Mnlb,Non-Compact (k-in)]],IF(Table_03[[#This Row],[Controlling LBx]]="Slender",Table_03[[#This Row],[Mnlb,slender (k-in)]],"ERROR")))</f>
        <v>837.39865000000009</v>
      </c>
      <c r="AK127" s="183">
        <f>Table_03[[#This Row],[Mp (k-in)]]-(Table_03[[#This Row],[Mp (k-in)]]-0.7*Table_03[[#This Row],[Strength (ksi)]]*Table_03[[#This Row],[Static Parameters Elastic Section Modulus Sx (in3)2]])*(($B$5-Table_03[[#This Row],[Lp (ft)]])/(Table_03[[#This Row],[Lr]]-Table_03[[#This Row],[Lp (ft)]]))</f>
        <v>742.01447728255539</v>
      </c>
      <c r="AL127" s="184">
        <f>Table_03[[#This Row],[Fcrx]]*Table_03[[#This Row],[Static Parameters Elastic Section Modulus Sx (in3)2]]</f>
        <v>1223.6524130790669</v>
      </c>
      <c r="AM127" s="185" t="str">
        <f>IF($B$5&lt;Table_03[[#This Row],[Lp (ft)]],"Yielding Controls",IF(AND($B$5&gt;Table_03[[#This Row],[Lp (ft)]],Table_03[[#This Row],[Lr]]&gt;$B$5),"Mltb,p Controls","Mltb,r Controls"))</f>
        <v>Mltb,p Controls</v>
      </c>
      <c r="AN127" s="186">
        <f>IF(Table_03[[#This Row],[Controlling LTB]]="Yielding Controls",Table_03[[#This Row],[Mp (k-in)]],IF(Table_03[[#This Row],[Controlling LTB]]="Mltb,p Controls",Table_03[[#This Row],[Mnltbp (k-in)]],IF(Table_03[[#This Row],[Controlling LTB]]="Mltb,r Controls",Table_03[[#This Row],[Mnltbr (k-in)]],"ERROR")))</f>
        <v>742.01447728255539</v>
      </c>
      <c r="AO127" s="183">
        <f>MIN(Table_03[[#This Row],[Strength (ksi)]]*Table_03[[#This Row],[Static Parameters Plastic Section Modulus Zy (in3)]],1.6*Table_03[[#This Row],[Strength (ksi)]]*Table_03[[#This Row],[Static Parameters Elastic Section Modulus Sy (in3)3]])</f>
        <v>232.33677500000002</v>
      </c>
      <c r="AP127" s="181">
        <f>MIN(Table_03[[#This Row],[Mny (k-in)]],Table_03[[#This Row],[Mny (k-in)]]-(Table_03[[#This Row],[Mny (k-in)]]-0.7*Table_03[[#This Row],[Static Parameters Elastic Section Modulus Sy (in3)3]]*Table_03[[#This Row],[Strength (ksi)]])*((Table_03[[#This Row],[b/t]]-Table_03[[#This Row],[λpf]])/(Table_03[[#This Row],[λrf]]-Table_03[[#This Row],[λpf]])))</f>
        <v>232.33677500000002</v>
      </c>
      <c r="AQ127" s="184">
        <f>MIN(Table_03[[#This Row],[Mny (k-in)]],Table_03[[#This Row],[Fcry]]*Table_03[[#This Row],[Static Parameters Elastic Section Modulus Sy (in3)3]])</f>
        <v>232.33677500000002</v>
      </c>
      <c r="AR127" s="185" t="str">
        <f>IF(Table_03[[#This Row],[b/t]]&lt;Table_03[[#This Row],[λpf]],"Compact",IF(AND(Table_03[[#This Row],[b/t]]&gt;Table_03[[#This Row],[λpf]],Table_03[[#This Row],[λrf]]&gt;Table_03[[#This Row],[b/t]]),"Non-Compact","Slender"))</f>
        <v>Compact</v>
      </c>
      <c r="AS127" s="186">
        <f>IF(Table_03[[#This Row],[Controlling Lby]]="Compact",Table_03[[#This Row],[Mny (k-in)]],IF(Table_03[[#This Row],[Controlling Lby]]="Non-Compact",Table_03[[#This Row],[Mlby,Non-Compact (k-in)]],IF(Table_03[[#This Row],[Controlling Lby]]="Slender",Table_03[[#This Row],[Mlby,Slender (k-in)]],"ERROR")))</f>
        <v>232.33677500000002</v>
      </c>
      <c r="AT127" s="183">
        <f>MIN(Table_03[[#This Row],[LBx]],Table_03[[#This Row],[LTB]],Table_03[[#This Row],[Mp (k-in)]])</f>
        <v>742.01447728255539</v>
      </c>
      <c r="AU127" s="181">
        <f>Table_03[[#This Row],[Mp (k-in)]]</f>
        <v>837.39865000000009</v>
      </c>
      <c r="AV127" s="181">
        <f>MIN(Table_03[[#This Row],[LBy]],Table_03[[#This Row],[Mny (k-in)]])</f>
        <v>232.33677500000002</v>
      </c>
      <c r="AW127" s="187">
        <f>Table_03[[#This Row],[Mny (k-in)]]</f>
        <v>232.33677500000002</v>
      </c>
      <c r="AX127" s="165">
        <f>SQRT(((Table_03[[#This Row],[Sectional Area (in2)]]-(Table_03[[#This Row],[Flange Thickness tf (in)]]*Table_03[[#This Row],[Width w (in)]]*2+Table_03[[#This Row],[Web Thickness tw (in)]]*((Table_03[[#This Row],[Depth h (in)]]-2*Table_03[[#This Row],[Flange Thickness tf (in)]]))))/4)/(1-PI()/4))</f>
        <v>0.36538069365420017</v>
      </c>
      <c r="AY127" s="165">
        <f>IF(4/SQRT((Table_03[[#This Row],[Depth h (in)]]-Table_03[[#This Row],[Flange Thickness tf (in)]]*2)/Table_03[[#This Row],[Web Thickness tw (in)]])&lt;0.35,0.35,IF(4/SQRT(Table_03[[#This Row],[Depth h (in)]]/Table_03[[#This Row],[Web Thickness tw (in)]])&gt;0.76,0.76,4/SQRT(Table_03[[#This Row],[Depth h (in)]]/Table_03[[#This Row],[Web Thickness tw (in)]])))</f>
        <v>0.67237523161435098</v>
      </c>
      <c r="AZ127" s="165"/>
    </row>
    <row r="128" spans="1:54" x14ac:dyDescent="0.3">
      <c r="A128" s="188" t="s">
        <v>220</v>
      </c>
      <c r="B128" s="189">
        <v>8.25</v>
      </c>
      <c r="C128" s="189">
        <v>8.07</v>
      </c>
      <c r="D128" s="189">
        <v>0.36</v>
      </c>
      <c r="E128" s="189">
        <v>0.56000000000000005</v>
      </c>
      <c r="F128" s="190">
        <v>11.7</v>
      </c>
      <c r="G128" s="189">
        <v>40</v>
      </c>
      <c r="H128" s="190">
        <v>146</v>
      </c>
      <c r="I128" s="190">
        <v>49.1</v>
      </c>
      <c r="J128" s="190">
        <f>Table_03[[#This Row],[Width w (in)]]*Table_03[[#This Row],[Flange Thickness tf (in)]]*(Table_03[[#This Row],[Depth h (in)]]-Table_03[[#This Row],[Flange Thickness tf (in)]])+0.25*Table_03[[#This Row],[Web Thickness tw (in)]]*(Table_03[[#This Row],[Depth h (in)]]-2*Table_03[[#This Row],[Flange Thickness tf (in)]])^2</f>
        <v>39.327969000000003</v>
      </c>
      <c r="K128" s="190">
        <f>(Table_03[[#This Row],[Width w (in)]]^2*Table_03[[#This Row],[Flange Thickness tf (in)]])/2+0.25*Table_03[[#This Row],[Web Thickness tw (in)]]^2*(Table_03[[#This Row],[Depth h (in)]]-2*Table_03[[#This Row],[Flange Thickness tf (in)]])</f>
        <v>18.465984000000006</v>
      </c>
      <c r="L128" s="190">
        <v>35.5</v>
      </c>
      <c r="M128" s="190">
        <v>12.2</v>
      </c>
      <c r="N128" s="191">
        <v>50</v>
      </c>
      <c r="O128" s="169">
        <f>SQRT(Table_03[[#This Row],[Static Parameters Moment of Inertia Ix (in4)]]/Table_03[[#This Row],[Sectional Area (in2)]])</f>
        <v>3.5325107895988768</v>
      </c>
      <c r="P128" s="190">
        <f>SQRT(Table_03[[#This Row],[Static Parameters Moment of Inertia Iy (in4)]]/Table_03[[#This Row],[Sectional Area (in2)]])</f>
        <v>2.0485558807562945</v>
      </c>
      <c r="Q128" s="190">
        <f>($B$6*$B$5*12)/Table_03[[#This Row],[ry (in)2]]</f>
        <v>87.647108720174614</v>
      </c>
      <c r="R128" s="190">
        <f>(PI()^2*$B$4)/(Table_03[[#This Row],[KL/ry]]^2)</f>
        <v>37.258258774566983</v>
      </c>
      <c r="S128" s="190">
        <f>IF(Table_03[[#This Row],[Strength (ksi)]]/Table_03[[#This Row],[Fe,y]]&lt;2.25,(0.658^(Table_03[[#This Row],[Strength (ksi)]]/Table_03[[#This Row],[Fe,y]])*Table_03[[#This Row],[Strength (ksi)]]),0.877*Table_03[[#This Row],[Fe,y]])</f>
        <v>28.512283409579194</v>
      </c>
      <c r="T128" s="190">
        <f>Table_03[[#This Row],[Fcr,y]]*Table_03[[#This Row],[Sectional Area (in2)]]</f>
        <v>333.59371589207655</v>
      </c>
      <c r="U128" s="190">
        <f>1.76*Table_03[[#This Row],[ry (in)2]]*SQRT($B$4/Table_03[[#This Row],[Strength (ksi)]])/12</f>
        <v>7.2359112871666342</v>
      </c>
      <c r="V12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29.205209658534741</v>
      </c>
      <c r="W128" s="190">
        <f>Table_03[[#This Row],[Depth h (in)]]-Table_03[[#This Row],[Flange Thickness tf (in)]]</f>
        <v>7.6899999999999995</v>
      </c>
      <c r="X128" s="190">
        <f>(Table_03[[#This Row],[Static Parameters Moment of Inertia Iy (in4)]]*Table_03[[#This Row],[ho]]^2)/4</f>
        <v>725.89562749999993</v>
      </c>
      <c r="Y128" s="190">
        <f>SQRT((SQRT(Table_03[[#This Row],[Static Parameters Moment of Inertia Iy (in4)]]*Table_03[[#This Row],[Cw*]])/Table_03[[#This Row],[Static Parameters Elastic Section Modulus Sx (in3)2]]))</f>
        <v>2.3060819769702556</v>
      </c>
      <c r="Z128" s="190">
        <f>(2*Table_03[[#This Row],[Width w (in)]]*Table_03[[#This Row],[Flange Thickness tf (in)]]^3/3)+((Table_03[[#This Row],[Depth h (in)]]-Table_03[[#This Row],[Flange Thickness tf (in)]]*2)*Table_03[[#This Row],[Web Thickness tw (in)]]^3)/3</f>
        <v>1.0556998400000004</v>
      </c>
      <c r="AA128" s="190">
        <f>Table_03[[#This Row],[Width w (in)]]*0.5/Table_03[[#This Row],[Flange Thickness tf (in)]]</f>
        <v>7.2053571428571423</v>
      </c>
      <c r="AB128" s="190">
        <f>0.38*SQRT($B$4/Table_03[[#This Row],[Strength (ksi)]])</f>
        <v>9.1516118798821449</v>
      </c>
      <c r="AC128" s="190">
        <f>1*SQRT($B$4/Table_03[[#This Row],[Strength (ksi)]])</f>
        <v>24.083189157584592</v>
      </c>
      <c r="AD128" s="190">
        <f>(PI()^2*$B$4/(12*$B$5/Table_03[[#This Row],[rts]])^2)*SQRT(1+0.078*(Table_03[[#This Row],[J*]]/(Table_03[[#This Row],[Static Parameters Elastic Section Modulus Sx (in3)2]]*Table_03[[#This Row],[ho]])*$B$4/(12*$B$5/Table_03[[#This Row],[rts]])^2))</f>
        <v>208.87787188686343</v>
      </c>
      <c r="AE128" s="190">
        <f>0.69*$B$4/Table_03[[#This Row],[b/t]]^2</f>
        <v>385.42161293145944</v>
      </c>
      <c r="AF128" s="192">
        <f>Table_03[[#This Row],[Strength (ksi)]]*Table_03[[#This Row],[Static Parameters Plastic Section Modulus Zx (in3)]]</f>
        <v>1966.3984500000001</v>
      </c>
      <c r="AG128" s="190">
        <f>Table_03[[#This Row],[Mp (k-in)]]-(Table_03[[#This Row],[Mp (k-in)]]-0.7*Table_03[[#This Row],[Strength (ksi)]]*Table_03[[#This Row],[Static Parameters Elastic Section Modulus Sx (in3)2]])*((Table_03[[#This Row],[b/t]]-Table_03[[#This Row],[λpf]])/(Table_03[[#This Row],[λrf]]-Table_03[[#This Row],[λpf]]))</f>
        <v>2060.7549108905368</v>
      </c>
      <c r="AH128" s="193">
        <f>0.9*$B$4*Table_03[[#This Row],[kc]]*Table_03[[#This Row],[Static Parameters Elastic Section Modulus Sx (in3)2]]/Table_03[[#This Row],[b/t]]^2</f>
        <v>13563.489282901013</v>
      </c>
      <c r="AI128" s="194" t="str">
        <f>IF(Table_03[[#This Row],[b/t]]&lt;Table_03[[#This Row],[λpf]],"Compact",IF(AND(Table_03[[#This Row],[b/t]]&gt;Table_03[[#This Row],[λpf]],Table_03[[#This Row],[λrf]]&gt;Table_03[[#This Row],[b/t]]),"Non-Compact","Slender"))</f>
        <v>Compact</v>
      </c>
      <c r="AJ128" s="195">
        <f>IF(Table_03[[#This Row],[Controlling LBx]]="Compact",Table_03[[#This Row],[Mp (k-in)]],IF(Table_03[[#This Row],[Controlling LBx]]="Non-Compact",Table_03[[#This Row],[Mnlb,Non-Compact (k-in)]],IF(Table_03[[#This Row],[Controlling LBx]]="Slender",Table_03[[#This Row],[Mnlb,slender (k-in)]],"ERROR")))</f>
        <v>1966.3984500000001</v>
      </c>
      <c r="AK128" s="192">
        <f>Table_03[[#This Row],[Mp (k-in)]]-(Table_03[[#This Row],[Mp (k-in)]]-0.7*Table_03[[#This Row],[Strength (ksi)]]*Table_03[[#This Row],[Static Parameters Elastic Section Modulus Sx (in3)2]])*(($B$5-Table_03[[#This Row],[Lp (ft)]])/(Table_03[[#This Row],[Lr]]-Table_03[[#This Row],[Lp (ft)]]))</f>
        <v>1970.05302774346</v>
      </c>
      <c r="AL128" s="196">
        <f>Table_03[[#This Row],[Fcrx]]*Table_03[[#This Row],[Static Parameters Elastic Section Modulus Sx (in3)2]]</f>
        <v>7415.1644519836518</v>
      </c>
      <c r="AM128" s="197" t="str">
        <f>IF($B$5&lt;Table_03[[#This Row],[Lp (ft)]],"Yielding Controls",IF(AND($B$5&gt;Table_03[[#This Row],[Lp (ft)]],Table_03[[#This Row],[Lr]]&gt;$B$5),"Mltb,p Controls","Mltb,r Controls"))</f>
        <v>Yielding Controls</v>
      </c>
      <c r="AN128" s="198">
        <f>IF(Table_03[[#This Row],[Controlling LTB]]="Yielding Controls",Table_03[[#This Row],[Mp (k-in)]],IF(Table_03[[#This Row],[Controlling LTB]]="Mltb,p Controls",Table_03[[#This Row],[Mnltbp (k-in)]],IF(Table_03[[#This Row],[Controlling LTB]]="Mltb,r Controls",Table_03[[#This Row],[Mnltbr (k-in)]],"ERROR")))</f>
        <v>1966.3984500000001</v>
      </c>
      <c r="AO128" s="199">
        <f>MIN(Table_03[[#This Row],[Strength (ksi)]]*Table_03[[#This Row],[Static Parameters Plastic Section Modulus Zy (in3)]],1.6*Table_03[[#This Row],[Strength (ksi)]]*Table_03[[#This Row],[Static Parameters Elastic Section Modulus Sy (in3)3]])</f>
        <v>923.29920000000027</v>
      </c>
      <c r="AP128" s="169">
        <f>MIN(Table_03[[#This Row],[Mny (k-in)]],Table_03[[#This Row],[Mny (k-in)]]-(Table_03[[#This Row],[Mny (k-in)]]-0.7*Table_03[[#This Row],[Static Parameters Elastic Section Modulus Sy (in3)3]]*Table_03[[#This Row],[Strength (ksi)]])*((Table_03[[#This Row],[b/t]]-Table_03[[#This Row],[λpf]])/(Table_03[[#This Row],[λrf]]-Table_03[[#This Row],[λpf]])))</f>
        <v>923.29920000000027</v>
      </c>
      <c r="AQ128" s="196">
        <f>MIN(Table_03[[#This Row],[Mny (k-in)]],Table_03[[#This Row],[Fcry]]*Table_03[[#This Row],[Static Parameters Elastic Section Modulus Sy (in3)3]])</f>
        <v>923.29920000000027</v>
      </c>
      <c r="AR128" s="197" t="str">
        <f>IF(Table_03[[#This Row],[b/t]]&lt;Table_03[[#This Row],[λpf]],"Compact",IF(AND(Table_03[[#This Row],[b/t]]&gt;Table_03[[#This Row],[λpf]],Table_03[[#This Row],[λrf]]&gt;Table_03[[#This Row],[b/t]]),"Non-Compact","Slender"))</f>
        <v>Compact</v>
      </c>
      <c r="AS128" s="198">
        <f>IF(Table_03[[#This Row],[Controlling Lby]]="Compact",Table_03[[#This Row],[Mny (k-in)]],IF(Table_03[[#This Row],[Controlling Lby]]="Non-Compact",Table_03[[#This Row],[Mlby,Non-Compact (k-in)]],IF(Table_03[[#This Row],[Controlling Lby]]="Slender",Table_03[[#This Row],[Mlby,Slender (k-in)]],"ERROR")))</f>
        <v>923.29920000000027</v>
      </c>
      <c r="AT128" s="199">
        <f>MIN(Table_03[[#This Row],[LBx]],Table_03[[#This Row],[LTB]],Table_03[[#This Row],[Mp (k-in)]])</f>
        <v>1966.3984500000001</v>
      </c>
      <c r="AU128" s="169">
        <f>Table_03[[#This Row],[Mp (k-in)]]</f>
        <v>1966.3984500000001</v>
      </c>
      <c r="AV128" s="169">
        <f>MIN(Table_03[[#This Row],[LBy]],Table_03[[#This Row],[Mny (k-in)]])</f>
        <v>923.29920000000027</v>
      </c>
      <c r="AW128" s="200">
        <f>Table_03[[#This Row],[Mny (k-in)]]</f>
        <v>923.29920000000027</v>
      </c>
      <c r="AX128" s="165">
        <f>SQRT(((Table_03[[#This Row],[Sectional Area (in2)]]-(Table_03[[#This Row],[Flange Thickness tf (in)]]*Table_03[[#This Row],[Width w (in)]]*2+Table_03[[#This Row],[Web Thickness tw (in)]]*((Table_03[[#This Row],[Depth h (in)]]-2*Table_03[[#This Row],[Flange Thickness tf (in)]]))))/4)/(1-PI()/4))</f>
        <v>0.3323207472938054</v>
      </c>
      <c r="AY128"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28" s="165"/>
    </row>
    <row r="129" spans="1:52" ht="14.4" thickBot="1" x14ac:dyDescent="0.35">
      <c r="A129" s="201" t="s">
        <v>221</v>
      </c>
      <c r="B129" s="202">
        <v>8.2799999999999994</v>
      </c>
      <c r="C129" s="202">
        <v>5.27</v>
      </c>
      <c r="D129" s="202">
        <v>0.25</v>
      </c>
      <c r="E129" s="202">
        <v>0.4</v>
      </c>
      <c r="F129" s="203">
        <v>6.2</v>
      </c>
      <c r="G129" s="204">
        <v>21</v>
      </c>
      <c r="H129" s="203">
        <v>75.3</v>
      </c>
      <c r="I129" s="203">
        <v>9.8000000000000007</v>
      </c>
      <c r="J129" s="203">
        <f>Table_03[[#This Row],[Width w (in)]]*Table_03[[#This Row],[Flange Thickness tf (in)]]*(Table_03[[#This Row],[Depth h (in)]]-Table_03[[#This Row],[Flange Thickness tf (in)]])+0.25*Table_03[[#This Row],[Web Thickness tw (in)]]*(Table_03[[#This Row],[Depth h (in)]]-2*Table_03[[#This Row],[Flange Thickness tf (in)]])^2</f>
        <v>20.107939999999999</v>
      </c>
      <c r="K129" s="203">
        <f>(Table_03[[#This Row],[Width w (in)]]^2*Table_03[[#This Row],[Flange Thickness tf (in)]])/2+0.25*Table_03[[#This Row],[Web Thickness tw (in)]]^2*(Table_03[[#This Row],[Depth h (in)]]-2*Table_03[[#This Row],[Flange Thickness tf (in)]])</f>
        <v>5.6714549999999999</v>
      </c>
      <c r="L129" s="203">
        <v>18.2</v>
      </c>
      <c r="M129" s="203">
        <v>3.7</v>
      </c>
      <c r="N129" s="205">
        <v>50</v>
      </c>
      <c r="O129" s="206">
        <f>SQRT(Table_03[[#This Row],[Static Parameters Moment of Inertia Ix (in4)]]/Table_03[[#This Row],[Sectional Area (in2)]])</f>
        <v>3.4849908594317118</v>
      </c>
      <c r="P129" s="203">
        <f>SQRT(Table_03[[#This Row],[Static Parameters Moment of Inertia Iy (in4)]]/Table_03[[#This Row],[Sectional Area (in2)]])</f>
        <v>1.2572371141874243</v>
      </c>
      <c r="Q129" s="203">
        <f>($B$6*$B$5*12)/Table_03[[#This Row],[ry (in)2]]</f>
        <v>142.81315590659005</v>
      </c>
      <c r="R129" s="203">
        <f>(PI()^2*$B$4)/(Table_03[[#This Row],[KL/ry]]^2)</f>
        <v>14.033348502371231</v>
      </c>
      <c r="S129" s="203">
        <f>IF(Table_03[[#This Row],[Strength (ksi)]]/Table_03[[#This Row],[Fe,y]]&lt;2.25,(0.658^(Table_03[[#This Row],[Strength (ksi)]]/Table_03[[#This Row],[Fe,y]])*Table_03[[#This Row],[Strength (ksi)]]),0.877*Table_03[[#This Row],[Fe,y]])</f>
        <v>12.307246636579569</v>
      </c>
      <c r="T129" s="203">
        <f>Table_03[[#This Row],[Fcr,y]]*Table_03[[#This Row],[Sectional Area (in2)]]</f>
        <v>76.304929146793327</v>
      </c>
      <c r="U129" s="203">
        <f>1.76*Table_03[[#This Row],[ry (in)2]]*SQRT($B$4/Table_03[[#This Row],[Strength (ksi)]])/12</f>
        <v>4.4408142880803565</v>
      </c>
      <c r="V12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14.513549705846485</v>
      </c>
      <c r="W129" s="203">
        <f>Table_03[[#This Row],[Depth h (in)]]-Table_03[[#This Row],[Flange Thickness tf (in)]]</f>
        <v>7.879999999999999</v>
      </c>
      <c r="X129" s="203">
        <f>(Table_03[[#This Row],[Static Parameters Moment of Inertia Iy (in4)]]*Table_03[[#This Row],[ho]]^2)/4</f>
        <v>152.13127999999998</v>
      </c>
      <c r="Y129" s="203">
        <f>SQRT((SQRT(Table_03[[#This Row],[Static Parameters Moment of Inertia Iy (in4)]]*Table_03[[#This Row],[Cw*]])/Table_03[[#This Row],[Static Parameters Elastic Section Modulus Sx (in3)2]]))</f>
        <v>1.4565501919049895</v>
      </c>
      <c r="Z129" s="203">
        <f>(2*Table_03[[#This Row],[Width w (in)]]*Table_03[[#This Row],[Flange Thickness tf (in)]]^3/3)+((Table_03[[#This Row],[Depth h (in)]]-Table_03[[#This Row],[Flange Thickness tf (in)]]*2)*Table_03[[#This Row],[Web Thickness tw (in)]]^3)/3</f>
        <v>0.26381166666666672</v>
      </c>
      <c r="AA129" s="203">
        <f>Table_03[[#This Row],[Width w (in)]]*0.5/Table_03[[#This Row],[Flange Thickness tf (in)]]</f>
        <v>6.5874999999999995</v>
      </c>
      <c r="AB129" s="203">
        <f>0.38*SQRT($B$4/Table_03[[#This Row],[Strength (ksi)]])</f>
        <v>9.1516118798821449</v>
      </c>
      <c r="AC129" s="203">
        <f>1*SQRT($B$4/Table_03[[#This Row],[Strength (ksi)]])</f>
        <v>24.083189157584592</v>
      </c>
      <c r="AD129" s="203">
        <f>(PI()^2*$B$4/(12*$B$5/Table_03[[#This Row],[rts]])^2)*SQRT(1+0.078*(Table_03[[#This Row],[J*]]/(Table_03[[#This Row],[Static Parameters Elastic Section Modulus Sx (in3)2]]*Table_03[[#This Row],[ho]])*$B$4/(12*$B$5/Table_03[[#This Row],[rts]])^2))</f>
        <v>83.114822714962017</v>
      </c>
      <c r="AE129" s="203">
        <f>0.69*$B$4/Table_03[[#This Row],[b/t]]^2</f>
        <v>461.11137115677519</v>
      </c>
      <c r="AF129" s="207">
        <f>Table_03[[#This Row],[Strength (ksi)]]*Table_03[[#This Row],[Static Parameters Plastic Section Modulus Zx (in3)]]</f>
        <v>1005.3969999999999</v>
      </c>
      <c r="AG129" s="203">
        <f>Table_03[[#This Row],[Mp (k-in)]]-(Table_03[[#This Row],[Mp (k-in)]]-0.7*Table_03[[#This Row],[Strength (ksi)]]*Table_03[[#This Row],[Static Parameters Elastic Section Modulus Sx (in3)2]])*((Table_03[[#This Row],[b/t]]-Table_03[[#This Row],[λpf]])/(Table_03[[#This Row],[λrf]]-Table_03[[#This Row],[λpf]]))</f>
        <v>1068.6596484560037</v>
      </c>
      <c r="AH129" s="208">
        <f>0.9*$B$4*Table_03[[#This Row],[kc]]*Table_03[[#This Row],[Static Parameters Elastic Section Modulus Sx (in3)2]]/Table_03[[#This Row],[b/t]]^2</f>
        <v>7608.2621137692586</v>
      </c>
      <c r="AI129" s="209" t="str">
        <f>IF(Table_03[[#This Row],[b/t]]&lt;Table_03[[#This Row],[λpf]],"Compact",IF(AND(Table_03[[#This Row],[b/t]]&gt;Table_03[[#This Row],[λpf]],Table_03[[#This Row],[λrf]]&gt;Table_03[[#This Row],[b/t]]),"Non-Compact","Slender"))</f>
        <v>Compact</v>
      </c>
      <c r="AJ129" s="210">
        <f>IF(Table_03[[#This Row],[Controlling LBx]]="Compact",Table_03[[#This Row],[Mp (k-in)]],IF(Table_03[[#This Row],[Controlling LBx]]="Non-Compact",Table_03[[#This Row],[Mnlb,Non-Compact (k-in)]],IF(Table_03[[#This Row],[Controlling LBx]]="Slender",Table_03[[#This Row],[Mnlb,slender (k-in)]],"ERROR")))</f>
        <v>1005.3969999999999</v>
      </c>
      <c r="AK129" s="207">
        <f>Table_03[[#This Row],[Mp (k-in)]]-(Table_03[[#This Row],[Mp (k-in)]]-0.7*Table_03[[#This Row],[Strength (ksi)]]*Table_03[[#This Row],[Static Parameters Elastic Section Modulus Sx (in3)2]])*(($B$5-Table_03[[#This Row],[Lp (ft)]])/(Table_03[[#This Row],[Lr]]-Table_03[[#This Row],[Lp (ft)]]))</f>
        <v>907.22645121640437</v>
      </c>
      <c r="AL129" s="211">
        <f>Table_03[[#This Row],[Fcrx]]*Table_03[[#This Row],[Static Parameters Elastic Section Modulus Sx (in3)2]]</f>
        <v>1512.6897734123086</v>
      </c>
      <c r="AM129" s="212" t="str">
        <f>IF($B$5&lt;Table_03[[#This Row],[Lp (ft)]],"Yielding Controls",IF(AND($B$5&gt;Table_03[[#This Row],[Lp (ft)]],Table_03[[#This Row],[Lr]]&gt;$B$5),"Mltb,p Controls","Mltb,r Controls"))</f>
        <v>Mltb,p Controls</v>
      </c>
      <c r="AN129" s="213">
        <f>IF(Table_03[[#This Row],[Controlling LTB]]="Yielding Controls",Table_03[[#This Row],[Mp (k-in)]],IF(Table_03[[#This Row],[Controlling LTB]]="Mltb,p Controls",Table_03[[#This Row],[Mnltbp (k-in)]],IF(Table_03[[#This Row],[Controlling LTB]]="Mltb,r Controls",Table_03[[#This Row],[Mnltbr (k-in)]],"ERROR")))</f>
        <v>907.22645121640437</v>
      </c>
      <c r="AO129" s="214">
        <f>MIN(Table_03[[#This Row],[Strength (ksi)]]*Table_03[[#This Row],[Static Parameters Plastic Section Modulus Zy (in3)]],1.6*Table_03[[#This Row],[Strength (ksi)]]*Table_03[[#This Row],[Static Parameters Elastic Section Modulus Sy (in3)3]])</f>
        <v>283.57274999999998</v>
      </c>
      <c r="AP129" s="206">
        <f>MIN(Table_03[[#This Row],[Mny (k-in)]],Table_03[[#This Row],[Mny (k-in)]]-(Table_03[[#This Row],[Mny (k-in)]]-0.7*Table_03[[#This Row],[Static Parameters Elastic Section Modulus Sy (in3)3]]*Table_03[[#This Row],[Strength (ksi)]])*((Table_03[[#This Row],[b/t]]-Table_03[[#This Row],[λpf]])/(Table_03[[#This Row],[λrf]]-Table_03[[#This Row],[λpf]])))</f>
        <v>283.57274999999998</v>
      </c>
      <c r="AQ129" s="211">
        <f>MIN(Table_03[[#This Row],[Mny (k-in)]],Table_03[[#This Row],[Fcry]]*Table_03[[#This Row],[Static Parameters Elastic Section Modulus Sy (in3)3]])</f>
        <v>283.57274999999998</v>
      </c>
      <c r="AR129" s="212" t="str">
        <f>IF(Table_03[[#This Row],[b/t]]&lt;Table_03[[#This Row],[λpf]],"Compact",IF(AND(Table_03[[#This Row],[b/t]]&gt;Table_03[[#This Row],[λpf]],Table_03[[#This Row],[λrf]]&gt;Table_03[[#This Row],[b/t]]),"Non-Compact","Slender"))</f>
        <v>Compact</v>
      </c>
      <c r="AS129" s="213">
        <f>IF(Table_03[[#This Row],[Controlling Lby]]="Compact",Table_03[[#This Row],[Mny (k-in)]],IF(Table_03[[#This Row],[Controlling Lby]]="Non-Compact",Table_03[[#This Row],[Mlby,Non-Compact (k-in)]],IF(Table_03[[#This Row],[Controlling Lby]]="Slender",Table_03[[#This Row],[Mlby,Slender (k-in)]],"ERROR")))</f>
        <v>283.57274999999998</v>
      </c>
      <c r="AT129" s="214">
        <f>MIN(Table_03[[#This Row],[LBx]],Table_03[[#This Row],[LTB]],Table_03[[#This Row],[Mp (k-in)]])</f>
        <v>907.22645121640437</v>
      </c>
      <c r="AU129" s="206">
        <f>Table_03[[#This Row],[Mp (k-in)]]</f>
        <v>1005.3969999999999</v>
      </c>
      <c r="AV129" s="206">
        <f>MIN(Table_03[[#This Row],[LBy]],Table_03[[#This Row],[Mny (k-in)]])</f>
        <v>283.57274999999998</v>
      </c>
      <c r="AW129" s="215">
        <f>Table_03[[#This Row],[Mny (k-in)]]</f>
        <v>283.57274999999998</v>
      </c>
      <c r="AX129" s="165">
        <f>SQRT(((Table_03[[#This Row],[Sectional Area (in2)]]-(Table_03[[#This Row],[Flange Thickness tf (in)]]*Table_03[[#This Row],[Width w (in)]]*2+Table_03[[#This Row],[Web Thickness tw (in)]]*((Table_03[[#This Row],[Depth h (in)]]-2*Table_03[[#This Row],[Flange Thickness tf (in)]]))))/4)/(1-PI()/4))</f>
        <v>0.36442294444817308</v>
      </c>
      <c r="AY129" s="165">
        <f>IF(4/SQRT((Table_03[[#This Row],[Depth h (in)]]-Table_03[[#This Row],[Flange Thickness tf (in)]]*2)/Table_03[[#This Row],[Web Thickness tw (in)]])&lt;0.35,0.35,IF(4/SQRT(Table_03[[#This Row],[Depth h (in)]]/Table_03[[#This Row],[Web Thickness tw (in)]])&gt;0.76,0.76,4/SQRT(Table_03[[#This Row],[Depth h (in)]]/Table_03[[#This Row],[Web Thickness tw (in)]])))</f>
        <v>0.6950480468569159</v>
      </c>
      <c r="AZ129" s="165"/>
    </row>
    <row r="130" spans="1:52" x14ac:dyDescent="0.3">
      <c r="A130" s="179" t="s">
        <v>222</v>
      </c>
      <c r="B130" s="180">
        <v>8.5</v>
      </c>
      <c r="C130" s="180">
        <v>8.11</v>
      </c>
      <c r="D130" s="180">
        <v>0.4</v>
      </c>
      <c r="E130" s="180">
        <v>0.68500000000000005</v>
      </c>
      <c r="F130" s="181">
        <v>14.1</v>
      </c>
      <c r="G130" s="180">
        <v>48</v>
      </c>
      <c r="H130" s="180">
        <v>184</v>
      </c>
      <c r="I130" s="180">
        <v>60.9</v>
      </c>
      <c r="J130" s="181">
        <f>Table_03[[#This Row],[Width w (in)]]*Table_03[[#This Row],[Flange Thickness tf (in)]]*(Table_03[[#This Row],[Depth h (in)]]-Table_03[[#This Row],[Flange Thickness tf (in)]])+0.25*Table_03[[#This Row],[Web Thickness tw (in)]]*(Table_03[[#This Row],[Depth h (in)]]-2*Table_03[[#This Row],[Flange Thickness tf (in)]])^2</f>
        <v>48.498750250000001</v>
      </c>
      <c r="K130" s="181">
        <f>(Table_03[[#This Row],[Width w (in)]]^2*Table_03[[#This Row],[Flange Thickness tf (in)]])/2+0.25*Table_03[[#This Row],[Web Thickness tw (in)]]^2*(Table_03[[#This Row],[Depth h (in)]]-2*Table_03[[#This Row],[Flange Thickness tf (in)]])</f>
        <v>22.812144249999999</v>
      </c>
      <c r="L130" s="181">
        <v>43.3</v>
      </c>
      <c r="M130" s="181">
        <v>15</v>
      </c>
      <c r="N130" s="182">
        <v>50</v>
      </c>
      <c r="O130" s="181">
        <f>SQRT(Table_03[[#This Row],[Static Parameters Moment of Inertia Ix (in4)]]/Table_03[[#This Row],[Sectional Area (in2)]])</f>
        <v>3.6124292920513921</v>
      </c>
      <c r="P130" s="181">
        <f>SQRT(Table_03[[#This Row],[Static Parameters Moment of Inertia Iy (in4)]]/Table_03[[#This Row],[Sectional Area (in2)]])</f>
        <v>2.0782562248602101</v>
      </c>
      <c r="Q130" s="181">
        <f>($B$6*$B$5*12)/Table_03[[#This Row],[ry (in)2]]</f>
        <v>86.394544547594023</v>
      </c>
      <c r="R130" s="181">
        <f>(PI()^2*$B$4)/(Table_03[[#This Row],[KL/ry]]^2)</f>
        <v>38.346444691889765</v>
      </c>
      <c r="S130" s="181">
        <f>IF(Table_03[[#This Row],[Strength (ksi)]]/Table_03[[#This Row],[Fe,y]]&lt;2.25,(0.658^(Table_03[[#This Row],[Strength (ksi)]]/Table_03[[#This Row],[Fe,y]])*Table_03[[#This Row],[Strength (ksi)]]),0.877*Table_03[[#This Row],[Fe,y]])</f>
        <v>28.970394658843386</v>
      </c>
      <c r="T130" s="181">
        <f>Table_03[[#This Row],[Fcr,y]]*Table_03[[#This Row],[Sectional Area (in2)]]</f>
        <v>408.48256468969174</v>
      </c>
      <c r="U130" s="181">
        <f>1.76*Table_03[[#This Row],[ry (in)2]]*SQRT($B$4/Table_03[[#This Row],[Strength (ksi)]])/12</f>
        <v>7.3408188745812941</v>
      </c>
      <c r="V130"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34.564380551040081</v>
      </c>
      <c r="W130" s="181">
        <f>Table_03[[#This Row],[Depth h (in)]]-Table_03[[#This Row],[Flange Thickness tf (in)]]</f>
        <v>7.8149999999999995</v>
      </c>
      <c r="X130" s="181">
        <f>(Table_03[[#This Row],[Static Parameters Moment of Inertia Iy (in4)]]*Table_03[[#This Row],[ho]]^2)/4</f>
        <v>929.85507562499981</v>
      </c>
      <c r="Y130" s="181">
        <f>SQRT((SQRT(Table_03[[#This Row],[Static Parameters Moment of Inertia Iy (in4)]]*Table_03[[#This Row],[Cw*]])/Table_03[[#This Row],[Static Parameters Elastic Section Modulus Sx (in3)2]]))</f>
        <v>2.3443054191771537</v>
      </c>
      <c r="Z130" s="181">
        <f>(2*Table_03[[#This Row],[Width w (in)]]*Table_03[[#This Row],[Flange Thickness tf (in)]]^3/3)+((Table_03[[#This Row],[Depth h (in)]]-Table_03[[#This Row],[Flange Thickness tf (in)]]*2)*Table_03[[#This Row],[Web Thickness tw (in)]]^3)/3</f>
        <v>1.8899127358333336</v>
      </c>
      <c r="AA130" s="181">
        <f>Table_03[[#This Row],[Width w (in)]]*0.5/Table_03[[#This Row],[Flange Thickness tf (in)]]</f>
        <v>5.9197080291970794</v>
      </c>
      <c r="AB130" s="181">
        <f>0.38*SQRT($B$4/Table_03[[#This Row],[Strength (ksi)]])</f>
        <v>9.1516118798821449</v>
      </c>
      <c r="AC130" s="181">
        <f>1*SQRT($B$4/Table_03[[#This Row],[Strength (ksi)]])</f>
        <v>24.083189157584592</v>
      </c>
      <c r="AD130" s="181">
        <f>(PI()^2*$B$4/(12*$B$5/Table_03[[#This Row],[rts]])^2)*SQRT(1+0.078*(Table_03[[#This Row],[J*]]/(Table_03[[#This Row],[Static Parameters Elastic Section Modulus Sx (in3)2]]*Table_03[[#This Row],[ho]])*$B$4/(12*$B$5/Table_03[[#This Row],[rts]])^2))</f>
        <v>216.1954457062775</v>
      </c>
      <c r="AE130" s="181">
        <f>0.69*$B$4/Table_03[[#This Row],[b/t]]^2</f>
        <v>571.0136820931674</v>
      </c>
      <c r="AF130" s="183">
        <f>Table_03[[#This Row],[Strength (ksi)]]*Table_03[[#This Row],[Static Parameters Plastic Section Modulus Zx (in3)]]</f>
        <v>2424.9375125000001</v>
      </c>
      <c r="AG130" s="181">
        <f>Table_03[[#This Row],[Mp (k-in)]]-(Table_03[[#This Row],[Mp (k-in)]]-0.7*Table_03[[#This Row],[Strength (ksi)]]*Table_03[[#This Row],[Static Parameters Elastic Section Modulus Sx (in3)2]])*((Table_03[[#This Row],[b/t]]-Table_03[[#This Row],[λpf]])/(Table_03[[#This Row],[λrf]]-Table_03[[#This Row],[λpf]]))</f>
        <v>2621.7830663180398</v>
      </c>
      <c r="AH130" s="184">
        <f>0.9*$B$4*Table_03[[#This Row],[kc]]*Table_03[[#This Row],[Static Parameters Elastic Section Modulus Sx (in3)2]]/Table_03[[#This Row],[b/t]]^2</f>
        <v>24509.893369985151</v>
      </c>
      <c r="AI130" s="185" t="str">
        <f>IF(Table_03[[#This Row],[b/t]]&lt;Table_03[[#This Row],[λpf]],"Compact",IF(AND(Table_03[[#This Row],[b/t]]&gt;Table_03[[#This Row],[λpf]],Table_03[[#This Row],[λrf]]&gt;Table_03[[#This Row],[b/t]]),"Non-Compact","Slender"))</f>
        <v>Compact</v>
      </c>
      <c r="AJ130" s="186">
        <f>IF(Table_03[[#This Row],[Controlling LBx]]="Compact",Table_03[[#This Row],[Mp (k-in)]],IF(Table_03[[#This Row],[Controlling LBx]]="Non-Compact",Table_03[[#This Row],[Mnlb,Non-Compact (k-in)]],IF(Table_03[[#This Row],[Controlling LBx]]="Slender",Table_03[[#This Row],[Mnlb,slender (k-in)]],"ERROR")))</f>
        <v>2424.9375125000001</v>
      </c>
      <c r="AK130" s="183">
        <f>Table_03[[#This Row],[Mp (k-in)]]-(Table_03[[#This Row],[Mp (k-in)]]-0.7*Table_03[[#This Row],[Strength (ksi)]]*Table_03[[#This Row],[Static Parameters Elastic Section Modulus Sx (in3)2]])*(($B$5-Table_03[[#This Row],[Lp (ft)]])/(Table_03[[#This Row],[Lr]]-Table_03[[#This Row],[Lp (ft)]]))</f>
        <v>2432.1472149916285</v>
      </c>
      <c r="AL130" s="184">
        <f>Table_03[[#This Row],[Fcrx]]*Table_03[[#This Row],[Static Parameters Elastic Section Modulus Sx (in3)2]]</f>
        <v>9361.2627990818146</v>
      </c>
      <c r="AM130" s="185" t="str">
        <f>IF($B$5&lt;Table_03[[#This Row],[Lp (ft)]],"Yielding Controls",IF(AND($B$5&gt;Table_03[[#This Row],[Lp (ft)]],Table_03[[#This Row],[Lr]]&gt;$B$5),"Mltb,p Controls","Mltb,r Controls"))</f>
        <v>Yielding Controls</v>
      </c>
      <c r="AN130" s="186">
        <f>IF(Table_03[[#This Row],[Controlling LTB]]="Yielding Controls",Table_03[[#This Row],[Mp (k-in)]],IF(Table_03[[#This Row],[Controlling LTB]]="Mltb,p Controls",Table_03[[#This Row],[Mnltbp (k-in)]],IF(Table_03[[#This Row],[Controlling LTB]]="Mltb,r Controls",Table_03[[#This Row],[Mnltbr (k-in)]],"ERROR")))</f>
        <v>2424.9375125000001</v>
      </c>
      <c r="AO130" s="183">
        <f>MIN(Table_03[[#This Row],[Strength (ksi)]]*Table_03[[#This Row],[Static Parameters Plastic Section Modulus Zy (in3)]],1.6*Table_03[[#This Row],[Strength (ksi)]]*Table_03[[#This Row],[Static Parameters Elastic Section Modulus Sy (in3)3]])</f>
        <v>1140.6072125000001</v>
      </c>
      <c r="AP130" s="181">
        <f>MIN(Table_03[[#This Row],[Mny (k-in)]],Table_03[[#This Row],[Mny (k-in)]]-(Table_03[[#This Row],[Mny (k-in)]]-0.7*Table_03[[#This Row],[Static Parameters Elastic Section Modulus Sy (in3)3]]*Table_03[[#This Row],[Strength (ksi)]])*((Table_03[[#This Row],[b/t]]-Table_03[[#This Row],[λpf]])/(Table_03[[#This Row],[λrf]]-Table_03[[#This Row],[λpf]])))</f>
        <v>1140.6072125000001</v>
      </c>
      <c r="AQ130" s="184">
        <f>MIN(Table_03[[#This Row],[Mny (k-in)]],Table_03[[#This Row],[Fcry]]*Table_03[[#This Row],[Static Parameters Elastic Section Modulus Sy (in3)3]])</f>
        <v>1140.6072125000001</v>
      </c>
      <c r="AR130" s="185" t="str">
        <f>IF(Table_03[[#This Row],[b/t]]&lt;Table_03[[#This Row],[λpf]],"Compact",IF(AND(Table_03[[#This Row],[b/t]]&gt;Table_03[[#This Row],[λpf]],Table_03[[#This Row],[λrf]]&gt;Table_03[[#This Row],[b/t]]),"Non-Compact","Slender"))</f>
        <v>Compact</v>
      </c>
      <c r="AS130" s="186">
        <f>IF(Table_03[[#This Row],[Controlling Lby]]="Compact",Table_03[[#This Row],[Mny (k-in)]],IF(Table_03[[#This Row],[Controlling Lby]]="Non-Compact",Table_03[[#This Row],[Mlby,Non-Compact (k-in)]],IF(Table_03[[#This Row],[Controlling Lby]]="Slender",Table_03[[#This Row],[Mlby,Slender (k-in)]],"ERROR")))</f>
        <v>1140.6072125000001</v>
      </c>
      <c r="AT130" s="183">
        <f>MIN(Table_03[[#This Row],[LBx]],Table_03[[#This Row],[LTB]],Table_03[[#This Row],[Mp (k-in)]])</f>
        <v>2424.9375125000001</v>
      </c>
      <c r="AU130" s="181">
        <f>Table_03[[#This Row],[Mp (k-in)]]</f>
        <v>2424.9375125000001</v>
      </c>
      <c r="AV130" s="181">
        <f>MIN(Table_03[[#This Row],[LBy]],Table_03[[#This Row],[Mny (k-in)]])</f>
        <v>1140.6072125000001</v>
      </c>
      <c r="AW130" s="187">
        <f>Table_03[[#This Row],[Mny (k-in)]]</f>
        <v>1140.6072125000001</v>
      </c>
      <c r="AX130" s="165">
        <f>SQRT(((Table_03[[#This Row],[Sectional Area (in2)]]-(Table_03[[#This Row],[Flange Thickness tf (in)]]*Table_03[[#This Row],[Width w (in)]]*2+Table_03[[#This Row],[Web Thickness tw (in)]]*((Table_03[[#This Row],[Depth h (in)]]-2*Table_03[[#This Row],[Flange Thickness tf (in)]]))))/4)/(1-PI()/4))</f>
        <v>0.39993421080738023</v>
      </c>
      <c r="AY130"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30" s="165"/>
    </row>
    <row r="131" spans="1:52" x14ac:dyDescent="0.3">
      <c r="A131" s="188" t="s">
        <v>223</v>
      </c>
      <c r="B131" s="189">
        <v>8.75</v>
      </c>
      <c r="C131" s="189">
        <v>8.2200000000000006</v>
      </c>
      <c r="D131" s="189">
        <v>0.51</v>
      </c>
      <c r="E131" s="189">
        <v>0.81</v>
      </c>
      <c r="F131" s="190">
        <v>17.100000000000001</v>
      </c>
      <c r="G131" s="189">
        <v>58</v>
      </c>
      <c r="H131" s="190">
        <v>228</v>
      </c>
      <c r="I131" s="190">
        <v>75.099999999999994</v>
      </c>
      <c r="J131" s="190">
        <f>Table_03[[#This Row],[Width w (in)]]*Table_03[[#This Row],[Flange Thickness tf (in)]]*(Table_03[[#This Row],[Depth h (in)]]-Table_03[[#This Row],[Flange Thickness tf (in)]])+0.25*Table_03[[#This Row],[Web Thickness tw (in)]]*(Table_03[[#This Row],[Depth h (in)]]-2*Table_03[[#This Row],[Flange Thickness tf (in)]])^2</f>
        <v>59.347812750000003</v>
      </c>
      <c r="K131" s="190">
        <f>(Table_03[[#This Row],[Width w (in)]]^2*Table_03[[#This Row],[Flange Thickness tf (in)]])/2+0.25*Table_03[[#This Row],[Web Thickness tw (in)]]^2*(Table_03[[#This Row],[Depth h (in)]]-2*Table_03[[#This Row],[Flange Thickness tf (in)]])</f>
        <v>27.828830250000006</v>
      </c>
      <c r="L131" s="190">
        <v>52</v>
      </c>
      <c r="M131" s="190">
        <v>18.3</v>
      </c>
      <c r="N131" s="191">
        <v>50</v>
      </c>
      <c r="O131" s="169">
        <f>SQRT(Table_03[[#This Row],[Static Parameters Moment of Inertia Ix (in4)]]/Table_03[[#This Row],[Sectional Area (in2)]])</f>
        <v>3.6514837167011072</v>
      </c>
      <c r="P131" s="190">
        <f>SQRT(Table_03[[#This Row],[Static Parameters Moment of Inertia Iy (in4)]]/Table_03[[#This Row],[Sectional Area (in2)]])</f>
        <v>2.0956652560695557</v>
      </c>
      <c r="Q131" s="190">
        <f>($B$6*$B$5*12)/Table_03[[#This Row],[ry (in)2]]</f>
        <v>85.676851052418598</v>
      </c>
      <c r="R131" s="190">
        <f>(PI()^2*$B$4)/(Table_03[[#This Row],[KL/ry]]^2)</f>
        <v>38.991572560413481</v>
      </c>
      <c r="S131" s="190">
        <f>IF(Table_03[[#This Row],[Strength (ksi)]]/Table_03[[#This Row],[Fe,y]]&lt;2.25,(0.658^(Table_03[[#This Row],[Strength (ksi)]]/Table_03[[#This Row],[Fe,y]])*Table_03[[#This Row],[Strength (ksi)]]),0.877*Table_03[[#This Row],[Fe,y]])</f>
        <v>29.233169810256239</v>
      </c>
      <c r="T131" s="190">
        <f>Table_03[[#This Row],[Fcr,y]]*Table_03[[#This Row],[Sectional Area (in2)]]</f>
        <v>499.88720375538173</v>
      </c>
      <c r="U131" s="190">
        <f>1.76*Table_03[[#This Row],[ry (in)2]]*SQRT($B$4/Table_03[[#This Row],[Strength (ksi)]])/12</f>
        <v>7.4023110733588231</v>
      </c>
      <c r="V13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41.08648976787169</v>
      </c>
      <c r="W131" s="190">
        <f>Table_03[[#This Row],[Depth h (in)]]-Table_03[[#This Row],[Flange Thickness tf (in)]]</f>
        <v>7.9399999999999995</v>
      </c>
      <c r="X131" s="190">
        <f>(Table_03[[#This Row],[Static Parameters Moment of Inertia Iy (in4)]]*Table_03[[#This Row],[ho]]^2)/4</f>
        <v>1183.6435899999997</v>
      </c>
      <c r="Y131" s="190">
        <f>SQRT((SQRT(Table_03[[#This Row],[Static Parameters Moment of Inertia Iy (in4)]]*Table_03[[#This Row],[Cw*]])/Table_03[[#This Row],[Static Parameters Elastic Section Modulus Sx (in3)2]]))</f>
        <v>2.394492880308094</v>
      </c>
      <c r="Z131" s="190">
        <f>(2*Table_03[[#This Row],[Width w (in)]]*Table_03[[#This Row],[Flange Thickness tf (in)]]^3/3)+((Table_03[[#This Row],[Depth h (in)]]-Table_03[[#This Row],[Flange Thickness tf (in)]]*2)*Table_03[[#This Row],[Web Thickness tw (in)]]^3)/3</f>
        <v>3.2275638900000012</v>
      </c>
      <c r="AA131" s="190">
        <f>Table_03[[#This Row],[Width w (in)]]*0.5/Table_03[[#This Row],[Flange Thickness tf (in)]]</f>
        <v>5.0740740740740744</v>
      </c>
      <c r="AB131" s="190">
        <f>0.38*SQRT($B$4/Table_03[[#This Row],[Strength (ksi)]])</f>
        <v>9.1516118798821449</v>
      </c>
      <c r="AC131" s="190">
        <f>1*SQRT($B$4/Table_03[[#This Row],[Strength (ksi)]])</f>
        <v>24.083189157584592</v>
      </c>
      <c r="AD131" s="190">
        <f>(PI()^2*$B$4/(12*$B$5/Table_03[[#This Row],[rts]])^2)*SQRT(1+0.078*(Table_03[[#This Row],[J*]]/(Table_03[[#This Row],[Static Parameters Elastic Section Modulus Sx (in3)2]]*Table_03[[#This Row],[ho]])*$B$4/(12*$B$5/Table_03[[#This Row],[rts]])^2))</f>
        <v>226.03905889249836</v>
      </c>
      <c r="AE131" s="190">
        <f>0.69*$B$4/Table_03[[#This Row],[b/t]]^2</f>
        <v>777.20123608077131</v>
      </c>
      <c r="AF131" s="192">
        <f>Table_03[[#This Row],[Strength (ksi)]]*Table_03[[#This Row],[Static Parameters Plastic Section Modulus Zx (in3)]]</f>
        <v>2967.3906375000001</v>
      </c>
      <c r="AG131" s="190">
        <f>Table_03[[#This Row],[Mp (k-in)]]-(Table_03[[#This Row],[Mp (k-in)]]-0.7*Table_03[[#This Row],[Strength (ksi)]]*Table_03[[#This Row],[Static Parameters Elastic Section Modulus Sx (in3)2]])*((Table_03[[#This Row],[b/t]]-Table_03[[#This Row],[λpf]])/(Table_03[[#This Row],[λrf]]-Table_03[[#This Row],[λpf]]))</f>
        <v>3280.7218158091391</v>
      </c>
      <c r="AH131" s="193">
        <f>0.9*$B$4*Table_03[[#This Row],[kc]]*Table_03[[#This Row],[Static Parameters Elastic Section Modulus Sx (in3)2]]/Table_03[[#This Row],[b/t]]^2</f>
        <v>40063.034152059241</v>
      </c>
      <c r="AI131" s="194" t="str">
        <f>IF(Table_03[[#This Row],[b/t]]&lt;Table_03[[#This Row],[λpf]],"Compact",IF(AND(Table_03[[#This Row],[b/t]]&gt;Table_03[[#This Row],[λpf]],Table_03[[#This Row],[λrf]]&gt;Table_03[[#This Row],[b/t]]),"Non-Compact","Slender"))</f>
        <v>Compact</v>
      </c>
      <c r="AJ131" s="195">
        <f>IF(Table_03[[#This Row],[Controlling LBx]]="Compact",Table_03[[#This Row],[Mp (k-in)]],IF(Table_03[[#This Row],[Controlling LBx]]="Non-Compact",Table_03[[#This Row],[Mnlb,Non-Compact (k-in)]],IF(Table_03[[#This Row],[Controlling LBx]]="Slender",Table_03[[#This Row],[Mnlb,slender (k-in)]],"ERROR")))</f>
        <v>2967.3906375000001</v>
      </c>
      <c r="AK131" s="192">
        <f>Table_03[[#This Row],[Mp (k-in)]]-(Table_03[[#This Row],[Mp (k-in)]]-0.7*Table_03[[#This Row],[Strength (ksi)]]*Table_03[[#This Row],[Static Parameters Elastic Section Modulus Sx (in3)2]])*(($B$5-Table_03[[#This Row],[Lp (ft)]])/(Table_03[[#This Row],[Lr]]-Table_03[[#This Row],[Lp (ft)]]))</f>
        <v>2976.8367377636478</v>
      </c>
      <c r="AL131" s="196">
        <f>Table_03[[#This Row],[Fcrx]]*Table_03[[#This Row],[Static Parameters Elastic Section Modulus Sx (in3)2]]</f>
        <v>11754.031062409915</v>
      </c>
      <c r="AM131" s="197" t="str">
        <f>IF($B$5&lt;Table_03[[#This Row],[Lp (ft)]],"Yielding Controls",IF(AND($B$5&gt;Table_03[[#This Row],[Lp (ft)]],Table_03[[#This Row],[Lr]]&gt;$B$5),"Mltb,p Controls","Mltb,r Controls"))</f>
        <v>Yielding Controls</v>
      </c>
      <c r="AN131" s="198">
        <f>IF(Table_03[[#This Row],[Controlling LTB]]="Yielding Controls",Table_03[[#This Row],[Mp (k-in)]],IF(Table_03[[#This Row],[Controlling LTB]]="Mltb,p Controls",Table_03[[#This Row],[Mnltbp (k-in)]],IF(Table_03[[#This Row],[Controlling LTB]]="Mltb,r Controls",Table_03[[#This Row],[Mnltbr (k-in)]],"ERROR")))</f>
        <v>2967.3906375000001</v>
      </c>
      <c r="AO131" s="199">
        <f>MIN(Table_03[[#This Row],[Strength (ksi)]]*Table_03[[#This Row],[Static Parameters Plastic Section Modulus Zy (in3)]],1.6*Table_03[[#This Row],[Strength (ksi)]]*Table_03[[#This Row],[Static Parameters Elastic Section Modulus Sy (in3)3]])</f>
        <v>1391.4415125000003</v>
      </c>
      <c r="AP131" s="169">
        <f>MIN(Table_03[[#This Row],[Mny (k-in)]],Table_03[[#This Row],[Mny (k-in)]]-(Table_03[[#This Row],[Mny (k-in)]]-0.7*Table_03[[#This Row],[Static Parameters Elastic Section Modulus Sy (in3)3]]*Table_03[[#This Row],[Strength (ksi)]])*((Table_03[[#This Row],[b/t]]-Table_03[[#This Row],[λpf]])/(Table_03[[#This Row],[λrf]]-Table_03[[#This Row],[λpf]])))</f>
        <v>1391.4415125000003</v>
      </c>
      <c r="AQ131" s="196">
        <f>MIN(Table_03[[#This Row],[Mny (k-in)]],Table_03[[#This Row],[Fcry]]*Table_03[[#This Row],[Static Parameters Elastic Section Modulus Sy (in3)3]])</f>
        <v>1391.4415125000003</v>
      </c>
      <c r="AR131" s="197" t="str">
        <f>IF(Table_03[[#This Row],[b/t]]&lt;Table_03[[#This Row],[λpf]],"Compact",IF(AND(Table_03[[#This Row],[b/t]]&gt;Table_03[[#This Row],[λpf]],Table_03[[#This Row],[λrf]]&gt;Table_03[[#This Row],[b/t]]),"Non-Compact","Slender"))</f>
        <v>Compact</v>
      </c>
      <c r="AS131" s="198">
        <f>IF(Table_03[[#This Row],[Controlling Lby]]="Compact",Table_03[[#This Row],[Mny (k-in)]],IF(Table_03[[#This Row],[Controlling Lby]]="Non-Compact",Table_03[[#This Row],[Mlby,Non-Compact (k-in)]],IF(Table_03[[#This Row],[Controlling Lby]]="Slender",Table_03[[#This Row],[Mlby,Slender (k-in)]],"ERROR")))</f>
        <v>1391.4415125000003</v>
      </c>
      <c r="AT131" s="199">
        <f>MIN(Table_03[[#This Row],[LBx]],Table_03[[#This Row],[LTB]],Table_03[[#This Row],[Mp (k-in)]])</f>
        <v>2967.3906375000001</v>
      </c>
      <c r="AU131" s="169">
        <f>Table_03[[#This Row],[Mp (k-in)]]</f>
        <v>2967.3906375000001</v>
      </c>
      <c r="AV131" s="169">
        <f>MIN(Table_03[[#This Row],[LBy]],Table_03[[#This Row],[Mny (k-in)]])</f>
        <v>1391.4415125000003</v>
      </c>
      <c r="AW131" s="200">
        <f>Table_03[[#This Row],[Mny (k-in)]]</f>
        <v>1391.4415125000003</v>
      </c>
      <c r="AX131" s="165">
        <f>SQRT(((Table_03[[#This Row],[Sectional Area (in2)]]-(Table_03[[#This Row],[Flange Thickness tf (in)]]*Table_03[[#This Row],[Width w (in)]]*2+Table_03[[#This Row],[Web Thickness tw (in)]]*((Table_03[[#This Row],[Depth h (in)]]-2*Table_03[[#This Row],[Flange Thickness tf (in)]]))))/4)/(1-PI()/4))</f>
        <v>0.41424250613612501</v>
      </c>
      <c r="AY131"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31" s="165"/>
    </row>
    <row r="132" spans="1:52" ht="14.4" thickBot="1" x14ac:dyDescent="0.35">
      <c r="A132" s="201" t="s">
        <v>224</v>
      </c>
      <c r="B132" s="202">
        <v>9</v>
      </c>
      <c r="C132" s="202">
        <v>8.2799999999999994</v>
      </c>
      <c r="D132" s="202">
        <v>0.56999999999999995</v>
      </c>
      <c r="E132" s="202">
        <v>0.93500000000000005</v>
      </c>
      <c r="F132" s="203">
        <v>19.7</v>
      </c>
      <c r="G132" s="204">
        <v>67</v>
      </c>
      <c r="H132" s="203">
        <v>272</v>
      </c>
      <c r="I132" s="203">
        <v>88.6</v>
      </c>
      <c r="J132" s="203">
        <f>Table_03[[#This Row],[Width w (in)]]*Table_03[[#This Row],[Flange Thickness tf (in)]]*(Table_03[[#This Row],[Depth h (in)]]-Table_03[[#This Row],[Flange Thickness tf (in)]])+0.25*Table_03[[#This Row],[Web Thickness tw (in)]]*(Table_03[[#This Row],[Depth h (in)]]-2*Table_03[[#This Row],[Flange Thickness tf (in)]])^2</f>
        <v>69.68187524999999</v>
      </c>
      <c r="K132" s="203">
        <f>(Table_03[[#This Row],[Width w (in)]]^2*Table_03[[#This Row],[Flange Thickness tf (in)]])/2+0.25*Table_03[[#This Row],[Web Thickness tw (in)]]^2*(Table_03[[#This Row],[Depth h (in)]]-2*Table_03[[#This Row],[Flange Thickness tf (in)]])</f>
        <v>32.630186250000001</v>
      </c>
      <c r="L132" s="203">
        <v>60.4</v>
      </c>
      <c r="M132" s="203">
        <v>21.4</v>
      </c>
      <c r="N132" s="205">
        <v>50</v>
      </c>
      <c r="O132" s="206">
        <f>SQRT(Table_03[[#This Row],[Static Parameters Moment of Inertia Ix (in4)]]/Table_03[[#This Row],[Sectional Area (in2)]])</f>
        <v>3.7157915171581912</v>
      </c>
      <c r="P132" s="203">
        <f>SQRT(Table_03[[#This Row],[Static Parameters Moment of Inertia Iy (in4)]]/Table_03[[#This Row],[Sectional Area (in2)]])</f>
        <v>2.1207220300958847</v>
      </c>
      <c r="Q132" s="203">
        <f>($B$6*$B$5*12)/Table_03[[#This Row],[ry (in)2]]</f>
        <v>84.664561150374794</v>
      </c>
      <c r="R132" s="203">
        <f>(PI()^2*$B$4)/(Table_03[[#This Row],[KL/ry]]^2)</f>
        <v>39.929550395330793</v>
      </c>
      <c r="S132" s="203">
        <f>IF(Table_03[[#This Row],[Strength (ksi)]]/Table_03[[#This Row],[Fe,y]]&lt;2.25,(0.658^(Table_03[[#This Row],[Strength (ksi)]]/Table_03[[#This Row],[Fe,y]])*Table_03[[#This Row],[Strength (ksi)]]),0.877*Table_03[[#This Row],[Fe,y]])</f>
        <v>29.604073955857523</v>
      </c>
      <c r="T132" s="203">
        <f>Table_03[[#This Row],[Fcr,y]]*Table_03[[#This Row],[Sectional Area (in2)]]</f>
        <v>583.20025693039315</v>
      </c>
      <c r="U132" s="203">
        <f>1.76*Table_03[[#This Row],[ry (in)2]]*SQRT($B$4/Table_03[[#This Row],[Strength (ksi)]])/12</f>
        <v>7.490816637546879</v>
      </c>
      <c r="V13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47.234413252012068</v>
      </c>
      <c r="W132" s="203">
        <f>Table_03[[#This Row],[Depth h (in)]]-Table_03[[#This Row],[Flange Thickness tf (in)]]</f>
        <v>8.0649999999999995</v>
      </c>
      <c r="X132" s="203">
        <f>(Table_03[[#This Row],[Static Parameters Moment of Inertia Iy (in4)]]*Table_03[[#This Row],[ho]]^2)/4</f>
        <v>1440.7295837499998</v>
      </c>
      <c r="Y132" s="203">
        <f>SQRT((SQRT(Table_03[[#This Row],[Static Parameters Moment of Inertia Iy (in4)]]*Table_03[[#This Row],[Cw*]])/Table_03[[#This Row],[Static Parameters Elastic Section Modulus Sx (in3)2]]))</f>
        <v>2.4321232513862809</v>
      </c>
      <c r="Z132" s="203">
        <f>(2*Table_03[[#This Row],[Width w (in)]]*Table_03[[#This Row],[Flange Thickness tf (in)]]^3/3)+((Table_03[[#This Row],[Depth h (in)]]-Table_03[[#This Row],[Flange Thickness tf (in)]]*2)*Table_03[[#This Row],[Web Thickness tw (in)]]^3)/3</f>
        <v>4.9521921000000004</v>
      </c>
      <c r="AA132" s="203">
        <f>Table_03[[#This Row],[Width w (in)]]*0.5/Table_03[[#This Row],[Flange Thickness tf (in)]]</f>
        <v>4.4278074866310151</v>
      </c>
      <c r="AB132" s="203">
        <f>0.38*SQRT($B$4/Table_03[[#This Row],[Strength (ksi)]])</f>
        <v>9.1516118798821449</v>
      </c>
      <c r="AC132" s="203">
        <f>1*SQRT($B$4/Table_03[[#This Row],[Strength (ksi)]])</f>
        <v>24.083189157584592</v>
      </c>
      <c r="AD132" s="203">
        <f>(PI()^2*$B$4/(12*$B$5/Table_03[[#This Row],[rts]])^2)*SQRT(1+0.078*(Table_03[[#This Row],[J*]]/(Table_03[[#This Row],[Static Parameters Elastic Section Modulus Sx (in3)2]]*Table_03[[#This Row],[ho]])*$B$4/(12*$B$5/Table_03[[#This Row],[rts]])^2))</f>
        <v>233.74380260284906</v>
      </c>
      <c r="AE132" s="203">
        <f>0.69*$B$4/Table_03[[#This Row],[b/t]]^2</f>
        <v>1020.633051529791</v>
      </c>
      <c r="AF132" s="207">
        <f>Table_03[[#This Row],[Strength (ksi)]]*Table_03[[#This Row],[Static Parameters Plastic Section Modulus Zx (in3)]]</f>
        <v>3484.0937624999997</v>
      </c>
      <c r="AG132" s="203">
        <f>Table_03[[#This Row],[Mp (k-in)]]-(Table_03[[#This Row],[Mp (k-in)]]-0.7*Table_03[[#This Row],[Strength (ksi)]]*Table_03[[#This Row],[Static Parameters Elastic Section Modulus Sx (in3)2]])*((Table_03[[#This Row],[b/t]]-Table_03[[#This Row],[λpf]])/(Table_03[[#This Row],[λrf]]-Table_03[[#This Row],[λpf]]))</f>
        <v>3917.5412686873256</v>
      </c>
      <c r="AH132" s="208">
        <f>0.9*$B$4*Table_03[[#This Row],[kc]]*Table_03[[#This Row],[Static Parameters Elastic Section Modulus Sx (in3)2]]/Table_03[[#This Row],[b/t]]^2</f>
        <v>61110.182083595901</v>
      </c>
      <c r="AI132" s="209" t="str">
        <f>IF(Table_03[[#This Row],[b/t]]&lt;Table_03[[#This Row],[λpf]],"Compact",IF(AND(Table_03[[#This Row],[b/t]]&gt;Table_03[[#This Row],[λpf]],Table_03[[#This Row],[λrf]]&gt;Table_03[[#This Row],[b/t]]),"Non-Compact","Slender"))</f>
        <v>Compact</v>
      </c>
      <c r="AJ132" s="210">
        <f>IF(Table_03[[#This Row],[Controlling LBx]]="Compact",Table_03[[#This Row],[Mp (k-in)]],IF(Table_03[[#This Row],[Controlling LBx]]="Non-Compact",Table_03[[#This Row],[Mnlb,Non-Compact (k-in)]],IF(Table_03[[#This Row],[Controlling LBx]]="Slender",Table_03[[#This Row],[Mnlb,slender (k-in)]],"ERROR")))</f>
        <v>3484.0937624999997</v>
      </c>
      <c r="AK132" s="207">
        <f>Table_03[[#This Row],[Mp (k-in)]]-(Table_03[[#This Row],[Mp (k-in)]]-0.7*Table_03[[#This Row],[Strength (ksi)]]*Table_03[[#This Row],[Static Parameters Elastic Section Modulus Sx (in3)2]])*(($B$5-Table_03[[#This Row],[Lp (ft)]])/(Table_03[[#This Row],[Lr]]-Table_03[[#This Row],[Lp (ft)]]))</f>
        <v>3496.7046768614664</v>
      </c>
      <c r="AL132" s="211">
        <f>Table_03[[#This Row],[Fcrx]]*Table_03[[#This Row],[Static Parameters Elastic Section Modulus Sx (in3)2]]</f>
        <v>14118.125677212083</v>
      </c>
      <c r="AM132" s="212" t="str">
        <f>IF($B$5&lt;Table_03[[#This Row],[Lp (ft)]],"Yielding Controls",IF(AND($B$5&gt;Table_03[[#This Row],[Lp (ft)]],Table_03[[#This Row],[Lr]]&gt;$B$5),"Mltb,p Controls","Mltb,r Controls"))</f>
        <v>Yielding Controls</v>
      </c>
      <c r="AN132" s="213">
        <f>IF(Table_03[[#This Row],[Controlling LTB]]="Yielding Controls",Table_03[[#This Row],[Mp (k-in)]],IF(Table_03[[#This Row],[Controlling LTB]]="Mltb,p Controls",Table_03[[#This Row],[Mnltbp (k-in)]],IF(Table_03[[#This Row],[Controlling LTB]]="Mltb,r Controls",Table_03[[#This Row],[Mnltbr (k-in)]],"ERROR")))</f>
        <v>3484.0937624999997</v>
      </c>
      <c r="AO132" s="214">
        <f>MIN(Table_03[[#This Row],[Strength (ksi)]]*Table_03[[#This Row],[Static Parameters Plastic Section Modulus Zy (in3)]],1.6*Table_03[[#This Row],[Strength (ksi)]]*Table_03[[#This Row],[Static Parameters Elastic Section Modulus Sy (in3)3]])</f>
        <v>1631.5093125000001</v>
      </c>
      <c r="AP132" s="206">
        <f>MIN(Table_03[[#This Row],[Mny (k-in)]],Table_03[[#This Row],[Mny (k-in)]]-(Table_03[[#This Row],[Mny (k-in)]]-0.7*Table_03[[#This Row],[Static Parameters Elastic Section Modulus Sy (in3)3]]*Table_03[[#This Row],[Strength (ksi)]])*((Table_03[[#This Row],[b/t]]-Table_03[[#This Row],[λpf]])/(Table_03[[#This Row],[λrf]]-Table_03[[#This Row],[λpf]])))</f>
        <v>1631.5093125000001</v>
      </c>
      <c r="AQ132" s="211">
        <f>MIN(Table_03[[#This Row],[Mny (k-in)]],Table_03[[#This Row],[Fcry]]*Table_03[[#This Row],[Static Parameters Elastic Section Modulus Sy (in3)3]])</f>
        <v>1631.5093125000001</v>
      </c>
      <c r="AR132" s="212" t="str">
        <f>IF(Table_03[[#This Row],[b/t]]&lt;Table_03[[#This Row],[λpf]],"Compact",IF(AND(Table_03[[#This Row],[b/t]]&gt;Table_03[[#This Row],[λpf]],Table_03[[#This Row],[λrf]]&gt;Table_03[[#This Row],[b/t]]),"Non-Compact","Slender"))</f>
        <v>Compact</v>
      </c>
      <c r="AS132" s="213">
        <f>IF(Table_03[[#This Row],[Controlling Lby]]="Compact",Table_03[[#This Row],[Mny (k-in)]],IF(Table_03[[#This Row],[Controlling Lby]]="Non-Compact",Table_03[[#This Row],[Mlby,Non-Compact (k-in)]],IF(Table_03[[#This Row],[Controlling Lby]]="Slender",Table_03[[#This Row],[Mlby,Slender (k-in)]],"ERROR")))</f>
        <v>1631.5093125000001</v>
      </c>
      <c r="AT132" s="214">
        <f>MIN(Table_03[[#This Row],[LBx]],Table_03[[#This Row],[LTB]],Table_03[[#This Row],[Mp (k-in)]])</f>
        <v>3484.0937624999997</v>
      </c>
      <c r="AU132" s="206">
        <f>Table_03[[#This Row],[Mp (k-in)]]</f>
        <v>3484.0937624999997</v>
      </c>
      <c r="AV132" s="206">
        <f>MIN(Table_03[[#This Row],[LBy]],Table_03[[#This Row],[Mny (k-in)]])</f>
        <v>1631.5093125000001</v>
      </c>
      <c r="AW132" s="215">
        <f>Table_03[[#This Row],[Mny (k-in)]]</f>
        <v>1631.5093125000001</v>
      </c>
      <c r="AX132" s="165">
        <f>SQRT(((Table_03[[#This Row],[Sectional Area (in2)]]-(Table_03[[#This Row],[Flange Thickness tf (in)]]*Table_03[[#This Row],[Width w (in)]]*2+Table_03[[#This Row],[Web Thickness tw (in)]]*((Table_03[[#This Row],[Depth h (in)]]-2*Table_03[[#This Row],[Flange Thickness tf (in)]]))))/4)/(1-PI()/4))</f>
        <v>0.42121442799106884</v>
      </c>
      <c r="AY132"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32" s="165"/>
    </row>
    <row r="133" spans="1:52" x14ac:dyDescent="0.3">
      <c r="A133" s="179" t="s">
        <v>225</v>
      </c>
      <c r="B133" s="180">
        <v>9.73</v>
      </c>
      <c r="C133" s="180">
        <v>7.96</v>
      </c>
      <c r="D133" s="180">
        <v>0.28999999999999998</v>
      </c>
      <c r="E133" s="180">
        <v>0.435</v>
      </c>
      <c r="F133" s="181">
        <v>9.7100000000000009</v>
      </c>
      <c r="G133" s="180">
        <v>33</v>
      </c>
      <c r="H133" s="180">
        <v>170</v>
      </c>
      <c r="I133" s="180">
        <v>36.6</v>
      </c>
      <c r="J133" s="181">
        <f>Table_03[[#This Row],[Width w (in)]]*Table_03[[#This Row],[Flange Thickness tf (in)]]*(Table_03[[#This Row],[Depth h (in)]]-Table_03[[#This Row],[Flange Thickness tf (in)]])+0.25*Table_03[[#This Row],[Web Thickness tw (in)]]*(Table_03[[#This Row],[Depth h (in)]]-2*Table_03[[#This Row],[Flange Thickness tf (in)]])^2</f>
        <v>37.876088000000003</v>
      </c>
      <c r="K133" s="181">
        <f>(Table_03[[#This Row],[Width w (in)]]^2*Table_03[[#This Row],[Flange Thickness tf (in)]])/2+0.25*Table_03[[#This Row],[Web Thickness tw (in)]]^2*(Table_03[[#This Row],[Depth h (in)]]-2*Table_03[[#This Row],[Flange Thickness tf (in)]])</f>
        <v>13.9674295</v>
      </c>
      <c r="L133" s="181">
        <v>35</v>
      </c>
      <c r="M133" s="181">
        <v>9.1999999999999993</v>
      </c>
      <c r="N133" s="182">
        <v>50</v>
      </c>
      <c r="O133" s="181">
        <f>SQRT(Table_03[[#This Row],[Static Parameters Moment of Inertia Ix (in4)]]/Table_03[[#This Row],[Sectional Area (in2)]])</f>
        <v>4.1842232249105136</v>
      </c>
      <c r="P133" s="181">
        <f>SQRT(Table_03[[#This Row],[Static Parameters Moment of Inertia Iy (in4)]]/Table_03[[#This Row],[Sectional Area (in2)]])</f>
        <v>1.9414710890717219</v>
      </c>
      <c r="Q133" s="181">
        <f>($B$6*$B$5*12)/Table_03[[#This Row],[ry (in)2]]</f>
        <v>92.481418348520705</v>
      </c>
      <c r="R133" s="181">
        <f>(PI()^2*$B$4)/(Table_03[[#This Row],[KL/ry]]^2)</f>
        <v>33.464842074844753</v>
      </c>
      <c r="S133" s="181">
        <f>IF(Table_03[[#This Row],[Strength (ksi)]]/Table_03[[#This Row],[Fe,y]]&lt;2.25,(0.658^(Table_03[[#This Row],[Strength (ksi)]]/Table_03[[#This Row],[Fe,y]])*Table_03[[#This Row],[Strength (ksi)]]),0.877*Table_03[[#This Row],[Fe,y]])</f>
        <v>26.753483428988989</v>
      </c>
      <c r="T133" s="181">
        <f>Table_03[[#This Row],[Fcr,y]]*Table_03[[#This Row],[Sectional Area (in2)]]</f>
        <v>259.77632409548312</v>
      </c>
      <c r="U133" s="181">
        <f>1.76*Table_03[[#This Row],[ry (in)2]]*SQRT($B$4/Table_03[[#This Row],[Strength (ksi)]])/12</f>
        <v>6.8576662707074192</v>
      </c>
      <c r="V133"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21.135516242131228</v>
      </c>
      <c r="W133" s="181">
        <f>Table_03[[#This Row],[Depth h (in)]]-Table_03[[#This Row],[Flange Thickness tf (in)]]</f>
        <v>9.2949999999999999</v>
      </c>
      <c r="X133" s="181">
        <f>(Table_03[[#This Row],[Static Parameters Moment of Inertia Iy (in4)]]*Table_03[[#This Row],[ho]]^2)/4</f>
        <v>790.53277875000003</v>
      </c>
      <c r="Y133" s="181">
        <f>SQRT((SQRT(Table_03[[#This Row],[Static Parameters Moment of Inertia Iy (in4)]]*Table_03[[#This Row],[Cw*]])/Table_03[[#This Row],[Static Parameters Elastic Section Modulus Sx (in3)2]]))</f>
        <v>2.204531048286039</v>
      </c>
      <c r="Z133" s="181">
        <f>(2*Table_03[[#This Row],[Width w (in)]]*Table_03[[#This Row],[Flange Thickness tf (in)]]^3/3)+((Table_03[[#This Row],[Depth h (in)]]-Table_03[[#This Row],[Flange Thickness tf (in)]]*2)*Table_03[[#This Row],[Web Thickness tw (in)]]^3)/3</f>
        <v>0.50883583666666665</v>
      </c>
      <c r="AA133" s="181">
        <f>Table_03[[#This Row],[Width w (in)]]*0.5/Table_03[[#This Row],[Flange Thickness tf (in)]]</f>
        <v>9.1494252873563227</v>
      </c>
      <c r="AB133" s="181">
        <f>0.38*SQRT($B$4/Table_03[[#This Row],[Strength (ksi)]])</f>
        <v>9.1516118798821449</v>
      </c>
      <c r="AC133" s="181">
        <f>1*SQRT($B$4/Table_03[[#This Row],[Strength (ksi)]])</f>
        <v>24.083189157584592</v>
      </c>
      <c r="AD133" s="181">
        <f>(PI()^2*$B$4/(12*$B$5/Table_03[[#This Row],[rts]])^2)*SQRT(1+0.078*(Table_03[[#This Row],[J*]]/(Table_03[[#This Row],[Static Parameters Elastic Section Modulus Sx (in3)2]]*Table_03[[#This Row],[ho]])*$B$4/(12*$B$5/Table_03[[#This Row],[rts]])^2))</f>
        <v>190.50575613432713</v>
      </c>
      <c r="AE133" s="181">
        <f>0.69*$B$4/Table_03[[#This Row],[b/t]]^2</f>
        <v>239.03387856367257</v>
      </c>
      <c r="AF133" s="183">
        <f>Table_03[[#This Row],[Strength (ksi)]]*Table_03[[#This Row],[Static Parameters Plastic Section Modulus Zx (in3)]]</f>
        <v>1893.8044000000002</v>
      </c>
      <c r="AG133" s="181">
        <f>Table_03[[#This Row],[Mp (k-in)]]-(Table_03[[#This Row],[Mp (k-in)]]-0.7*Table_03[[#This Row],[Strength (ksi)]]*Table_03[[#This Row],[Static Parameters Elastic Section Modulus Sx (in3)2]])*((Table_03[[#This Row],[b/t]]-Table_03[[#This Row],[λpf]])/(Table_03[[#This Row],[λrf]]-Table_03[[#This Row],[λpf]]))</f>
        <v>1893.9023402694761</v>
      </c>
      <c r="AH133" s="184">
        <f>0.9*$B$4*Table_03[[#This Row],[kc]]*Table_03[[#This Row],[Static Parameters Elastic Section Modulus Sx (in3)2]]/Table_03[[#This Row],[b/t]]^2</f>
        <v>7535.6981077416522</v>
      </c>
      <c r="AI133" s="185" t="str">
        <f>IF(Table_03[[#This Row],[b/t]]&lt;Table_03[[#This Row],[λpf]],"Compact",IF(AND(Table_03[[#This Row],[b/t]]&gt;Table_03[[#This Row],[λpf]],Table_03[[#This Row],[λrf]]&gt;Table_03[[#This Row],[b/t]]),"Non-Compact","Slender"))</f>
        <v>Compact</v>
      </c>
      <c r="AJ133" s="186">
        <f>IF(Table_03[[#This Row],[Controlling LBx]]="Compact",Table_03[[#This Row],[Mp (k-in)]],IF(Table_03[[#This Row],[Controlling LBx]]="Non-Compact",Table_03[[#This Row],[Mnlb,Non-Compact (k-in)]],IF(Table_03[[#This Row],[Controlling LBx]]="Slender",Table_03[[#This Row],[Mnlb,slender (k-in)]],"ERROR")))</f>
        <v>1893.8044000000002</v>
      </c>
      <c r="AK133" s="183">
        <f>Table_03[[#This Row],[Mp (k-in)]]-(Table_03[[#This Row],[Mp (k-in)]]-0.7*Table_03[[#This Row],[Strength (ksi)]]*Table_03[[#This Row],[Static Parameters Elastic Section Modulus Sx (in3)2]])*(($B$5-Table_03[[#This Row],[Lp (ft)]])/(Table_03[[#This Row],[Lr]]-Table_03[[#This Row],[Lp (ft)]]))</f>
        <v>1881.2819281448446</v>
      </c>
      <c r="AL133" s="184">
        <f>Table_03[[#This Row],[Fcrx]]*Table_03[[#This Row],[Static Parameters Elastic Section Modulus Sx (in3)2]]</f>
        <v>6667.7014647014494</v>
      </c>
      <c r="AM133" s="185" t="str">
        <f>IF($B$5&lt;Table_03[[#This Row],[Lp (ft)]],"Yielding Controls",IF(AND($B$5&gt;Table_03[[#This Row],[Lp (ft)]],Table_03[[#This Row],[Lr]]&gt;$B$5),"Mltb,p Controls","Mltb,r Controls"))</f>
        <v>Mltb,p Controls</v>
      </c>
      <c r="AN133" s="186">
        <f>IF(Table_03[[#This Row],[Controlling LTB]]="Yielding Controls",Table_03[[#This Row],[Mp (k-in)]],IF(Table_03[[#This Row],[Controlling LTB]]="Mltb,p Controls",Table_03[[#This Row],[Mnltbp (k-in)]],IF(Table_03[[#This Row],[Controlling LTB]]="Mltb,r Controls",Table_03[[#This Row],[Mnltbr (k-in)]],"ERROR")))</f>
        <v>1881.2819281448446</v>
      </c>
      <c r="AO133" s="183">
        <f>MIN(Table_03[[#This Row],[Strength (ksi)]]*Table_03[[#This Row],[Static Parameters Plastic Section Modulus Zy (in3)]],1.6*Table_03[[#This Row],[Strength (ksi)]]*Table_03[[#This Row],[Static Parameters Elastic Section Modulus Sy (in3)3]])</f>
        <v>698.37147500000003</v>
      </c>
      <c r="AP133" s="181">
        <f>MIN(Table_03[[#This Row],[Mny (k-in)]],Table_03[[#This Row],[Mny (k-in)]]-(Table_03[[#This Row],[Mny (k-in)]]-0.7*Table_03[[#This Row],[Static Parameters Elastic Section Modulus Sy (in3)3]]*Table_03[[#This Row],[Strength (ksi)]])*((Table_03[[#This Row],[b/t]]-Table_03[[#This Row],[λpf]])/(Table_03[[#This Row],[λrf]]-Table_03[[#This Row],[λpf]])))</f>
        <v>698.37147500000003</v>
      </c>
      <c r="AQ133" s="184">
        <f>MIN(Table_03[[#This Row],[Mny (k-in)]],Table_03[[#This Row],[Fcry]]*Table_03[[#This Row],[Static Parameters Elastic Section Modulus Sy (in3)3]])</f>
        <v>698.37147500000003</v>
      </c>
      <c r="AR133" s="185" t="str">
        <f>IF(Table_03[[#This Row],[b/t]]&lt;Table_03[[#This Row],[λpf]],"Compact",IF(AND(Table_03[[#This Row],[b/t]]&gt;Table_03[[#This Row],[λpf]],Table_03[[#This Row],[λrf]]&gt;Table_03[[#This Row],[b/t]]),"Non-Compact","Slender"))</f>
        <v>Compact</v>
      </c>
      <c r="AS133" s="186">
        <f>IF(Table_03[[#This Row],[Controlling Lby]]="Compact",Table_03[[#This Row],[Mny (k-in)]],IF(Table_03[[#This Row],[Controlling Lby]]="Non-Compact",Table_03[[#This Row],[Mlby,Non-Compact (k-in)]],IF(Table_03[[#This Row],[Controlling Lby]]="Slender",Table_03[[#This Row],[Mlby,Slender (k-in)]],"ERROR")))</f>
        <v>698.37147500000003</v>
      </c>
      <c r="AT133" s="183">
        <f>MIN(Table_03[[#This Row],[LBx]],Table_03[[#This Row],[LTB]],Table_03[[#This Row],[Mp (k-in)]])</f>
        <v>1881.2819281448446</v>
      </c>
      <c r="AU133" s="181">
        <f>Table_03[[#This Row],[Mp (k-in)]]</f>
        <v>1893.8044000000002</v>
      </c>
      <c r="AV133" s="181">
        <f>MIN(Table_03[[#This Row],[LBy]],Table_03[[#This Row],[Mny (k-in)]])</f>
        <v>698.37147500000003</v>
      </c>
      <c r="AW133" s="187">
        <f>Table_03[[#This Row],[Mny (k-in)]]</f>
        <v>698.37147500000003</v>
      </c>
      <c r="AX133" s="165">
        <f>SQRT(((Table_03[[#This Row],[Sectional Area (in2)]]-(Table_03[[#This Row],[Flange Thickness tf (in)]]*Table_03[[#This Row],[Width w (in)]]*2+Table_03[[#This Row],[Web Thickness tw (in)]]*((Table_03[[#This Row],[Depth h (in)]]-2*Table_03[[#This Row],[Flange Thickness tf (in)]]))))/4)/(1-PI()/4))</f>
        <v>0.50092895596743892</v>
      </c>
      <c r="AY133" s="165">
        <f>IF(4/SQRT((Table_03[[#This Row],[Depth h (in)]]-Table_03[[#This Row],[Flange Thickness tf (in)]]*2)/Table_03[[#This Row],[Web Thickness tw (in)]])&lt;0.35,0.35,IF(4/SQRT(Table_03[[#This Row],[Depth h (in)]]/Table_03[[#This Row],[Web Thickness tw (in)]])&gt;0.76,0.76,4/SQRT(Table_03[[#This Row],[Depth h (in)]]/Table_03[[#This Row],[Web Thickness tw (in)]])))</f>
        <v>0.69056183093425327</v>
      </c>
      <c r="AZ133" s="165"/>
    </row>
    <row r="134" spans="1:52" x14ac:dyDescent="0.3">
      <c r="A134" s="188" t="s">
        <v>226</v>
      </c>
      <c r="B134" s="189">
        <v>9.8699999999999992</v>
      </c>
      <c r="C134" s="189">
        <v>3.96</v>
      </c>
      <c r="D134" s="189">
        <v>0.19</v>
      </c>
      <c r="E134" s="189">
        <v>0.21</v>
      </c>
      <c r="F134" s="190">
        <v>3.5</v>
      </c>
      <c r="G134" s="189">
        <v>12</v>
      </c>
      <c r="H134" s="190">
        <v>53.8</v>
      </c>
      <c r="I134" s="190">
        <v>2.2000000000000002</v>
      </c>
      <c r="J134" s="190">
        <f>Table_03[[#This Row],[Width w (in)]]*Table_03[[#This Row],[Flange Thickness tf (in)]]*(Table_03[[#This Row],[Depth h (in)]]-Table_03[[#This Row],[Flange Thickness tf (in)]])+0.25*Table_03[[#This Row],[Web Thickness tw (in)]]*(Table_03[[#This Row],[Depth h (in)]]-2*Table_03[[#This Row],[Flange Thickness tf (in)]])^2</f>
        <v>12.275124749999996</v>
      </c>
      <c r="K134" s="190">
        <f>(Table_03[[#This Row],[Width w (in)]]^2*Table_03[[#This Row],[Flange Thickness tf (in)]])/2+0.25*Table_03[[#This Row],[Web Thickness tw (in)]]^2*(Table_03[[#This Row],[Depth h (in)]]-2*Table_03[[#This Row],[Flange Thickness tf (in)]])</f>
        <v>1.7318542499999998</v>
      </c>
      <c r="L134" s="190">
        <v>10.9</v>
      </c>
      <c r="M134" s="190">
        <v>1.1000000000000001</v>
      </c>
      <c r="N134" s="191">
        <v>50</v>
      </c>
      <c r="O134" s="169">
        <f>SQRT(Table_03[[#This Row],[Static Parameters Moment of Inertia Ix (in4)]]/Table_03[[#This Row],[Sectional Area (in2)]])</f>
        <v>3.9206413469518697</v>
      </c>
      <c r="P134" s="190">
        <f>SQRT(Table_03[[#This Row],[Static Parameters Moment of Inertia Iy (in4)]]/Table_03[[#This Row],[Sectional Area (in2)]])</f>
        <v>0.79282496717209194</v>
      </c>
      <c r="Q134" s="190">
        <f>($B$6*$B$5*12)/Table_03[[#This Row],[ry (in)2]]</f>
        <v>226.46864999778265</v>
      </c>
      <c r="R134" s="190">
        <f>(PI()^2*$B$4)/(Table_03[[#This Row],[KL/ry]]^2)</f>
        <v>5.5806085589604537</v>
      </c>
      <c r="S134" s="190">
        <f>IF(Table_03[[#This Row],[Strength (ksi)]]/Table_03[[#This Row],[Fe,y]]&lt;2.25,(0.658^(Table_03[[#This Row],[Strength (ksi)]]/Table_03[[#This Row],[Fe,y]])*Table_03[[#This Row],[Strength (ksi)]]),0.877*Table_03[[#This Row],[Fe,y]])</f>
        <v>4.8941937062083181</v>
      </c>
      <c r="T134" s="190">
        <f>Table_03[[#This Row],[Fcr,y]]*Table_03[[#This Row],[Sectional Area (in2)]]</f>
        <v>17.129677971729112</v>
      </c>
      <c r="U134" s="190">
        <f>1.76*Table_03[[#This Row],[ry (in)2]]*SQRT($B$4/Table_03[[#This Row],[Strength (ksi)]])/12</f>
        <v>2.8004172024783216</v>
      </c>
      <c r="V13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7.9826568095464969</v>
      </c>
      <c r="W134" s="190">
        <f>Table_03[[#This Row],[Depth h (in)]]-Table_03[[#This Row],[Flange Thickness tf (in)]]</f>
        <v>9.6599999999999984</v>
      </c>
      <c r="X134" s="190">
        <f>(Table_03[[#This Row],[Static Parameters Moment of Inertia Iy (in4)]]*Table_03[[#This Row],[ho]]^2)/4</f>
        <v>51.323579999999993</v>
      </c>
      <c r="Y134" s="190">
        <f>SQRT((SQRT(Table_03[[#This Row],[Static Parameters Moment of Inertia Iy (in4)]]*Table_03[[#This Row],[Cw*]])/Table_03[[#This Row],[Static Parameters Elastic Section Modulus Sx (in3)2]]))</f>
        <v>0.98735119654614323</v>
      </c>
      <c r="Z134" s="190">
        <f>(2*Table_03[[#This Row],[Width w (in)]]*Table_03[[#This Row],[Flange Thickness tf (in)]]^3/3)+((Table_03[[#This Row],[Depth h (in)]]-Table_03[[#This Row],[Flange Thickness tf (in)]]*2)*Table_03[[#This Row],[Web Thickness tw (in)]]^3)/3</f>
        <v>4.6054889999999994E-2</v>
      </c>
      <c r="AA134" s="190">
        <f>Table_03[[#This Row],[Width w (in)]]*0.5/Table_03[[#This Row],[Flange Thickness tf (in)]]</f>
        <v>9.4285714285714288</v>
      </c>
      <c r="AB134" s="190">
        <f>0.38*SQRT($B$4/Table_03[[#This Row],[Strength (ksi)]])</f>
        <v>9.1516118798821449</v>
      </c>
      <c r="AC134" s="190">
        <f>1*SQRT($B$4/Table_03[[#This Row],[Strength (ksi)]])</f>
        <v>24.083189157584592</v>
      </c>
      <c r="AD134" s="190">
        <f>(PI()^2*$B$4/(12*$B$5/Table_03[[#This Row],[rts]])^2)*SQRT(1+0.078*(Table_03[[#This Row],[J*]]/(Table_03[[#This Row],[Static Parameters Elastic Section Modulus Sx (in3)2]]*Table_03[[#This Row],[ho]])*$B$4/(12*$B$5/Table_03[[#This Row],[rts]])^2))</f>
        <v>38.171346140891735</v>
      </c>
      <c r="AE134" s="190">
        <f>0.69*$B$4/Table_03[[#This Row],[b/t]]^2</f>
        <v>225.08953168044076</v>
      </c>
      <c r="AF134" s="192">
        <f>Table_03[[#This Row],[Strength (ksi)]]*Table_03[[#This Row],[Static Parameters Plastic Section Modulus Zx (in3)]]</f>
        <v>613.75623749999977</v>
      </c>
      <c r="AG134" s="190">
        <f>Table_03[[#This Row],[Mp (k-in)]]-(Table_03[[#This Row],[Mp (k-in)]]-0.7*Table_03[[#This Row],[Strength (ksi)]]*Table_03[[#This Row],[Static Parameters Elastic Section Modulus Sx (in3)2]])*((Table_03[[#This Row],[b/t]]-Table_03[[#This Row],[λpf]])/(Table_03[[#This Row],[λrf]]-Table_03[[#This Row],[λpf]]))</f>
        <v>609.44821420668507</v>
      </c>
      <c r="AH134" s="193">
        <f>0.9*$B$4*Table_03[[#This Row],[kc]]*Table_03[[#This Row],[Static Parameters Elastic Section Modulus Sx (in3)2]]/Table_03[[#This Row],[b/t]]^2</f>
        <v>1776.0428092872694</v>
      </c>
      <c r="AI134" s="194" t="str">
        <f>IF(Table_03[[#This Row],[b/t]]&lt;Table_03[[#This Row],[λpf]],"Compact",IF(AND(Table_03[[#This Row],[b/t]]&gt;Table_03[[#This Row],[λpf]],Table_03[[#This Row],[λrf]]&gt;Table_03[[#This Row],[b/t]]),"Non-Compact","Slender"))</f>
        <v>Non-Compact</v>
      </c>
      <c r="AJ134" s="195">
        <f>IF(Table_03[[#This Row],[Controlling LBx]]="Compact",Table_03[[#This Row],[Mp (k-in)]],IF(Table_03[[#This Row],[Controlling LBx]]="Non-Compact",Table_03[[#This Row],[Mnlb,Non-Compact (k-in)]],IF(Table_03[[#This Row],[Controlling LBx]]="Slender",Table_03[[#This Row],[Mnlb,slender (k-in)]],"ERROR")))</f>
        <v>609.44821420668507</v>
      </c>
      <c r="AK134" s="192">
        <f>Table_03[[#This Row],[Mp (k-in)]]-(Table_03[[#This Row],[Mp (k-in)]]-0.7*Table_03[[#This Row],[Strength (ksi)]]*Table_03[[#This Row],[Static Parameters Elastic Section Modulus Sx (in3)2]])*(($B$5-Table_03[[#This Row],[Lp (ft)]])/(Table_03[[#This Row],[Lr]]-Table_03[[#This Row],[Lp (ft)]]))</f>
        <v>419.93823496309108</v>
      </c>
      <c r="AL134" s="196">
        <f>Table_03[[#This Row],[Fcrx]]*Table_03[[#This Row],[Static Parameters Elastic Section Modulus Sx (in3)2]]</f>
        <v>416.06767293571994</v>
      </c>
      <c r="AM134" s="197" t="str">
        <f>IF($B$5&lt;Table_03[[#This Row],[Lp (ft)]],"Yielding Controls",IF(AND($B$5&gt;Table_03[[#This Row],[Lp (ft)]],Table_03[[#This Row],[Lr]]&gt;$B$5),"Mltb,p Controls","Mltb,r Controls"))</f>
        <v>Mltb,p Controls</v>
      </c>
      <c r="AN134" s="198">
        <f>IF(Table_03[[#This Row],[Controlling LTB]]="Yielding Controls",Table_03[[#This Row],[Mp (k-in)]],IF(Table_03[[#This Row],[Controlling LTB]]="Mltb,p Controls",Table_03[[#This Row],[Mnltbp (k-in)]],IF(Table_03[[#This Row],[Controlling LTB]]="Mltb,r Controls",Table_03[[#This Row],[Mnltbr (k-in)]],"ERROR")))</f>
        <v>419.93823496309108</v>
      </c>
      <c r="AO134" s="199">
        <f>MIN(Table_03[[#This Row],[Strength (ksi)]]*Table_03[[#This Row],[Static Parameters Plastic Section Modulus Zy (in3)]],1.6*Table_03[[#This Row],[Strength (ksi)]]*Table_03[[#This Row],[Static Parameters Elastic Section Modulus Sy (in3)3]])</f>
        <v>86.59271249999999</v>
      </c>
      <c r="AP134" s="169">
        <f>MIN(Table_03[[#This Row],[Mny (k-in)]],Table_03[[#This Row],[Mny (k-in)]]-(Table_03[[#This Row],[Mny (k-in)]]-0.7*Table_03[[#This Row],[Static Parameters Elastic Section Modulus Sy (in3)3]]*Table_03[[#This Row],[Strength (ksi)]])*((Table_03[[#This Row],[b/t]]-Table_03[[#This Row],[λpf]])/(Table_03[[#This Row],[λrf]]-Table_03[[#This Row],[λpf]])))</f>
        <v>85.70066099723384</v>
      </c>
      <c r="AQ134" s="196">
        <f>MIN(Table_03[[#This Row],[Mny (k-in)]],Table_03[[#This Row],[Fcry]]*Table_03[[#This Row],[Static Parameters Elastic Section Modulus Sy (in3)3]])</f>
        <v>86.59271249999999</v>
      </c>
      <c r="AR134" s="197" t="str">
        <f>IF(Table_03[[#This Row],[b/t]]&lt;Table_03[[#This Row],[λpf]],"Compact",IF(AND(Table_03[[#This Row],[b/t]]&gt;Table_03[[#This Row],[λpf]],Table_03[[#This Row],[λrf]]&gt;Table_03[[#This Row],[b/t]]),"Non-Compact","Slender"))</f>
        <v>Non-Compact</v>
      </c>
      <c r="AS134" s="198">
        <f>IF(Table_03[[#This Row],[Controlling Lby]]="Compact",Table_03[[#This Row],[Mny (k-in)]],IF(Table_03[[#This Row],[Controlling Lby]]="Non-Compact",Table_03[[#This Row],[Mlby,Non-Compact (k-in)]],IF(Table_03[[#This Row],[Controlling Lby]]="Slender",Table_03[[#This Row],[Mlby,Slender (k-in)]],"ERROR")))</f>
        <v>85.70066099723384</v>
      </c>
      <c r="AT134" s="199">
        <f>MIN(Table_03[[#This Row],[LBx]],Table_03[[#This Row],[LTB]],Table_03[[#This Row],[Mp (k-in)]])</f>
        <v>419.93823496309108</v>
      </c>
      <c r="AU134" s="169">
        <f>Table_03[[#This Row],[Mp (k-in)]]</f>
        <v>613.75623749999977</v>
      </c>
      <c r="AV134" s="169">
        <f>MIN(Table_03[[#This Row],[LBy]],Table_03[[#This Row],[Mny (k-in)]])</f>
        <v>85.70066099723384</v>
      </c>
      <c r="AW134" s="200">
        <f>Table_03[[#This Row],[Mny (k-in)]]</f>
        <v>86.59271249999999</v>
      </c>
      <c r="AX134" s="165">
        <f>SQRT(((Table_03[[#This Row],[Sectional Area (in2)]]-(Table_03[[#This Row],[Flange Thickness tf (in)]]*Table_03[[#This Row],[Width w (in)]]*2+Table_03[[#This Row],[Web Thickness tw (in)]]*((Table_03[[#This Row],[Depth h (in)]]-2*Table_03[[#This Row],[Flange Thickness tf (in)]]))))/4)/(1-PI()/4))</f>
        <v>0.21934528985667959</v>
      </c>
      <c r="AY134" s="165">
        <f>IF(4/SQRT((Table_03[[#This Row],[Depth h (in)]]-Table_03[[#This Row],[Flange Thickness tf (in)]]*2)/Table_03[[#This Row],[Web Thickness tw (in)]])&lt;0.35,0.35,IF(4/SQRT(Table_03[[#This Row],[Depth h (in)]]/Table_03[[#This Row],[Web Thickness tw (in)]])&gt;0.76,0.76,4/SQRT(Table_03[[#This Row],[Depth h (in)]]/Table_03[[#This Row],[Web Thickness tw (in)]])))</f>
        <v>0.55498112822410794</v>
      </c>
      <c r="AZ134" s="165"/>
    </row>
    <row r="135" spans="1:52" ht="14.4" thickBot="1" x14ac:dyDescent="0.35">
      <c r="A135" s="201" t="s">
        <v>227</v>
      </c>
      <c r="B135" s="202">
        <v>9.92</v>
      </c>
      <c r="C135" s="202">
        <v>7.9850000000000003</v>
      </c>
      <c r="D135" s="202">
        <v>0.315</v>
      </c>
      <c r="E135" s="202">
        <v>0.53</v>
      </c>
      <c r="F135" s="203">
        <v>11.5</v>
      </c>
      <c r="G135" s="204">
        <v>39</v>
      </c>
      <c r="H135" s="203">
        <v>209</v>
      </c>
      <c r="I135" s="203">
        <v>45</v>
      </c>
      <c r="J135" s="203">
        <f>Table_03[[#This Row],[Width w (in)]]*Table_03[[#This Row],[Flange Thickness tf (in)]]*(Table_03[[#This Row],[Depth h (in)]]-Table_03[[#This Row],[Flange Thickness tf (in)]])+0.25*Table_03[[#This Row],[Web Thickness tw (in)]]*(Table_03[[#This Row],[Depth h (in)]]-2*Table_03[[#This Row],[Flange Thickness tf (in)]])^2</f>
        <v>45.920793000000003</v>
      </c>
      <c r="K135" s="203">
        <f>(Table_03[[#This Row],[Width w (in)]]^2*Table_03[[#This Row],[Flange Thickness tf (in)]])/2+0.25*Table_03[[#This Row],[Web Thickness tw (in)]]^2*(Table_03[[#This Row],[Depth h (in)]]-2*Table_03[[#This Row],[Flange Thickness tf (in)]])</f>
        <v>17.116243000000001</v>
      </c>
      <c r="L135" s="203">
        <v>42.1</v>
      </c>
      <c r="M135" s="203">
        <v>11.3</v>
      </c>
      <c r="N135" s="205">
        <v>50</v>
      </c>
      <c r="O135" s="206">
        <f>SQRT(Table_03[[#This Row],[Static Parameters Moment of Inertia Ix (in4)]]/Table_03[[#This Row],[Sectional Area (in2)]])</f>
        <v>4.2630872666974886</v>
      </c>
      <c r="P135" s="203">
        <f>SQRT(Table_03[[#This Row],[Static Parameters Moment of Inertia Iy (in4)]]/Table_03[[#This Row],[Sectional Area (in2)]])</f>
        <v>1.9781414201873611</v>
      </c>
      <c r="Q135" s="203">
        <f>($B$6*$B$5*12)/Table_03[[#This Row],[ry (in)2]]</f>
        <v>90.767019065297063</v>
      </c>
      <c r="R135" s="203">
        <f>(PI()^2*$B$4)/(Table_03[[#This Row],[KL/ry]]^2)</f>
        <v>34.740942610129302</v>
      </c>
      <c r="S135" s="203">
        <f>IF(Table_03[[#This Row],[Strength (ksi)]]/Table_03[[#This Row],[Fe,y]]&lt;2.25,(0.658^(Table_03[[#This Row],[Strength (ksi)]]/Table_03[[#This Row],[Fe,y]])*Table_03[[#This Row],[Strength (ksi)]]),0.877*Table_03[[#This Row],[Fe,y]])</f>
        <v>27.37513940217335</v>
      </c>
      <c r="T135" s="203">
        <f>Table_03[[#This Row],[Fcr,y]]*Table_03[[#This Row],[Sectional Area (in2)]]</f>
        <v>314.81410312499349</v>
      </c>
      <c r="U135" s="203">
        <f>1.76*Table_03[[#This Row],[ry (in)2]]*SQRT($B$4/Table_03[[#This Row],[Strength (ksi)]])/12</f>
        <v>6.9871932537477015</v>
      </c>
      <c r="V13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23.543470856138054</v>
      </c>
      <c r="W135" s="203">
        <f>Table_03[[#This Row],[Depth h (in)]]-Table_03[[#This Row],[Flange Thickness tf (in)]]</f>
        <v>9.39</v>
      </c>
      <c r="X135" s="203">
        <f>(Table_03[[#This Row],[Static Parameters Moment of Inertia Iy (in4)]]*Table_03[[#This Row],[ho]]^2)/4</f>
        <v>991.93612500000017</v>
      </c>
      <c r="Y135" s="203">
        <f>SQRT((SQRT(Table_03[[#This Row],[Static Parameters Moment of Inertia Iy (in4)]]*Table_03[[#This Row],[Cw*]])/Table_03[[#This Row],[Static Parameters Elastic Section Modulus Sx (in3)2]]))</f>
        <v>2.2401804728791124</v>
      </c>
      <c r="Z135" s="203">
        <f>(2*Table_03[[#This Row],[Width w (in)]]*Table_03[[#This Row],[Flange Thickness tf (in)]]^3/3)+((Table_03[[#This Row],[Depth h (in)]]-Table_03[[#This Row],[Flange Thickness tf (in)]]*2)*Table_03[[#This Row],[Web Thickness tw (in)]]^3)/3</f>
        <v>0.88483091416666693</v>
      </c>
      <c r="AA135" s="203">
        <f>Table_03[[#This Row],[Width w (in)]]*0.5/Table_03[[#This Row],[Flange Thickness tf (in)]]</f>
        <v>7.533018867924528</v>
      </c>
      <c r="AB135" s="203">
        <f>0.38*SQRT($B$4/Table_03[[#This Row],[Strength (ksi)]])</f>
        <v>9.1516118798821449</v>
      </c>
      <c r="AC135" s="203">
        <f>1*SQRT($B$4/Table_03[[#This Row],[Strength (ksi)]])</f>
        <v>24.083189157584592</v>
      </c>
      <c r="AD135" s="203">
        <f>(PI()^2*$B$4/(12*$B$5/Table_03[[#This Row],[rts]])^2)*SQRT(1+0.078*(Table_03[[#This Row],[J*]]/(Table_03[[#This Row],[Static Parameters Elastic Section Modulus Sx (in3)2]]*Table_03[[#This Row],[ho]])*$B$4/(12*$B$5/Table_03[[#This Row],[rts]])^2))</f>
        <v>196.82712673643007</v>
      </c>
      <c r="AE135" s="203">
        <f>0.69*$B$4/Table_03[[#This Row],[b/t]]^2</f>
        <v>352.62165401706164</v>
      </c>
      <c r="AF135" s="207">
        <f>Table_03[[#This Row],[Strength (ksi)]]*Table_03[[#This Row],[Static Parameters Plastic Section Modulus Zx (in3)]]</f>
        <v>2296.0396500000002</v>
      </c>
      <c r="AG135" s="203">
        <f>Table_03[[#This Row],[Mp (k-in)]]-(Table_03[[#This Row],[Mp (k-in)]]-0.7*Table_03[[#This Row],[Strength (ksi)]]*Table_03[[#This Row],[Static Parameters Elastic Section Modulus Sx (in3)2]])*((Table_03[[#This Row],[b/t]]-Table_03[[#This Row],[λpf]])/(Table_03[[#This Row],[λrf]]-Table_03[[#This Row],[λpf]]))</f>
        <v>2385.2035008636462</v>
      </c>
      <c r="AH135" s="208">
        <f>0.9*$B$4*Table_03[[#This Row],[kc]]*Table_03[[#This Row],[Static Parameters Elastic Section Modulus Sx (in3)2]]/Table_03[[#This Row],[b/t]]^2</f>
        <v>13802.060440826926</v>
      </c>
      <c r="AI135" s="209" t="str">
        <f>IF(Table_03[[#This Row],[b/t]]&lt;Table_03[[#This Row],[λpf]],"Compact",IF(AND(Table_03[[#This Row],[b/t]]&gt;Table_03[[#This Row],[λpf]],Table_03[[#This Row],[λrf]]&gt;Table_03[[#This Row],[b/t]]),"Non-Compact","Slender"))</f>
        <v>Compact</v>
      </c>
      <c r="AJ135" s="210">
        <f>IF(Table_03[[#This Row],[Controlling LBx]]="Compact",Table_03[[#This Row],[Mp (k-in)]],IF(Table_03[[#This Row],[Controlling LBx]]="Non-Compact",Table_03[[#This Row],[Mnlb,Non-Compact (k-in)]],IF(Table_03[[#This Row],[Controlling LBx]]="Slender",Table_03[[#This Row],[Mnlb,slender (k-in)]],"ERROR")))</f>
        <v>2296.0396500000002</v>
      </c>
      <c r="AK135" s="207">
        <f>Table_03[[#This Row],[Mp (k-in)]]-(Table_03[[#This Row],[Mp (k-in)]]-0.7*Table_03[[#This Row],[Strength (ksi)]]*Table_03[[#This Row],[Static Parameters Elastic Section Modulus Sx (in3)2]])*(($B$5-Table_03[[#This Row],[Lp (ft)]])/(Table_03[[#This Row],[Lr]]-Table_03[[#This Row],[Lp (ft)]]))</f>
        <v>2289.1932129232482</v>
      </c>
      <c r="AL135" s="211">
        <f>Table_03[[#This Row],[Fcrx]]*Table_03[[#This Row],[Static Parameters Elastic Section Modulus Sx (in3)2]]</f>
        <v>8286.4220356037058</v>
      </c>
      <c r="AM135" s="212" t="str">
        <f>IF($B$5&lt;Table_03[[#This Row],[Lp (ft)]],"Yielding Controls",IF(AND($B$5&gt;Table_03[[#This Row],[Lp (ft)]],Table_03[[#This Row],[Lr]]&gt;$B$5),"Mltb,p Controls","Mltb,r Controls"))</f>
        <v>Mltb,p Controls</v>
      </c>
      <c r="AN135" s="213">
        <f>IF(Table_03[[#This Row],[Controlling LTB]]="Yielding Controls",Table_03[[#This Row],[Mp (k-in)]],IF(Table_03[[#This Row],[Controlling LTB]]="Mltb,p Controls",Table_03[[#This Row],[Mnltbp (k-in)]],IF(Table_03[[#This Row],[Controlling LTB]]="Mltb,r Controls",Table_03[[#This Row],[Mnltbr (k-in)]],"ERROR")))</f>
        <v>2289.1932129232482</v>
      </c>
      <c r="AO135" s="214">
        <f>MIN(Table_03[[#This Row],[Strength (ksi)]]*Table_03[[#This Row],[Static Parameters Plastic Section Modulus Zy (in3)]],1.6*Table_03[[#This Row],[Strength (ksi)]]*Table_03[[#This Row],[Static Parameters Elastic Section Modulus Sy (in3)3]])</f>
        <v>855.81215000000009</v>
      </c>
      <c r="AP135" s="206">
        <f>MIN(Table_03[[#This Row],[Mny (k-in)]],Table_03[[#This Row],[Mny (k-in)]]-(Table_03[[#This Row],[Mny (k-in)]]-0.7*Table_03[[#This Row],[Static Parameters Elastic Section Modulus Sy (in3)3]]*Table_03[[#This Row],[Strength (ksi)]])*((Table_03[[#This Row],[b/t]]-Table_03[[#This Row],[λpf]])/(Table_03[[#This Row],[λrf]]-Table_03[[#This Row],[λpf]])))</f>
        <v>855.81215000000009</v>
      </c>
      <c r="AQ135" s="211">
        <f>MIN(Table_03[[#This Row],[Mny (k-in)]],Table_03[[#This Row],[Fcry]]*Table_03[[#This Row],[Static Parameters Elastic Section Modulus Sy (in3)3]])</f>
        <v>855.81215000000009</v>
      </c>
      <c r="AR135" s="212" t="str">
        <f>IF(Table_03[[#This Row],[b/t]]&lt;Table_03[[#This Row],[λpf]],"Compact",IF(AND(Table_03[[#This Row],[b/t]]&gt;Table_03[[#This Row],[λpf]],Table_03[[#This Row],[λrf]]&gt;Table_03[[#This Row],[b/t]]),"Non-Compact","Slender"))</f>
        <v>Compact</v>
      </c>
      <c r="AS135" s="213">
        <f>IF(Table_03[[#This Row],[Controlling Lby]]="Compact",Table_03[[#This Row],[Mny (k-in)]],IF(Table_03[[#This Row],[Controlling Lby]]="Non-Compact",Table_03[[#This Row],[Mlby,Non-Compact (k-in)]],IF(Table_03[[#This Row],[Controlling Lby]]="Slender",Table_03[[#This Row],[Mlby,Slender (k-in)]],"ERROR")))</f>
        <v>855.81215000000009</v>
      </c>
      <c r="AT135" s="214">
        <f>MIN(Table_03[[#This Row],[LBx]],Table_03[[#This Row],[LTB]],Table_03[[#This Row],[Mp (k-in)]])</f>
        <v>2289.1932129232482</v>
      </c>
      <c r="AU135" s="206">
        <f>Table_03[[#This Row],[Mp (k-in)]]</f>
        <v>2296.0396500000002</v>
      </c>
      <c r="AV135" s="206">
        <f>MIN(Table_03[[#This Row],[LBy]],Table_03[[#This Row],[Mny (k-in)]])</f>
        <v>855.81215000000009</v>
      </c>
      <c r="AW135" s="215">
        <f>Table_03[[#This Row],[Mny (k-in)]]</f>
        <v>855.81215000000009</v>
      </c>
      <c r="AX135" s="165">
        <f>SQRT(((Table_03[[#This Row],[Sectional Area (in2)]]-(Table_03[[#This Row],[Flange Thickness tf (in)]]*Table_03[[#This Row],[Width w (in)]]*2+Table_03[[#This Row],[Web Thickness tw (in)]]*((Table_03[[#This Row],[Depth h (in)]]-2*Table_03[[#This Row],[Flange Thickness tf (in)]]))))/4)/(1-PI()/4))</f>
        <v>0.53423991093649792</v>
      </c>
      <c r="AY135" s="165">
        <f>IF(4/SQRT((Table_03[[#This Row],[Depth h (in)]]-Table_03[[#This Row],[Flange Thickness tf (in)]]*2)/Table_03[[#This Row],[Web Thickness tw (in)]])&lt;0.35,0.35,IF(4/SQRT(Table_03[[#This Row],[Depth h (in)]]/Table_03[[#This Row],[Web Thickness tw (in)]])&gt;0.76,0.76,4/SQRT(Table_03[[#This Row],[Depth h (in)]]/Table_03[[#This Row],[Web Thickness tw (in)]])))</f>
        <v>0.7127864449672372</v>
      </c>
      <c r="AZ135" s="165"/>
    </row>
    <row r="136" spans="1:52" x14ac:dyDescent="0.3">
      <c r="A136" s="179" t="s">
        <v>228</v>
      </c>
      <c r="B136" s="180">
        <v>9.98</v>
      </c>
      <c r="C136" s="180">
        <v>10</v>
      </c>
      <c r="D136" s="180">
        <v>0.34</v>
      </c>
      <c r="E136" s="180">
        <v>0.56000000000000005</v>
      </c>
      <c r="F136" s="181">
        <v>14.4</v>
      </c>
      <c r="G136" s="180">
        <v>49</v>
      </c>
      <c r="H136" s="180">
        <v>272</v>
      </c>
      <c r="I136" s="180">
        <v>93.4</v>
      </c>
      <c r="J136" s="181">
        <f>Table_03[[#This Row],[Width w (in)]]*Table_03[[#This Row],[Flange Thickness tf (in)]]*(Table_03[[#This Row],[Depth h (in)]]-Table_03[[#This Row],[Flange Thickness tf (in)]])+0.25*Table_03[[#This Row],[Web Thickness tw (in)]]*(Table_03[[#This Row],[Depth h (in)]]-2*Table_03[[#This Row],[Flange Thickness tf (in)]])^2</f>
        <v>59.424466000000002</v>
      </c>
      <c r="K136" s="181">
        <f>(Table_03[[#This Row],[Width w (in)]]^2*Table_03[[#This Row],[Flange Thickness tf (in)]])/2+0.25*Table_03[[#This Row],[Web Thickness tw (in)]]^2*(Table_03[[#This Row],[Depth h (in)]]-2*Table_03[[#This Row],[Flange Thickness tf (in)]])</f>
        <v>28.256054000000002</v>
      </c>
      <c r="L136" s="181">
        <v>54.6</v>
      </c>
      <c r="M136" s="181">
        <v>18.7</v>
      </c>
      <c r="N136" s="182">
        <v>50</v>
      </c>
      <c r="O136" s="181">
        <f>SQRT(Table_03[[#This Row],[Static Parameters Moment of Inertia Ix (in4)]]/Table_03[[#This Row],[Sectional Area (in2)]])</f>
        <v>4.3461349368017661</v>
      </c>
      <c r="P136" s="181">
        <f>SQRT(Table_03[[#This Row],[Static Parameters Moment of Inertia Iy (in4)]]/Table_03[[#This Row],[Sectional Area (in2)]])</f>
        <v>2.5467844649893543</v>
      </c>
      <c r="Q136" s="181">
        <f>($B$6*$B$5*12)/Table_03[[#This Row],[ry (in)2]]</f>
        <v>70.500665630827356</v>
      </c>
      <c r="R136" s="181">
        <f>(PI()^2*$B$4)/(Table_03[[#This Row],[KL/ry]]^2)</f>
        <v>57.585256878919573</v>
      </c>
      <c r="S136" s="181">
        <f>IF(Table_03[[#This Row],[Strength (ksi)]]/Table_03[[#This Row],[Fe,y]]&lt;2.25,(0.658^(Table_03[[#This Row],[Strength (ksi)]]/Table_03[[#This Row],[Fe,y]])*Table_03[[#This Row],[Strength (ksi)]]),0.877*Table_03[[#This Row],[Fe,y]])</f>
        <v>34.764787862982402</v>
      </c>
      <c r="T136" s="181">
        <f>Table_03[[#This Row],[Fcr,y]]*Table_03[[#This Row],[Sectional Area (in2)]]</f>
        <v>500.61294522694658</v>
      </c>
      <c r="U136" s="181">
        <f>1.76*Table_03[[#This Row],[ry (in)2]]*SQRT($B$4/Table_03[[#This Row],[Strength (ksi)]])/12</f>
        <v>8.9957548287106857</v>
      </c>
      <c r="V136"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30.848742560603373</v>
      </c>
      <c r="W136" s="181">
        <f>Table_03[[#This Row],[Depth h (in)]]-Table_03[[#This Row],[Flange Thickness tf (in)]]</f>
        <v>9.42</v>
      </c>
      <c r="X136" s="181">
        <f>(Table_03[[#This Row],[Static Parameters Moment of Inertia Iy (in4)]]*Table_03[[#This Row],[ho]]^2)/4</f>
        <v>2071.99494</v>
      </c>
      <c r="Y136" s="181">
        <f>SQRT((SQRT(Table_03[[#This Row],[Static Parameters Moment of Inertia Iy (in4)]]*Table_03[[#This Row],[Cw*]])/Table_03[[#This Row],[Static Parameters Elastic Section Modulus Sx (in3)2]]))</f>
        <v>2.8384913188229</v>
      </c>
      <c r="Z136" s="181">
        <f>(2*Table_03[[#This Row],[Width w (in)]]*Table_03[[#This Row],[Flange Thickness tf (in)]]^3/3)+((Table_03[[#This Row],[Depth h (in)]]-Table_03[[#This Row],[Flange Thickness tf (in)]]*2)*Table_03[[#This Row],[Web Thickness tw (in)]]^3)/3</f>
        <v>1.286851146666667</v>
      </c>
      <c r="AA136" s="181">
        <f>Table_03[[#This Row],[Width w (in)]]*0.5/Table_03[[#This Row],[Flange Thickness tf (in)]]</f>
        <v>8.928571428571427</v>
      </c>
      <c r="AB136" s="181">
        <f>0.38*SQRT($B$4/Table_03[[#This Row],[Strength (ksi)]])</f>
        <v>9.1516118798821449</v>
      </c>
      <c r="AC136" s="181">
        <f>1*SQRT($B$4/Table_03[[#This Row],[Strength (ksi)]])</f>
        <v>24.083189157584592</v>
      </c>
      <c r="AD136" s="181">
        <f>(PI()^2*$B$4/(12*$B$5/Table_03[[#This Row],[rts]])^2)*SQRT(1+0.078*(Table_03[[#This Row],[J*]]/(Table_03[[#This Row],[Static Parameters Elastic Section Modulus Sx (in3)2]]*Table_03[[#This Row],[ho]])*$B$4/(12*$B$5/Table_03[[#This Row],[rts]])^2))</f>
        <v>316.4396779204979</v>
      </c>
      <c r="AE136" s="181">
        <f>0.69*$B$4/Table_03[[#This Row],[b/t]]^2</f>
        <v>251.00544000000008</v>
      </c>
      <c r="AF136" s="183">
        <f>Table_03[[#This Row],[Strength (ksi)]]*Table_03[[#This Row],[Static Parameters Plastic Section Modulus Zx (in3)]]</f>
        <v>2971.2233000000001</v>
      </c>
      <c r="AG136" s="181">
        <f>Table_03[[#This Row],[Mp (k-in)]]-(Table_03[[#This Row],[Mp (k-in)]]-0.7*Table_03[[#This Row],[Strength (ksi)]]*Table_03[[#This Row],[Static Parameters Elastic Section Modulus Sx (in3)2]])*((Table_03[[#This Row],[b/t]]-Table_03[[#This Row],[λpf]])/(Table_03[[#This Row],[λrf]]-Table_03[[#This Row],[λpf]]))</f>
        <v>2987.0603866603133</v>
      </c>
      <c r="AH136" s="184">
        <f>0.9*$B$4*Table_03[[#This Row],[kc]]*Table_03[[#This Row],[Static Parameters Elastic Section Modulus Sx (in3)2]]/Table_03[[#This Row],[b/t]]^2</f>
        <v>13197.855667678075</v>
      </c>
      <c r="AI136" s="185" t="str">
        <f>IF(Table_03[[#This Row],[b/t]]&lt;Table_03[[#This Row],[λpf]],"Compact",IF(AND(Table_03[[#This Row],[b/t]]&gt;Table_03[[#This Row],[λpf]],Table_03[[#This Row],[λrf]]&gt;Table_03[[#This Row],[b/t]]),"Non-Compact","Slender"))</f>
        <v>Compact</v>
      </c>
      <c r="AJ136" s="186">
        <f>IF(Table_03[[#This Row],[Controlling LBx]]="Compact",Table_03[[#This Row],[Mp (k-in)]],IF(Table_03[[#This Row],[Controlling LBx]]="Non-Compact",Table_03[[#This Row],[Mnlb,Non-Compact (k-in)]],IF(Table_03[[#This Row],[Controlling LBx]]="Slender",Table_03[[#This Row],[Mnlb,slender (k-in)]],"ERROR")))</f>
        <v>2971.2233000000001</v>
      </c>
      <c r="AK136" s="183">
        <f>Table_03[[#This Row],[Mp (k-in)]]-(Table_03[[#This Row],[Mp (k-in)]]-0.7*Table_03[[#This Row],[Strength (ksi)]]*Table_03[[#This Row],[Static Parameters Elastic Section Modulus Sx (in3)2]])*(($B$5-Table_03[[#This Row],[Lp (ft)]])/(Table_03[[#This Row],[Lr]]-Table_03[[#This Row],[Lp (ft)]]))</f>
        <v>3061.9851620538529</v>
      </c>
      <c r="AL136" s="184">
        <f>Table_03[[#This Row],[Fcrx]]*Table_03[[#This Row],[Static Parameters Elastic Section Modulus Sx (in3)2]]</f>
        <v>17277.606414459187</v>
      </c>
      <c r="AM136" s="185" t="str">
        <f>IF($B$5&lt;Table_03[[#This Row],[Lp (ft)]],"Yielding Controls",IF(AND($B$5&gt;Table_03[[#This Row],[Lp (ft)]],Table_03[[#This Row],[Lr]]&gt;$B$5),"Mltb,p Controls","Mltb,r Controls"))</f>
        <v>Yielding Controls</v>
      </c>
      <c r="AN136" s="186">
        <f>IF(Table_03[[#This Row],[Controlling LTB]]="Yielding Controls",Table_03[[#This Row],[Mp (k-in)]],IF(Table_03[[#This Row],[Controlling LTB]]="Mltb,p Controls",Table_03[[#This Row],[Mnltbp (k-in)]],IF(Table_03[[#This Row],[Controlling LTB]]="Mltb,r Controls",Table_03[[#This Row],[Mnltbr (k-in)]],"ERROR")))</f>
        <v>2971.2233000000001</v>
      </c>
      <c r="AO136" s="183">
        <f>MIN(Table_03[[#This Row],[Strength (ksi)]]*Table_03[[#This Row],[Static Parameters Plastic Section Modulus Zy (in3)]],1.6*Table_03[[#This Row],[Strength (ksi)]]*Table_03[[#This Row],[Static Parameters Elastic Section Modulus Sy (in3)3]])</f>
        <v>1412.8027000000002</v>
      </c>
      <c r="AP136" s="181">
        <f>MIN(Table_03[[#This Row],[Mny (k-in)]],Table_03[[#This Row],[Mny (k-in)]]-(Table_03[[#This Row],[Mny (k-in)]]-0.7*Table_03[[#This Row],[Static Parameters Elastic Section Modulus Sy (in3)3]]*Table_03[[#This Row],[Strength (ksi)]])*((Table_03[[#This Row],[b/t]]-Table_03[[#This Row],[λpf]])/(Table_03[[#This Row],[λrf]]-Table_03[[#This Row],[λpf]])))</f>
        <v>1412.8027000000002</v>
      </c>
      <c r="AQ136" s="184">
        <f>MIN(Table_03[[#This Row],[Mny (k-in)]],Table_03[[#This Row],[Fcry]]*Table_03[[#This Row],[Static Parameters Elastic Section Modulus Sy (in3)3]])</f>
        <v>1412.8027000000002</v>
      </c>
      <c r="AR136" s="185" t="str">
        <f>IF(Table_03[[#This Row],[b/t]]&lt;Table_03[[#This Row],[λpf]],"Compact",IF(AND(Table_03[[#This Row],[b/t]]&gt;Table_03[[#This Row],[λpf]],Table_03[[#This Row],[λrf]]&gt;Table_03[[#This Row],[b/t]]),"Non-Compact","Slender"))</f>
        <v>Compact</v>
      </c>
      <c r="AS136" s="186">
        <f>IF(Table_03[[#This Row],[Controlling Lby]]="Compact",Table_03[[#This Row],[Mny (k-in)]],IF(Table_03[[#This Row],[Controlling Lby]]="Non-Compact",Table_03[[#This Row],[Mlby,Non-Compact (k-in)]],IF(Table_03[[#This Row],[Controlling Lby]]="Slender",Table_03[[#This Row],[Mlby,Slender (k-in)]],"ERROR")))</f>
        <v>1412.8027000000002</v>
      </c>
      <c r="AT136" s="183">
        <f>MIN(Table_03[[#This Row],[LBx]],Table_03[[#This Row],[LTB]],Table_03[[#This Row],[Mp (k-in)]])</f>
        <v>2971.2233000000001</v>
      </c>
      <c r="AU136" s="181">
        <f>Table_03[[#This Row],[Mp (k-in)]]</f>
        <v>2971.2233000000001</v>
      </c>
      <c r="AV136" s="181">
        <f>MIN(Table_03[[#This Row],[LBy]],Table_03[[#This Row],[Mny (k-in)]])</f>
        <v>1412.8027000000002</v>
      </c>
      <c r="AW136" s="187">
        <f>Table_03[[#This Row],[Mny (k-in)]]</f>
        <v>1412.8027000000002</v>
      </c>
      <c r="AX136" s="165">
        <f>SQRT(((Table_03[[#This Row],[Sectional Area (in2)]]-(Table_03[[#This Row],[Flange Thickness tf (in)]]*Table_03[[#This Row],[Width w (in)]]*2+Table_03[[#This Row],[Web Thickness tw (in)]]*((Table_03[[#This Row],[Depth h (in)]]-2*Table_03[[#This Row],[Flange Thickness tf (in)]]))))/4)/(1-PI()/4))</f>
        <v>0.46748717841312509</v>
      </c>
      <c r="AY136" s="165">
        <f>IF(4/SQRT((Table_03[[#This Row],[Depth h (in)]]-Table_03[[#This Row],[Flange Thickness tf (in)]]*2)/Table_03[[#This Row],[Web Thickness tw (in)]])&lt;0.35,0.35,IF(4/SQRT(Table_03[[#This Row],[Depth h (in)]]/Table_03[[#This Row],[Web Thickness tw (in)]])&gt;0.76,0.76,4/SQRT(Table_03[[#This Row],[Depth h (in)]]/Table_03[[#This Row],[Web Thickness tw (in)]])))</f>
        <v>0.73830222833249082</v>
      </c>
      <c r="AZ136" s="165"/>
    </row>
    <row r="137" spans="1:52" x14ac:dyDescent="0.3">
      <c r="A137" s="188" t="s">
        <v>229</v>
      </c>
      <c r="B137" s="189">
        <v>9.99</v>
      </c>
      <c r="C137" s="189">
        <v>4</v>
      </c>
      <c r="D137" s="189">
        <v>0.23</v>
      </c>
      <c r="E137" s="189">
        <v>0.27</v>
      </c>
      <c r="F137" s="190">
        <v>4.4000000000000004</v>
      </c>
      <c r="G137" s="189">
        <v>15</v>
      </c>
      <c r="H137" s="190">
        <v>68.900000000000006</v>
      </c>
      <c r="I137" s="190">
        <v>2.9</v>
      </c>
      <c r="J137" s="190">
        <f>Table_03[[#This Row],[Width w (in)]]*Table_03[[#This Row],[Flange Thickness tf (in)]]*(Table_03[[#This Row],[Depth h (in)]]-Table_03[[#This Row],[Flange Thickness tf (in)]])+0.25*Table_03[[#This Row],[Web Thickness tw (in)]]*(Table_03[[#This Row],[Depth h (in)]]-2*Table_03[[#This Row],[Flange Thickness tf (in)]])^2</f>
        <v>15.632493750000002</v>
      </c>
      <c r="K137" s="190">
        <f>(Table_03[[#This Row],[Width w (in)]]^2*Table_03[[#This Row],[Flange Thickness tf (in)]])/2+0.25*Table_03[[#This Row],[Web Thickness tw (in)]]^2*(Table_03[[#This Row],[Depth h (in)]]-2*Table_03[[#This Row],[Flange Thickness tf (in)]])</f>
        <v>2.2849762500000002</v>
      </c>
      <c r="L137" s="190">
        <v>13.8</v>
      </c>
      <c r="M137" s="190">
        <v>1.5</v>
      </c>
      <c r="N137" s="191">
        <v>50</v>
      </c>
      <c r="O137" s="169">
        <f>SQRT(Table_03[[#This Row],[Static Parameters Moment of Inertia Ix (in4)]]/Table_03[[#This Row],[Sectional Area (in2)]])</f>
        <v>3.9571569224748857</v>
      </c>
      <c r="P137" s="190">
        <f>SQRT(Table_03[[#This Row],[Static Parameters Moment of Inertia Iy (in4)]]/Table_03[[#This Row],[Sectional Area (in2)]])</f>
        <v>0.81184414088598866</v>
      </c>
      <c r="Q137" s="190">
        <f>($B$6*$B$5*12)/Table_03[[#This Row],[ry (in)2]]</f>
        <v>221.16314075267204</v>
      </c>
      <c r="R137" s="190">
        <f>(PI()^2*$B$4)/(Table_03[[#This Row],[KL/ry]]^2)</f>
        <v>5.851567858827333</v>
      </c>
      <c r="S137" s="190">
        <f>IF(Table_03[[#This Row],[Strength (ksi)]]/Table_03[[#This Row],[Fe,y]]&lt;2.25,(0.658^(Table_03[[#This Row],[Strength (ksi)]]/Table_03[[#This Row],[Fe,y]])*Table_03[[#This Row],[Strength (ksi)]]),0.877*Table_03[[#This Row],[Fe,y]])</f>
        <v>5.1318250121915714</v>
      </c>
      <c r="T137" s="190">
        <f>Table_03[[#This Row],[Fcr,y]]*Table_03[[#This Row],[Sectional Area (in2)]]</f>
        <v>22.580030053642915</v>
      </c>
      <c r="U137" s="190">
        <f>1.76*Table_03[[#This Row],[ry (in)2]]*SQRT($B$4/Table_03[[#This Row],[Strength (ksi)]])/12</f>
        <v>2.8675967483436562</v>
      </c>
      <c r="V13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8.4835475103090676</v>
      </c>
      <c r="W137" s="190">
        <f>Table_03[[#This Row],[Depth h (in)]]-Table_03[[#This Row],[Flange Thickness tf (in)]]</f>
        <v>9.7200000000000006</v>
      </c>
      <c r="X137" s="190">
        <f>(Table_03[[#This Row],[Static Parameters Moment of Inertia Iy (in4)]]*Table_03[[#This Row],[ho]]^2)/4</f>
        <v>68.496840000000006</v>
      </c>
      <c r="Y137" s="190">
        <f>SQRT((SQRT(Table_03[[#This Row],[Static Parameters Moment of Inertia Iy (in4)]]*Table_03[[#This Row],[Cw*]])/Table_03[[#This Row],[Static Parameters Elastic Section Modulus Sx (in3)2]]))</f>
        <v>1.010596035924388</v>
      </c>
      <c r="Z137" s="190">
        <f>(2*Table_03[[#This Row],[Width w (in)]]*Table_03[[#This Row],[Flange Thickness tf (in)]]^3/3)+((Table_03[[#This Row],[Depth h (in)]]-Table_03[[#This Row],[Flange Thickness tf (in)]]*2)*Table_03[[#This Row],[Web Thickness tw (in)]]^3)/3</f>
        <v>9.0814050000000007E-2</v>
      </c>
      <c r="AA137" s="190">
        <f>Table_03[[#This Row],[Width w (in)]]*0.5/Table_03[[#This Row],[Flange Thickness tf (in)]]</f>
        <v>7.4074074074074066</v>
      </c>
      <c r="AB137" s="190">
        <f>0.38*SQRT($B$4/Table_03[[#This Row],[Strength (ksi)]])</f>
        <v>9.1516118798821449</v>
      </c>
      <c r="AC137" s="190">
        <f>1*SQRT($B$4/Table_03[[#This Row],[Strength (ksi)]])</f>
        <v>24.083189157584592</v>
      </c>
      <c r="AD137" s="190">
        <f>(PI()^2*$B$4/(12*$B$5/Table_03[[#This Row],[rts]])^2)*SQRT(1+0.078*(Table_03[[#This Row],[J*]]/(Table_03[[#This Row],[Static Parameters Elastic Section Modulus Sx (in3)2]]*Table_03[[#This Row],[ho]])*$B$4/(12*$B$5/Table_03[[#This Row],[rts]])^2))</f>
        <v>39.991449860553907</v>
      </c>
      <c r="AE137" s="190">
        <f>0.69*$B$4/Table_03[[#This Row],[b/t]]^2</f>
        <v>364.68225000000007</v>
      </c>
      <c r="AF137" s="192">
        <f>Table_03[[#This Row],[Strength (ksi)]]*Table_03[[#This Row],[Static Parameters Plastic Section Modulus Zx (in3)]]</f>
        <v>781.62468750000005</v>
      </c>
      <c r="AG137" s="190">
        <f>Table_03[[#This Row],[Mp (k-in)]]-(Table_03[[#This Row],[Mp (k-in)]]-0.7*Table_03[[#This Row],[Strength (ksi)]]*Table_03[[#This Row],[Static Parameters Elastic Section Modulus Sx (in3)2]])*((Table_03[[#This Row],[b/t]]-Table_03[[#This Row],[λpf]])/(Table_03[[#This Row],[λrf]]-Table_03[[#This Row],[λpf]]))</f>
        <v>816.50797583864619</v>
      </c>
      <c r="AH137" s="193">
        <f>0.9*$B$4*Table_03[[#This Row],[kc]]*Table_03[[#This Row],[Static Parameters Elastic Section Modulus Sx (in3)2]]/Table_03[[#This Row],[b/t]]^2</f>
        <v>3984.0822522909039</v>
      </c>
      <c r="AI137" s="194" t="str">
        <f>IF(Table_03[[#This Row],[b/t]]&lt;Table_03[[#This Row],[λpf]],"Compact",IF(AND(Table_03[[#This Row],[b/t]]&gt;Table_03[[#This Row],[λpf]],Table_03[[#This Row],[λrf]]&gt;Table_03[[#This Row],[b/t]]),"Non-Compact","Slender"))</f>
        <v>Compact</v>
      </c>
      <c r="AJ137" s="195">
        <f>IF(Table_03[[#This Row],[Controlling LBx]]="Compact",Table_03[[#This Row],[Mp (k-in)]],IF(Table_03[[#This Row],[Controlling LBx]]="Non-Compact",Table_03[[#This Row],[Mnlb,Non-Compact (k-in)]],IF(Table_03[[#This Row],[Controlling LBx]]="Slender",Table_03[[#This Row],[Mnlb,slender (k-in)]],"ERROR")))</f>
        <v>781.62468750000005</v>
      </c>
      <c r="AK137" s="192">
        <f>Table_03[[#This Row],[Mp (k-in)]]-(Table_03[[#This Row],[Mp (k-in)]]-0.7*Table_03[[#This Row],[Strength (ksi)]]*Table_03[[#This Row],[Static Parameters Elastic Section Modulus Sx (in3)2]])*(($B$5-Table_03[[#This Row],[Lp (ft)]])/(Table_03[[#This Row],[Lr]]-Table_03[[#This Row],[Lp (ft)]]))</f>
        <v>555.2399185668728</v>
      </c>
      <c r="AL137" s="196">
        <f>Table_03[[#This Row],[Fcrx]]*Table_03[[#This Row],[Static Parameters Elastic Section Modulus Sx (in3)2]]</f>
        <v>551.88200807564397</v>
      </c>
      <c r="AM137" s="197" t="str">
        <f>IF($B$5&lt;Table_03[[#This Row],[Lp (ft)]],"Yielding Controls",IF(AND($B$5&gt;Table_03[[#This Row],[Lp (ft)]],Table_03[[#This Row],[Lr]]&gt;$B$5),"Mltb,p Controls","Mltb,r Controls"))</f>
        <v>Mltb,p Controls</v>
      </c>
      <c r="AN137" s="198">
        <f>IF(Table_03[[#This Row],[Controlling LTB]]="Yielding Controls",Table_03[[#This Row],[Mp (k-in)]],IF(Table_03[[#This Row],[Controlling LTB]]="Mltb,p Controls",Table_03[[#This Row],[Mnltbp (k-in)]],IF(Table_03[[#This Row],[Controlling LTB]]="Mltb,r Controls",Table_03[[#This Row],[Mnltbr (k-in)]],"ERROR")))</f>
        <v>555.2399185668728</v>
      </c>
      <c r="AO137" s="199">
        <f>MIN(Table_03[[#This Row],[Strength (ksi)]]*Table_03[[#This Row],[Static Parameters Plastic Section Modulus Zy (in3)]],1.6*Table_03[[#This Row],[Strength (ksi)]]*Table_03[[#This Row],[Static Parameters Elastic Section Modulus Sy (in3)3]])</f>
        <v>114.24881250000001</v>
      </c>
      <c r="AP137" s="169">
        <f>MIN(Table_03[[#This Row],[Mny (k-in)]],Table_03[[#This Row],[Mny (k-in)]]-(Table_03[[#This Row],[Mny (k-in)]]-0.7*Table_03[[#This Row],[Static Parameters Elastic Section Modulus Sy (in3)3]]*Table_03[[#This Row],[Strength (ksi)]])*((Table_03[[#This Row],[b/t]]-Table_03[[#This Row],[λpf]])/(Table_03[[#This Row],[λrf]]-Table_03[[#This Row],[λpf]])))</f>
        <v>114.24881250000001</v>
      </c>
      <c r="AQ137" s="196">
        <f>MIN(Table_03[[#This Row],[Mny (k-in)]],Table_03[[#This Row],[Fcry]]*Table_03[[#This Row],[Static Parameters Elastic Section Modulus Sy (in3)3]])</f>
        <v>114.24881250000001</v>
      </c>
      <c r="AR137" s="197" t="str">
        <f>IF(Table_03[[#This Row],[b/t]]&lt;Table_03[[#This Row],[λpf]],"Compact",IF(AND(Table_03[[#This Row],[b/t]]&gt;Table_03[[#This Row],[λpf]],Table_03[[#This Row],[λrf]]&gt;Table_03[[#This Row],[b/t]]),"Non-Compact","Slender"))</f>
        <v>Compact</v>
      </c>
      <c r="AS137" s="198">
        <f>IF(Table_03[[#This Row],[Controlling Lby]]="Compact",Table_03[[#This Row],[Mny (k-in)]],IF(Table_03[[#This Row],[Controlling Lby]]="Non-Compact",Table_03[[#This Row],[Mlby,Non-Compact (k-in)]],IF(Table_03[[#This Row],[Controlling Lby]]="Slender",Table_03[[#This Row],[Mlby,Slender (k-in)]],"ERROR")))</f>
        <v>114.24881250000001</v>
      </c>
      <c r="AT137" s="199">
        <f>MIN(Table_03[[#This Row],[LBx]],Table_03[[#This Row],[LTB]],Table_03[[#This Row],[Mp (k-in)]])</f>
        <v>555.2399185668728</v>
      </c>
      <c r="AU137" s="169">
        <f>Table_03[[#This Row],[Mp (k-in)]]</f>
        <v>781.62468750000005</v>
      </c>
      <c r="AV137" s="169">
        <f>MIN(Table_03[[#This Row],[LBy]],Table_03[[#This Row],[Mny (k-in)]])</f>
        <v>114.24881250000001</v>
      </c>
      <c r="AW137" s="200">
        <f>Table_03[[#This Row],[Mny (k-in)]]</f>
        <v>114.24881250000001</v>
      </c>
      <c r="AX137" s="165">
        <f>SQRT(((Table_03[[#This Row],[Sectional Area (in2)]]-(Table_03[[#This Row],[Flange Thickness tf (in)]]*Table_03[[#This Row],[Width w (in)]]*2+Table_03[[#This Row],[Web Thickness tw (in)]]*((Table_03[[#This Row],[Depth h (in)]]-2*Table_03[[#This Row],[Flange Thickness tf (in)]]))))/4)/(1-PI()/4))</f>
        <v>0.27833262131874109</v>
      </c>
      <c r="AY137" s="165">
        <f>IF(4/SQRT((Table_03[[#This Row],[Depth h (in)]]-Table_03[[#This Row],[Flange Thickness tf (in)]]*2)/Table_03[[#This Row],[Web Thickness tw (in)]])&lt;0.35,0.35,IF(4/SQRT(Table_03[[#This Row],[Depth h (in)]]/Table_03[[#This Row],[Web Thickness tw (in)]])&gt;0.76,0.76,4/SQRT(Table_03[[#This Row],[Depth h (in)]]/Table_03[[#This Row],[Web Thickness tw (in)]])))</f>
        <v>0.6069335782178874</v>
      </c>
      <c r="AZ137" s="165"/>
    </row>
    <row r="138" spans="1:52" ht="14.4" thickBot="1" x14ac:dyDescent="0.35">
      <c r="A138" s="201" t="s">
        <v>230</v>
      </c>
      <c r="B138" s="202">
        <v>10.09</v>
      </c>
      <c r="C138" s="202">
        <v>10.029999999999999</v>
      </c>
      <c r="D138" s="202">
        <v>0.37</v>
      </c>
      <c r="E138" s="202">
        <v>0.61499999999999999</v>
      </c>
      <c r="F138" s="203">
        <v>15.8</v>
      </c>
      <c r="G138" s="204">
        <v>54</v>
      </c>
      <c r="H138" s="203">
        <v>303</v>
      </c>
      <c r="I138" s="203">
        <v>103</v>
      </c>
      <c r="J138" s="203">
        <f>Table_03[[#This Row],[Width w (in)]]*Table_03[[#This Row],[Flange Thickness tf (in)]]*(Table_03[[#This Row],[Depth h (in)]]-Table_03[[#This Row],[Flange Thickness tf (in)]])+0.25*Table_03[[#This Row],[Web Thickness tw (in)]]*(Table_03[[#This Row],[Depth h (in)]]-2*Table_03[[#This Row],[Flange Thickness tf (in)]])^2</f>
        <v>65.707276749999991</v>
      </c>
      <c r="K138" s="203">
        <f>(Table_03[[#This Row],[Width w (in)]]^2*Table_03[[#This Row],[Flange Thickness tf (in)]])/2+0.25*Table_03[[#This Row],[Web Thickness tw (in)]]^2*(Table_03[[#This Row],[Depth h (in)]]-2*Table_03[[#This Row],[Flange Thickness tf (in)]])</f>
        <v>31.238010249999995</v>
      </c>
      <c r="L138" s="203">
        <v>60</v>
      </c>
      <c r="M138" s="203">
        <v>20.6</v>
      </c>
      <c r="N138" s="205">
        <v>50</v>
      </c>
      <c r="O138" s="206">
        <f>SQRT(Table_03[[#This Row],[Static Parameters Moment of Inertia Ix (in4)]]/Table_03[[#This Row],[Sectional Area (in2)]])</f>
        <v>4.3791797393888068</v>
      </c>
      <c r="P138" s="203">
        <f>SQRT(Table_03[[#This Row],[Static Parameters Moment of Inertia Iy (in4)]]/Table_03[[#This Row],[Sectional Area (in2)]])</f>
        <v>2.5532307654758024</v>
      </c>
      <c r="Q138" s="203">
        <f>($B$6*$B$5*12)/Table_03[[#This Row],[ry (in)2]]</f>
        <v>70.322668216219895</v>
      </c>
      <c r="R138" s="203">
        <f>(PI()^2*$B$4)/(Table_03[[#This Row],[KL/ry]]^2)</f>
        <v>57.877139974259016</v>
      </c>
      <c r="S138" s="203">
        <f>IF(Table_03[[#This Row],[Strength (ksi)]]/Table_03[[#This Row],[Fe,y]]&lt;2.25,(0.658^(Table_03[[#This Row],[Strength (ksi)]]/Table_03[[#This Row],[Fe,y]])*Table_03[[#This Row],[Strength (ksi)]]),0.877*Table_03[[#This Row],[Fe,y]])</f>
        <v>34.828562193696548</v>
      </c>
      <c r="T138" s="203">
        <f>Table_03[[#This Row],[Fcr,y]]*Table_03[[#This Row],[Sectional Area (in2)]]</f>
        <v>550.2912826604055</v>
      </c>
      <c r="U138" s="203">
        <f>1.76*Table_03[[#This Row],[ry (in)2]]*SQRT($B$4/Table_03[[#This Row],[Strength (ksi)]])/12</f>
        <v>9.0185244582280095</v>
      </c>
      <c r="V13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32.895752131756126</v>
      </c>
      <c r="W138" s="203">
        <f>Table_03[[#This Row],[Depth h (in)]]-Table_03[[#This Row],[Flange Thickness tf (in)]]</f>
        <v>9.4749999999999996</v>
      </c>
      <c r="X138" s="203">
        <f>(Table_03[[#This Row],[Static Parameters Moment of Inertia Iy (in4)]]*Table_03[[#This Row],[ho]]^2)/4</f>
        <v>2311.7223437499997</v>
      </c>
      <c r="Y138" s="203">
        <f>SQRT((SQRT(Table_03[[#This Row],[Static Parameters Moment of Inertia Iy (in4)]]*Table_03[[#This Row],[Cw*]])/Table_03[[#This Row],[Static Parameters Elastic Section Modulus Sx (in3)2]]))</f>
        <v>2.851790373315215</v>
      </c>
      <c r="Z138" s="203">
        <f>(2*Table_03[[#This Row],[Width w (in)]]*Table_03[[#This Row],[Flange Thickness tf (in)]]^3/3)+((Table_03[[#This Row],[Depth h (in)]]-Table_03[[#This Row],[Flange Thickness tf (in)]]*2)*Table_03[[#This Row],[Web Thickness tw (in)]]^3)/3</f>
        <v>1.704969860833333</v>
      </c>
      <c r="AA138" s="203">
        <f>Table_03[[#This Row],[Width w (in)]]*0.5/Table_03[[#This Row],[Flange Thickness tf (in)]]</f>
        <v>8.154471544715447</v>
      </c>
      <c r="AB138" s="203">
        <f>0.38*SQRT($B$4/Table_03[[#This Row],[Strength (ksi)]])</f>
        <v>9.1516118798821449</v>
      </c>
      <c r="AC138" s="203">
        <f>1*SQRT($B$4/Table_03[[#This Row],[Strength (ksi)]])</f>
        <v>24.083189157584592</v>
      </c>
      <c r="AD138" s="203">
        <f>(PI()^2*$B$4/(12*$B$5/Table_03[[#This Row],[rts]])^2)*SQRT(1+0.078*(Table_03[[#This Row],[J*]]/(Table_03[[#This Row],[Static Parameters Elastic Section Modulus Sx (in3)2]]*Table_03[[#This Row],[ho]])*$B$4/(12*$B$5/Table_03[[#This Row],[rts]])^2))</f>
        <v>319.61959449028461</v>
      </c>
      <c r="AE138" s="203">
        <f>0.69*$B$4/Table_03[[#This Row],[b/t]]^2</f>
        <v>300.92304343201704</v>
      </c>
      <c r="AF138" s="207">
        <f>Table_03[[#This Row],[Strength (ksi)]]*Table_03[[#This Row],[Static Parameters Plastic Section Modulus Zx (in3)]]</f>
        <v>3285.3638374999996</v>
      </c>
      <c r="AG138" s="203">
        <f>Table_03[[#This Row],[Mp (k-in)]]-(Table_03[[#This Row],[Mp (k-in)]]-0.7*Table_03[[#This Row],[Strength (ksi)]]*Table_03[[#This Row],[Static Parameters Elastic Section Modulus Sx (in3)2]])*((Table_03[[#This Row],[b/t]]-Table_03[[#This Row],[λpf]])/(Table_03[[#This Row],[λrf]]-Table_03[[#This Row],[λpf]]))</f>
        <v>3364.5231970396171</v>
      </c>
      <c r="AH138" s="208">
        <f>0.9*$B$4*Table_03[[#This Row],[kc]]*Table_03[[#This Row],[Static Parameters Elastic Section Modulus Sx (in3)2]]/Table_03[[#This Row],[b/t]]^2</f>
        <v>17898.379278913013</v>
      </c>
      <c r="AI138" s="209" t="str">
        <f>IF(Table_03[[#This Row],[b/t]]&lt;Table_03[[#This Row],[λpf]],"Compact",IF(AND(Table_03[[#This Row],[b/t]]&gt;Table_03[[#This Row],[λpf]],Table_03[[#This Row],[λrf]]&gt;Table_03[[#This Row],[b/t]]),"Non-Compact","Slender"))</f>
        <v>Compact</v>
      </c>
      <c r="AJ138" s="210">
        <f>IF(Table_03[[#This Row],[Controlling LBx]]="Compact",Table_03[[#This Row],[Mp (k-in)]],IF(Table_03[[#This Row],[Controlling LBx]]="Non-Compact",Table_03[[#This Row],[Mnlb,Non-Compact (k-in)]],IF(Table_03[[#This Row],[Controlling LBx]]="Slender",Table_03[[#This Row],[Mnlb,slender (k-in)]],"ERROR")))</f>
        <v>3285.3638374999996</v>
      </c>
      <c r="AK138" s="207">
        <f>Table_03[[#This Row],[Mp (k-in)]]-(Table_03[[#This Row],[Mp (k-in)]]-0.7*Table_03[[#This Row],[Strength (ksi)]]*Table_03[[#This Row],[Static Parameters Elastic Section Modulus Sx (in3)2]])*(($B$5-Table_03[[#This Row],[Lp (ft)]])/(Table_03[[#This Row],[Lr]]-Table_03[[#This Row],[Lp (ft)]]))</f>
        <v>3379.366183538425</v>
      </c>
      <c r="AL138" s="211">
        <f>Table_03[[#This Row],[Fcrx]]*Table_03[[#This Row],[Static Parameters Elastic Section Modulus Sx (in3)2]]</f>
        <v>19177.175669417076</v>
      </c>
      <c r="AM138" s="212" t="str">
        <f>IF($B$5&lt;Table_03[[#This Row],[Lp (ft)]],"Yielding Controls",IF(AND($B$5&gt;Table_03[[#This Row],[Lp (ft)]],Table_03[[#This Row],[Lr]]&gt;$B$5),"Mltb,p Controls","Mltb,r Controls"))</f>
        <v>Yielding Controls</v>
      </c>
      <c r="AN138" s="213">
        <f>IF(Table_03[[#This Row],[Controlling LTB]]="Yielding Controls",Table_03[[#This Row],[Mp (k-in)]],IF(Table_03[[#This Row],[Controlling LTB]]="Mltb,p Controls",Table_03[[#This Row],[Mnltbp (k-in)]],IF(Table_03[[#This Row],[Controlling LTB]]="Mltb,r Controls",Table_03[[#This Row],[Mnltbr (k-in)]],"ERROR")))</f>
        <v>3285.3638374999996</v>
      </c>
      <c r="AO138" s="214">
        <f>MIN(Table_03[[#This Row],[Strength (ksi)]]*Table_03[[#This Row],[Static Parameters Plastic Section Modulus Zy (in3)]],1.6*Table_03[[#This Row],[Strength (ksi)]]*Table_03[[#This Row],[Static Parameters Elastic Section Modulus Sy (in3)3]])</f>
        <v>1561.9005124999996</v>
      </c>
      <c r="AP138" s="206">
        <f>MIN(Table_03[[#This Row],[Mny (k-in)]],Table_03[[#This Row],[Mny (k-in)]]-(Table_03[[#This Row],[Mny (k-in)]]-0.7*Table_03[[#This Row],[Static Parameters Elastic Section Modulus Sy (in3)3]]*Table_03[[#This Row],[Strength (ksi)]])*((Table_03[[#This Row],[b/t]]-Table_03[[#This Row],[λpf]])/(Table_03[[#This Row],[λrf]]-Table_03[[#This Row],[λpf]])))</f>
        <v>1561.9005124999996</v>
      </c>
      <c r="AQ138" s="211">
        <f>MIN(Table_03[[#This Row],[Mny (k-in)]],Table_03[[#This Row],[Fcry]]*Table_03[[#This Row],[Static Parameters Elastic Section Modulus Sy (in3)3]])</f>
        <v>1561.9005124999996</v>
      </c>
      <c r="AR138" s="212" t="str">
        <f>IF(Table_03[[#This Row],[b/t]]&lt;Table_03[[#This Row],[λpf]],"Compact",IF(AND(Table_03[[#This Row],[b/t]]&gt;Table_03[[#This Row],[λpf]],Table_03[[#This Row],[λrf]]&gt;Table_03[[#This Row],[b/t]]),"Non-Compact","Slender"))</f>
        <v>Compact</v>
      </c>
      <c r="AS138" s="213">
        <f>IF(Table_03[[#This Row],[Controlling Lby]]="Compact",Table_03[[#This Row],[Mny (k-in)]],IF(Table_03[[#This Row],[Controlling Lby]]="Non-Compact",Table_03[[#This Row],[Mlby,Non-Compact (k-in)]],IF(Table_03[[#This Row],[Controlling Lby]]="Slender",Table_03[[#This Row],[Mlby,Slender (k-in)]],"ERROR")))</f>
        <v>1561.9005124999996</v>
      </c>
      <c r="AT138" s="214">
        <f>MIN(Table_03[[#This Row],[LBx]],Table_03[[#This Row],[LTB]],Table_03[[#This Row],[Mp (k-in)]])</f>
        <v>3285.3638374999996</v>
      </c>
      <c r="AU138" s="206">
        <f>Table_03[[#This Row],[Mp (k-in)]]</f>
        <v>3285.3638374999996</v>
      </c>
      <c r="AV138" s="206">
        <f>MIN(Table_03[[#This Row],[LBy]],Table_03[[#This Row],[Mny (k-in)]])</f>
        <v>1561.9005124999996</v>
      </c>
      <c r="AW138" s="215">
        <f>Table_03[[#This Row],[Mny (k-in)]]</f>
        <v>1561.9005124999996</v>
      </c>
      <c r="AX138" s="165">
        <f>SQRT(((Table_03[[#This Row],[Sectional Area (in2)]]-(Table_03[[#This Row],[Flange Thickness tf (in)]]*Table_03[[#This Row],[Width w (in)]]*2+Table_03[[#This Row],[Web Thickness tw (in)]]*((Table_03[[#This Row],[Depth h (in)]]-2*Table_03[[#This Row],[Flange Thickness tf (in)]]))))/4)/(1-PI()/4))</f>
        <v>0.46411087267311302</v>
      </c>
      <c r="AY138"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38" s="165"/>
    </row>
    <row r="139" spans="1:52" x14ac:dyDescent="0.3">
      <c r="A139" s="179" t="s">
        <v>231</v>
      </c>
      <c r="B139" s="180">
        <v>10.1</v>
      </c>
      <c r="C139" s="180">
        <v>8.02</v>
      </c>
      <c r="D139" s="180">
        <v>0.35</v>
      </c>
      <c r="E139" s="180">
        <v>0.62</v>
      </c>
      <c r="F139" s="181">
        <v>13.3</v>
      </c>
      <c r="G139" s="180">
        <v>45</v>
      </c>
      <c r="H139" s="180">
        <v>248</v>
      </c>
      <c r="I139" s="180">
        <v>53.4</v>
      </c>
      <c r="J139" s="181">
        <f>Table_03[[#This Row],[Width w (in)]]*Table_03[[#This Row],[Flange Thickness tf (in)]]*(Table_03[[#This Row],[Depth h (in)]]-Table_03[[#This Row],[Flange Thickness tf (in)]])+0.25*Table_03[[#This Row],[Web Thickness tw (in)]]*(Table_03[[#This Row],[Depth h (in)]]-2*Table_03[[#This Row],[Flange Thickness tf (in)]])^2</f>
        <v>54.007066999999992</v>
      </c>
      <c r="K139" s="181">
        <f>(Table_03[[#This Row],[Width w (in)]]^2*Table_03[[#This Row],[Flange Thickness tf (in)]])/2+0.25*Table_03[[#This Row],[Web Thickness tw (in)]]^2*(Table_03[[#This Row],[Depth h (in)]]-2*Table_03[[#This Row],[Flange Thickness tf (in)]])</f>
        <v>20.210661500000001</v>
      </c>
      <c r="L139" s="181">
        <v>49.1</v>
      </c>
      <c r="M139" s="181">
        <v>13.3</v>
      </c>
      <c r="N139" s="182">
        <v>50</v>
      </c>
      <c r="O139" s="181">
        <f>SQRT(Table_03[[#This Row],[Static Parameters Moment of Inertia Ix (in4)]]/Table_03[[#This Row],[Sectional Area (in2)]])</f>
        <v>4.3181728243961448</v>
      </c>
      <c r="P139" s="181">
        <f>SQRT(Table_03[[#This Row],[Static Parameters Moment of Inertia Iy (in4)]]/Table_03[[#This Row],[Sectional Area (in2)]])</f>
        <v>2.0037558718528965</v>
      </c>
      <c r="Q139" s="181">
        <f>($B$6*$B$5*12)/Table_03[[#This Row],[ry (in)2]]</f>
        <v>89.606724313160981</v>
      </c>
      <c r="R139" s="181">
        <f>(PI()^2*$B$4)/(Table_03[[#This Row],[KL/ry]]^2)</f>
        <v>35.64647093881436</v>
      </c>
      <c r="S139" s="181">
        <f>IF(Table_03[[#This Row],[Strength (ksi)]]/Table_03[[#This Row],[Fe,y]]&lt;2.25,(0.658^(Table_03[[#This Row],[Strength (ksi)]]/Table_03[[#This Row],[Fe,y]])*Table_03[[#This Row],[Strength (ksi)]]),0.877*Table_03[[#This Row],[Fe,y]])</f>
        <v>27.797268297282429</v>
      </c>
      <c r="T139" s="181">
        <f>Table_03[[#This Row],[Fcr,y]]*Table_03[[#This Row],[Sectional Area (in2)]]</f>
        <v>369.7036683538563</v>
      </c>
      <c r="U139" s="181">
        <f>1.76*Table_03[[#This Row],[ry (in)2]]*SQRT($B$4/Table_03[[#This Row],[Strength (ksi)]])/12</f>
        <v>7.0776686474932733</v>
      </c>
      <c r="V13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26.22219448199175</v>
      </c>
      <c r="W139" s="181">
        <f>Table_03[[#This Row],[Depth h (in)]]-Table_03[[#This Row],[Flange Thickness tf (in)]]</f>
        <v>9.48</v>
      </c>
      <c r="X139" s="181">
        <f>(Table_03[[#This Row],[Static Parameters Moment of Inertia Iy (in4)]]*Table_03[[#This Row],[ho]]^2)/4</f>
        <v>1199.7698399999999</v>
      </c>
      <c r="Y139" s="181">
        <f>SQRT((SQRT(Table_03[[#This Row],[Static Parameters Moment of Inertia Iy (in4)]]*Table_03[[#This Row],[Cw*]])/Table_03[[#This Row],[Static Parameters Elastic Section Modulus Sx (in3)2]]))</f>
        <v>2.2704871759808021</v>
      </c>
      <c r="Z139" s="181">
        <f>(2*Table_03[[#This Row],[Width w (in)]]*Table_03[[#This Row],[Flange Thickness tf (in)]]^3/3)+((Table_03[[#This Row],[Depth h (in)]]-Table_03[[#This Row],[Flange Thickness tf (in)]]*2)*Table_03[[#This Row],[Web Thickness tw (in)]]^3)/3</f>
        <v>1.4008845399999998</v>
      </c>
      <c r="AA139" s="181">
        <f>Table_03[[#This Row],[Width w (in)]]*0.5/Table_03[[#This Row],[Flange Thickness tf (in)]]</f>
        <v>6.467741935483871</v>
      </c>
      <c r="AB139" s="181">
        <f>0.38*SQRT($B$4/Table_03[[#This Row],[Strength (ksi)]])</f>
        <v>9.1516118798821449</v>
      </c>
      <c r="AC139" s="181">
        <f>1*SQRT($B$4/Table_03[[#This Row],[Strength (ksi)]])</f>
        <v>24.083189157584592</v>
      </c>
      <c r="AD139" s="181">
        <f>(PI()^2*$B$4/(12*$B$5/Table_03[[#This Row],[rts]])^2)*SQRT(1+0.078*(Table_03[[#This Row],[J*]]/(Table_03[[#This Row],[Static Parameters Elastic Section Modulus Sx (in3)2]]*Table_03[[#This Row],[ho]])*$B$4/(12*$B$5/Table_03[[#This Row],[rts]])^2))</f>
        <v>202.32222863169844</v>
      </c>
      <c r="AE139" s="181">
        <f>0.69*$B$4/Table_03[[#This Row],[b/t]]^2</f>
        <v>478.34553267703552</v>
      </c>
      <c r="AF139" s="183">
        <f>Table_03[[#This Row],[Strength (ksi)]]*Table_03[[#This Row],[Static Parameters Plastic Section Modulus Zx (in3)]]</f>
        <v>2700.3533499999994</v>
      </c>
      <c r="AG139" s="181">
        <f>Table_03[[#This Row],[Mp (k-in)]]-(Table_03[[#This Row],[Mp (k-in)]]-0.7*Table_03[[#This Row],[Strength (ksi)]]*Table_03[[#This Row],[Static Parameters Elastic Section Modulus Sx (in3)2]])*((Table_03[[#This Row],[b/t]]-Table_03[[#This Row],[λpf]])/(Table_03[[#This Row],[λrf]]-Table_03[[#This Row],[λpf]]))</f>
        <v>2876.8361586719871</v>
      </c>
      <c r="AH139" s="184">
        <f>0.9*$B$4*Table_03[[#This Row],[kc]]*Table_03[[#This Row],[Static Parameters Elastic Section Modulus Sx (in3)2]]/Table_03[[#This Row],[b/t]]^2</f>
        <v>22811.295992823696</v>
      </c>
      <c r="AI139" s="185" t="str">
        <f>IF(Table_03[[#This Row],[b/t]]&lt;Table_03[[#This Row],[λpf]],"Compact",IF(AND(Table_03[[#This Row],[b/t]]&gt;Table_03[[#This Row],[λpf]],Table_03[[#This Row],[λrf]]&gt;Table_03[[#This Row],[b/t]]),"Non-Compact","Slender"))</f>
        <v>Compact</v>
      </c>
      <c r="AJ139" s="186">
        <f>IF(Table_03[[#This Row],[Controlling LBx]]="Compact",Table_03[[#This Row],[Mp (k-in)]],IF(Table_03[[#This Row],[Controlling LBx]]="Non-Compact",Table_03[[#This Row],[Mnlb,Non-Compact (k-in)]],IF(Table_03[[#This Row],[Controlling LBx]]="Slender",Table_03[[#This Row],[Mnlb,slender (k-in)]],"ERROR")))</f>
        <v>2700.3533499999994</v>
      </c>
      <c r="AK139" s="183">
        <f>Table_03[[#This Row],[Mp (k-in)]]-(Table_03[[#This Row],[Mp (k-in)]]-0.7*Table_03[[#This Row],[Strength (ksi)]]*Table_03[[#This Row],[Static Parameters Elastic Section Modulus Sx (in3)2]])*(($B$5-Table_03[[#This Row],[Lp (ft)]])/(Table_03[[#This Row],[Lr]]-Table_03[[#This Row],[Lp (ft)]]))</f>
        <v>2697.9258964594674</v>
      </c>
      <c r="AL139" s="184">
        <f>Table_03[[#This Row],[Fcrx]]*Table_03[[#This Row],[Static Parameters Elastic Section Modulus Sx (in3)2]]</f>
        <v>9934.0214258163942</v>
      </c>
      <c r="AM139" s="185" t="str">
        <f>IF($B$5&lt;Table_03[[#This Row],[Lp (ft)]],"Yielding Controls",IF(AND($B$5&gt;Table_03[[#This Row],[Lp (ft)]],Table_03[[#This Row],[Lr]]&gt;$B$5),"Mltb,p Controls","Mltb,r Controls"))</f>
        <v>Mltb,p Controls</v>
      </c>
      <c r="AN139" s="186">
        <f>IF(Table_03[[#This Row],[Controlling LTB]]="Yielding Controls",Table_03[[#This Row],[Mp (k-in)]],IF(Table_03[[#This Row],[Controlling LTB]]="Mltb,p Controls",Table_03[[#This Row],[Mnltbp (k-in)]],IF(Table_03[[#This Row],[Controlling LTB]]="Mltb,r Controls",Table_03[[#This Row],[Mnltbr (k-in)]],"ERROR")))</f>
        <v>2697.9258964594674</v>
      </c>
      <c r="AO139" s="183">
        <f>MIN(Table_03[[#This Row],[Strength (ksi)]]*Table_03[[#This Row],[Static Parameters Plastic Section Modulus Zy (in3)]],1.6*Table_03[[#This Row],[Strength (ksi)]]*Table_03[[#This Row],[Static Parameters Elastic Section Modulus Sy (in3)3]])</f>
        <v>1010.5330750000001</v>
      </c>
      <c r="AP139" s="181">
        <f>MIN(Table_03[[#This Row],[Mny (k-in)]],Table_03[[#This Row],[Mny (k-in)]]-(Table_03[[#This Row],[Mny (k-in)]]-0.7*Table_03[[#This Row],[Static Parameters Elastic Section Modulus Sy (in3)3]]*Table_03[[#This Row],[Strength (ksi)]])*((Table_03[[#This Row],[b/t]]-Table_03[[#This Row],[λpf]])/(Table_03[[#This Row],[λrf]]-Table_03[[#This Row],[λpf]])))</f>
        <v>1010.5330750000001</v>
      </c>
      <c r="AQ139" s="184">
        <f>MIN(Table_03[[#This Row],[Mny (k-in)]],Table_03[[#This Row],[Fcry]]*Table_03[[#This Row],[Static Parameters Elastic Section Modulus Sy (in3)3]])</f>
        <v>1010.5330750000001</v>
      </c>
      <c r="AR139" s="185" t="str">
        <f>IF(Table_03[[#This Row],[b/t]]&lt;Table_03[[#This Row],[λpf]],"Compact",IF(AND(Table_03[[#This Row],[b/t]]&gt;Table_03[[#This Row],[λpf]],Table_03[[#This Row],[λrf]]&gt;Table_03[[#This Row],[b/t]]),"Non-Compact","Slender"))</f>
        <v>Compact</v>
      </c>
      <c r="AS139" s="186">
        <f>IF(Table_03[[#This Row],[Controlling Lby]]="Compact",Table_03[[#This Row],[Mny (k-in)]],IF(Table_03[[#This Row],[Controlling Lby]]="Non-Compact",Table_03[[#This Row],[Mlby,Non-Compact (k-in)]],IF(Table_03[[#This Row],[Controlling Lby]]="Slender",Table_03[[#This Row],[Mlby,Slender (k-in)]],"ERROR")))</f>
        <v>1010.5330750000001</v>
      </c>
      <c r="AT139" s="183">
        <f>MIN(Table_03[[#This Row],[LBx]],Table_03[[#This Row],[LTB]],Table_03[[#This Row],[Mp (k-in)]])</f>
        <v>2697.9258964594674</v>
      </c>
      <c r="AU139" s="181">
        <f>Table_03[[#This Row],[Mp (k-in)]]</f>
        <v>2700.3533499999994</v>
      </c>
      <c r="AV139" s="181">
        <f>MIN(Table_03[[#This Row],[LBy]],Table_03[[#This Row],[Mny (k-in)]])</f>
        <v>1010.5330750000001</v>
      </c>
      <c r="AW139" s="187">
        <f>Table_03[[#This Row],[Mny (k-in)]]</f>
        <v>1010.5330750000001</v>
      </c>
      <c r="AX139" s="165">
        <f>SQRT(((Table_03[[#This Row],[Sectional Area (in2)]]-(Table_03[[#This Row],[Flange Thickness tf (in)]]*Table_03[[#This Row],[Width w (in)]]*2+Table_03[[#This Row],[Web Thickness tw (in)]]*((Table_03[[#This Row],[Depth h (in)]]-2*Table_03[[#This Row],[Flange Thickness tf (in)]]))))/4)/(1-PI()/4))</f>
        <v>0.54417810033112124</v>
      </c>
      <c r="AY139" s="165">
        <f>IF(4/SQRT((Table_03[[#This Row],[Depth h (in)]]-Table_03[[#This Row],[Flange Thickness tf (in)]]*2)/Table_03[[#This Row],[Web Thickness tw (in)]])&lt;0.35,0.35,IF(4/SQRT(Table_03[[#This Row],[Depth h (in)]]/Table_03[[#This Row],[Web Thickness tw (in)]])&gt;0.76,0.76,4/SQRT(Table_03[[#This Row],[Depth h (in)]]/Table_03[[#This Row],[Web Thickness tw (in)]])))</f>
        <v>0.74461765057279861</v>
      </c>
      <c r="AZ139" s="165"/>
    </row>
    <row r="140" spans="1:52" x14ac:dyDescent="0.3">
      <c r="A140" s="188" t="s">
        <v>232</v>
      </c>
      <c r="B140" s="189">
        <v>10.11</v>
      </c>
      <c r="C140" s="189">
        <v>4.01</v>
      </c>
      <c r="D140" s="189">
        <v>0.24</v>
      </c>
      <c r="E140" s="189">
        <v>0.33</v>
      </c>
      <c r="F140" s="190">
        <v>5</v>
      </c>
      <c r="G140" s="189">
        <v>17</v>
      </c>
      <c r="H140" s="190">
        <v>81.900000000000006</v>
      </c>
      <c r="I140" s="190">
        <v>3.6</v>
      </c>
      <c r="J140" s="190">
        <f>Table_03[[#This Row],[Width w (in)]]*Table_03[[#This Row],[Flange Thickness tf (in)]]*(Table_03[[#This Row],[Depth h (in)]]-Table_03[[#This Row],[Flange Thickness tf (in)]])+0.25*Table_03[[#This Row],[Web Thickness tw (in)]]*(Table_03[[#This Row],[Depth h (in)]]-2*Table_03[[#This Row],[Flange Thickness tf (in)]])^2</f>
        <v>18.300023999999997</v>
      </c>
      <c r="K140" s="190">
        <f>(Table_03[[#This Row],[Width w (in)]]^2*Table_03[[#This Row],[Flange Thickness tf (in)]])/2+0.25*Table_03[[#This Row],[Web Thickness tw (in)]]^2*(Table_03[[#This Row],[Depth h (in)]]-2*Table_03[[#This Row],[Flange Thickness tf (in)]])</f>
        <v>2.7892964999999998</v>
      </c>
      <c r="L140" s="190">
        <v>16.2</v>
      </c>
      <c r="M140" s="190">
        <v>1.8</v>
      </c>
      <c r="N140" s="191">
        <v>50</v>
      </c>
      <c r="O140" s="169">
        <f>SQRT(Table_03[[#This Row],[Static Parameters Moment of Inertia Ix (in4)]]/Table_03[[#This Row],[Sectional Area (in2)]])</f>
        <v>4.0472212689696123</v>
      </c>
      <c r="P140" s="190">
        <f>SQRT(Table_03[[#This Row],[Static Parameters Moment of Inertia Iy (in4)]]/Table_03[[#This Row],[Sectional Area (in2)]])</f>
        <v>0.84852813742385702</v>
      </c>
      <c r="Q140" s="190">
        <f>($B$6*$B$5*12)/Table_03[[#This Row],[ry (in)2]]</f>
        <v>211.60170427007435</v>
      </c>
      <c r="R140" s="190">
        <f>(PI()^2*$B$4)/(Table_03[[#This Row],[KL/ry]]^2)</f>
        <v>6.3923334402637924</v>
      </c>
      <c r="S140" s="190">
        <f>IF(Table_03[[#This Row],[Strength (ksi)]]/Table_03[[#This Row],[Fe,y]]&lt;2.25,(0.658^(Table_03[[#This Row],[Strength (ksi)]]/Table_03[[#This Row],[Fe,y]])*Table_03[[#This Row],[Strength (ksi)]]),0.877*Table_03[[#This Row],[Fe,y]])</f>
        <v>5.6060764271113461</v>
      </c>
      <c r="T140" s="190">
        <f>Table_03[[#This Row],[Fcr,y]]*Table_03[[#This Row],[Sectional Area (in2)]]</f>
        <v>28.030382135556732</v>
      </c>
      <c r="U140" s="190">
        <f>1.76*Table_03[[#This Row],[ry (in)2]]*SQRT($B$4/Table_03[[#This Row],[Strength (ksi)]])/12</f>
        <v>2.9971720004030469</v>
      </c>
      <c r="V14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9.0315026774441325</v>
      </c>
      <c r="W140" s="190">
        <f>Table_03[[#This Row],[Depth h (in)]]-Table_03[[#This Row],[Flange Thickness tf (in)]]</f>
        <v>9.7799999999999994</v>
      </c>
      <c r="X140" s="190">
        <f>(Table_03[[#This Row],[Static Parameters Moment of Inertia Iy (in4)]]*Table_03[[#This Row],[ho]]^2)/4</f>
        <v>86.083559999999991</v>
      </c>
      <c r="Y140" s="190">
        <f>SQRT((SQRT(Table_03[[#This Row],[Static Parameters Moment of Inertia Iy (in4)]]*Table_03[[#This Row],[Cw*]])/Table_03[[#This Row],[Static Parameters Elastic Section Modulus Sx (in3)2]]))</f>
        <v>1.0424330514074593</v>
      </c>
      <c r="Z140" s="190">
        <f>(2*Table_03[[#This Row],[Width w (in)]]*Table_03[[#This Row],[Flange Thickness tf (in)]]^3/3)+((Table_03[[#This Row],[Depth h (in)]]-Table_03[[#This Row],[Flange Thickness tf (in)]]*2)*Table_03[[#This Row],[Web Thickness tw (in)]]^3)/3</f>
        <v>0.13961718000000001</v>
      </c>
      <c r="AA140" s="190">
        <f>Table_03[[#This Row],[Width w (in)]]*0.5/Table_03[[#This Row],[Flange Thickness tf (in)]]</f>
        <v>6.0757575757575752</v>
      </c>
      <c r="AB140" s="190">
        <f>0.38*SQRT($B$4/Table_03[[#This Row],[Strength (ksi)]])</f>
        <v>9.1516118798821449</v>
      </c>
      <c r="AC140" s="190">
        <f>1*SQRT($B$4/Table_03[[#This Row],[Strength (ksi)]])</f>
        <v>24.083189157584592</v>
      </c>
      <c r="AD140" s="190">
        <f>(PI()^2*$B$4/(12*$B$5/Table_03[[#This Row],[rts]])^2)*SQRT(1+0.078*(Table_03[[#This Row],[J*]]/(Table_03[[#This Row],[Static Parameters Elastic Section Modulus Sx (in3)2]]*Table_03[[#This Row],[ho]])*$B$4/(12*$B$5/Table_03[[#This Row],[rts]])^2))</f>
        <v>42.552608903830595</v>
      </c>
      <c r="AE140" s="190">
        <f>0.69*$B$4/Table_03[[#This Row],[b/t]]^2</f>
        <v>542.0585692875045</v>
      </c>
      <c r="AF140" s="192">
        <f>Table_03[[#This Row],[Strength (ksi)]]*Table_03[[#This Row],[Static Parameters Plastic Section Modulus Zx (in3)]]</f>
        <v>915.00119999999981</v>
      </c>
      <c r="AG140" s="190">
        <f>Table_03[[#This Row],[Mp (k-in)]]-(Table_03[[#This Row],[Mp (k-in)]]-0.7*Table_03[[#This Row],[Strength (ksi)]]*Table_03[[#This Row],[Static Parameters Elastic Section Modulus Sx (in3)2]])*((Table_03[[#This Row],[b/t]]-Table_03[[#This Row],[λpf]])/(Table_03[[#This Row],[λrf]]-Table_03[[#This Row],[λpf]]))</f>
        <v>986.68826754503141</v>
      </c>
      <c r="AH140" s="193">
        <f>0.9*$B$4*Table_03[[#This Row],[kc]]*Table_03[[#This Row],[Static Parameters Elastic Section Modulus Sx (in3)2]]/Table_03[[#This Row],[b/t]]^2</f>
        <v>7059.0243844893002</v>
      </c>
      <c r="AI140" s="194" t="str">
        <f>IF(Table_03[[#This Row],[b/t]]&lt;Table_03[[#This Row],[λpf]],"Compact",IF(AND(Table_03[[#This Row],[b/t]]&gt;Table_03[[#This Row],[λpf]],Table_03[[#This Row],[λrf]]&gt;Table_03[[#This Row],[b/t]]),"Non-Compact","Slender"))</f>
        <v>Compact</v>
      </c>
      <c r="AJ140" s="195">
        <f>IF(Table_03[[#This Row],[Controlling LBx]]="Compact",Table_03[[#This Row],[Mp (k-in)]],IF(Table_03[[#This Row],[Controlling LBx]]="Non-Compact",Table_03[[#This Row],[Mnlb,Non-Compact (k-in)]],IF(Table_03[[#This Row],[Controlling LBx]]="Slender",Table_03[[#This Row],[Mnlb,slender (k-in)]],"ERROR")))</f>
        <v>915.00119999999981</v>
      </c>
      <c r="AK140" s="192">
        <f>Table_03[[#This Row],[Mp (k-in)]]-(Table_03[[#This Row],[Mp (k-in)]]-0.7*Table_03[[#This Row],[Strength (ksi)]]*Table_03[[#This Row],[Static Parameters Elastic Section Modulus Sx (in3)2]])*(($B$5-Table_03[[#This Row],[Lp (ft)]])/(Table_03[[#This Row],[Lr]]-Table_03[[#This Row],[Lp (ft)]]))</f>
        <v>676.94843588503818</v>
      </c>
      <c r="AL140" s="196">
        <f>Table_03[[#This Row],[Fcrx]]*Table_03[[#This Row],[Static Parameters Elastic Section Modulus Sx (in3)2]]</f>
        <v>689.35226424205564</v>
      </c>
      <c r="AM140" s="197" t="str">
        <f>IF($B$5&lt;Table_03[[#This Row],[Lp (ft)]],"Yielding Controls",IF(AND($B$5&gt;Table_03[[#This Row],[Lp (ft)]],Table_03[[#This Row],[Lr]]&gt;$B$5),"Mltb,p Controls","Mltb,r Controls"))</f>
        <v>Mltb,p Controls</v>
      </c>
      <c r="AN140" s="198">
        <f>IF(Table_03[[#This Row],[Controlling LTB]]="Yielding Controls",Table_03[[#This Row],[Mp (k-in)]],IF(Table_03[[#This Row],[Controlling LTB]]="Mltb,p Controls",Table_03[[#This Row],[Mnltbp (k-in)]],IF(Table_03[[#This Row],[Controlling LTB]]="Mltb,r Controls",Table_03[[#This Row],[Mnltbr (k-in)]],"ERROR")))</f>
        <v>676.94843588503818</v>
      </c>
      <c r="AO140" s="199">
        <f>MIN(Table_03[[#This Row],[Strength (ksi)]]*Table_03[[#This Row],[Static Parameters Plastic Section Modulus Zy (in3)]],1.6*Table_03[[#This Row],[Strength (ksi)]]*Table_03[[#This Row],[Static Parameters Elastic Section Modulus Sy (in3)3]])</f>
        <v>139.46482499999999</v>
      </c>
      <c r="AP140" s="169">
        <f>MIN(Table_03[[#This Row],[Mny (k-in)]],Table_03[[#This Row],[Mny (k-in)]]-(Table_03[[#This Row],[Mny (k-in)]]-0.7*Table_03[[#This Row],[Static Parameters Elastic Section Modulus Sy (in3)3]]*Table_03[[#This Row],[Strength (ksi)]])*((Table_03[[#This Row],[b/t]]-Table_03[[#This Row],[λpf]])/(Table_03[[#This Row],[λrf]]-Table_03[[#This Row],[λpf]])))</f>
        <v>139.46482499999999</v>
      </c>
      <c r="AQ140" s="196">
        <f>MIN(Table_03[[#This Row],[Mny (k-in)]],Table_03[[#This Row],[Fcry]]*Table_03[[#This Row],[Static Parameters Elastic Section Modulus Sy (in3)3]])</f>
        <v>139.46482499999999</v>
      </c>
      <c r="AR140" s="197" t="str">
        <f>IF(Table_03[[#This Row],[b/t]]&lt;Table_03[[#This Row],[λpf]],"Compact",IF(AND(Table_03[[#This Row],[b/t]]&gt;Table_03[[#This Row],[λpf]],Table_03[[#This Row],[λrf]]&gt;Table_03[[#This Row],[b/t]]),"Non-Compact","Slender"))</f>
        <v>Compact</v>
      </c>
      <c r="AS140" s="198">
        <f>IF(Table_03[[#This Row],[Controlling Lby]]="Compact",Table_03[[#This Row],[Mny (k-in)]],IF(Table_03[[#This Row],[Controlling Lby]]="Non-Compact",Table_03[[#This Row],[Mlby,Non-Compact (k-in)]],IF(Table_03[[#This Row],[Controlling Lby]]="Slender",Table_03[[#This Row],[Mlby,Slender (k-in)]],"ERROR")))</f>
        <v>139.46482499999999</v>
      </c>
      <c r="AT140" s="199">
        <f>MIN(Table_03[[#This Row],[LBx]],Table_03[[#This Row],[LTB]],Table_03[[#This Row],[Mp (k-in)]])</f>
        <v>676.94843588503818</v>
      </c>
      <c r="AU140" s="169">
        <f>Table_03[[#This Row],[Mp (k-in)]]</f>
        <v>915.00119999999981</v>
      </c>
      <c r="AV140" s="169">
        <f>MIN(Table_03[[#This Row],[LBy]],Table_03[[#This Row],[Mny (k-in)]])</f>
        <v>139.46482499999999</v>
      </c>
      <c r="AW140" s="200">
        <f>Table_03[[#This Row],[Mny (k-in)]]</f>
        <v>139.46482499999999</v>
      </c>
      <c r="AX140" s="165">
        <f>SQRT(((Table_03[[#This Row],[Sectional Area (in2)]]-(Table_03[[#This Row],[Flange Thickness tf (in)]]*Table_03[[#This Row],[Width w (in)]]*2+Table_03[[#This Row],[Web Thickness tw (in)]]*((Table_03[[#This Row],[Depth h (in)]]-2*Table_03[[#This Row],[Flange Thickness tf (in)]]))))/4)/(1-PI()/4))</f>
        <v>0.3154149124899599</v>
      </c>
      <c r="AY140" s="165">
        <f>IF(4/SQRT((Table_03[[#This Row],[Depth h (in)]]-Table_03[[#This Row],[Flange Thickness tf (in)]]*2)/Table_03[[#This Row],[Web Thickness tw (in)]])&lt;0.35,0.35,IF(4/SQRT(Table_03[[#This Row],[Depth h (in)]]/Table_03[[#This Row],[Web Thickness tw (in)]])&gt;0.76,0.76,4/SQRT(Table_03[[#This Row],[Depth h (in)]]/Table_03[[#This Row],[Web Thickness tw (in)]])))</f>
        <v>0.61629697261707628</v>
      </c>
      <c r="AZ140" s="165"/>
    </row>
    <row r="141" spans="1:52" ht="14.4" thickBot="1" x14ac:dyDescent="0.35">
      <c r="A141" s="201" t="s">
        <v>233</v>
      </c>
      <c r="B141" s="202">
        <v>10.17</v>
      </c>
      <c r="C141" s="202">
        <v>5.75</v>
      </c>
      <c r="D141" s="202">
        <v>0.24</v>
      </c>
      <c r="E141" s="202">
        <v>0.36</v>
      </c>
      <c r="F141" s="203">
        <v>6.5</v>
      </c>
      <c r="G141" s="204">
        <v>22</v>
      </c>
      <c r="H141" s="203">
        <v>118</v>
      </c>
      <c r="I141" s="203">
        <v>11.4</v>
      </c>
      <c r="J141" s="203">
        <f>Table_03[[#This Row],[Width w (in)]]*Table_03[[#This Row],[Flange Thickness tf (in)]]*(Table_03[[#This Row],[Depth h (in)]]-Table_03[[#This Row],[Flange Thickness tf (in)]])+0.25*Table_03[[#This Row],[Web Thickness tw (in)]]*(Table_03[[#This Row],[Depth h (in)]]-2*Table_03[[#This Row],[Flange Thickness tf (in)]])^2</f>
        <v>25.664849999999998</v>
      </c>
      <c r="K141" s="203">
        <f>(Table_03[[#This Row],[Width w (in)]]^2*Table_03[[#This Row],[Flange Thickness tf (in)]])/2+0.25*Table_03[[#This Row],[Web Thickness tw (in)]]^2*(Table_03[[#This Row],[Depth h (in)]]-2*Table_03[[#This Row],[Flange Thickness tf (in)]])</f>
        <v>6.0873299999999997</v>
      </c>
      <c r="L141" s="203">
        <v>23.2</v>
      </c>
      <c r="M141" s="203">
        <v>4</v>
      </c>
      <c r="N141" s="205">
        <v>50</v>
      </c>
      <c r="O141" s="206">
        <f>SQRT(Table_03[[#This Row],[Static Parameters Moment of Inertia Ix (in4)]]/Table_03[[#This Row],[Sectional Area (in2)]])</f>
        <v>4.2607330535773009</v>
      </c>
      <c r="P141" s="203">
        <f>SQRT(Table_03[[#This Row],[Static Parameters Moment of Inertia Iy (in4)]]/Table_03[[#This Row],[Sectional Area (in2)]])</f>
        <v>1.3243285671789133</v>
      </c>
      <c r="Q141" s="203">
        <f>($B$6*$B$5*12)/Table_03[[#This Row],[ry (in)2]]</f>
        <v>135.57813706494127</v>
      </c>
      <c r="R141" s="203">
        <f>(PI()^2*$B$4)/(Table_03[[#This Row],[KL/ry]]^2)</f>
        <v>15.571068636540005</v>
      </c>
      <c r="S141" s="203">
        <f>IF(Table_03[[#This Row],[Strength (ksi)]]/Table_03[[#This Row],[Fe,y]]&lt;2.25,(0.658^(Table_03[[#This Row],[Strength (ksi)]]/Table_03[[#This Row],[Fe,y]])*Table_03[[#This Row],[Strength (ksi)]]),0.877*Table_03[[#This Row],[Fe,y]])</f>
        <v>13.655827194245585</v>
      </c>
      <c r="T141" s="203">
        <f>Table_03[[#This Row],[Fcr,y]]*Table_03[[#This Row],[Sectional Area (in2)]]</f>
        <v>88.762876762596306</v>
      </c>
      <c r="U141" s="203">
        <f>1.76*Table_03[[#This Row],[ry (in)2]]*SQRT($B$4/Table_03[[#This Row],[Strength (ksi)]])/12</f>
        <v>4.6777947905572024</v>
      </c>
      <c r="V14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13.649142070844457</v>
      </c>
      <c r="W141" s="203">
        <f>Table_03[[#This Row],[Depth h (in)]]-Table_03[[#This Row],[Flange Thickness tf (in)]]</f>
        <v>9.81</v>
      </c>
      <c r="X141" s="203">
        <f>(Table_03[[#This Row],[Static Parameters Moment of Inertia Iy (in4)]]*Table_03[[#This Row],[ho]]^2)/4</f>
        <v>274.27288500000003</v>
      </c>
      <c r="Y141" s="203">
        <f>SQRT((SQRT(Table_03[[#This Row],[Static Parameters Moment of Inertia Iy (in4)]]*Table_03[[#This Row],[Cw*]])/Table_03[[#This Row],[Static Parameters Elastic Section Modulus Sx (in3)2]]))</f>
        <v>1.5524868815037953</v>
      </c>
      <c r="Z141" s="203">
        <f>(2*Table_03[[#This Row],[Width w (in)]]*Table_03[[#This Row],[Flange Thickness tf (in)]]^3/3)+((Table_03[[#This Row],[Depth h (in)]]-Table_03[[#This Row],[Flange Thickness tf (in)]]*2)*Table_03[[#This Row],[Web Thickness tw (in)]]^3)/3</f>
        <v>0.22239359999999997</v>
      </c>
      <c r="AA141" s="203">
        <f>Table_03[[#This Row],[Width w (in)]]*0.5/Table_03[[#This Row],[Flange Thickness tf (in)]]</f>
        <v>7.9861111111111116</v>
      </c>
      <c r="AB141" s="203">
        <f>0.38*SQRT($B$4/Table_03[[#This Row],[Strength (ksi)]])</f>
        <v>9.1516118798821449</v>
      </c>
      <c r="AC141" s="203">
        <f>1*SQRT($B$4/Table_03[[#This Row],[Strength (ksi)]])</f>
        <v>24.083189157584592</v>
      </c>
      <c r="AD141" s="203">
        <f>(PI()^2*$B$4/(12*$B$5/Table_03[[#This Row],[rts]])^2)*SQRT(1+0.078*(Table_03[[#This Row],[J*]]/(Table_03[[#This Row],[Static Parameters Elastic Section Modulus Sx (in3)2]]*Table_03[[#This Row],[ho]])*$B$4/(12*$B$5/Table_03[[#This Row],[rts]])^2))</f>
        <v>94.401649197983033</v>
      </c>
      <c r="AE141" s="203">
        <f>0.69*$B$4/Table_03[[#This Row],[b/t]]^2</f>
        <v>313.74469565217385</v>
      </c>
      <c r="AF141" s="207">
        <f>Table_03[[#This Row],[Strength (ksi)]]*Table_03[[#This Row],[Static Parameters Plastic Section Modulus Zx (in3)]]</f>
        <v>1283.2424999999998</v>
      </c>
      <c r="AG141" s="203">
        <f>Table_03[[#This Row],[Mp (k-in)]]-(Table_03[[#This Row],[Mp (k-in)]]-0.7*Table_03[[#This Row],[Strength (ksi)]]*Table_03[[#This Row],[Static Parameters Elastic Section Modulus Sx (in3)2]])*((Table_03[[#This Row],[b/t]]-Table_03[[#This Row],[λpf]])/(Table_03[[#This Row],[λrf]]-Table_03[[#This Row],[λpf]]))</f>
        <v>1320.0258542172239</v>
      </c>
      <c r="AH141" s="208">
        <f>0.9*$B$4*Table_03[[#This Row],[kc]]*Table_03[[#This Row],[Static Parameters Elastic Section Modulus Sx (in3)2]]/Table_03[[#This Row],[b/t]]^2</f>
        <v>5833.9530730234328</v>
      </c>
      <c r="AI141" s="209" t="str">
        <f>IF(Table_03[[#This Row],[b/t]]&lt;Table_03[[#This Row],[λpf]],"Compact",IF(AND(Table_03[[#This Row],[b/t]]&gt;Table_03[[#This Row],[λpf]],Table_03[[#This Row],[λrf]]&gt;Table_03[[#This Row],[b/t]]),"Non-Compact","Slender"))</f>
        <v>Compact</v>
      </c>
      <c r="AJ141" s="210">
        <f>IF(Table_03[[#This Row],[Controlling LBx]]="Compact",Table_03[[#This Row],[Mp (k-in)]],IF(Table_03[[#This Row],[Controlling LBx]]="Non-Compact",Table_03[[#This Row],[Mnlb,Non-Compact (k-in)]],IF(Table_03[[#This Row],[Controlling LBx]]="Slender",Table_03[[#This Row],[Mnlb,slender (k-in)]],"ERROR")))</f>
        <v>1283.2424999999998</v>
      </c>
      <c r="AK141" s="207">
        <f>Table_03[[#This Row],[Mp (k-in)]]-(Table_03[[#This Row],[Mp (k-in)]]-0.7*Table_03[[#This Row],[Strength (ksi)]]*Table_03[[#This Row],[Static Parameters Elastic Section Modulus Sx (in3)2]])*(($B$5-Table_03[[#This Row],[Lp (ft)]])/(Table_03[[#This Row],[Lr]]-Table_03[[#This Row],[Lp (ft)]]))</f>
        <v>1154.696913157672</v>
      </c>
      <c r="AL141" s="211">
        <f>Table_03[[#This Row],[Fcrx]]*Table_03[[#This Row],[Static Parameters Elastic Section Modulus Sx (in3)2]]</f>
        <v>2190.1182613932065</v>
      </c>
      <c r="AM141" s="212" t="str">
        <f>IF($B$5&lt;Table_03[[#This Row],[Lp (ft)]],"Yielding Controls",IF(AND($B$5&gt;Table_03[[#This Row],[Lp (ft)]],Table_03[[#This Row],[Lr]]&gt;$B$5),"Mltb,p Controls","Mltb,r Controls"))</f>
        <v>Mltb,p Controls</v>
      </c>
      <c r="AN141" s="213">
        <f>IF(Table_03[[#This Row],[Controlling LTB]]="Yielding Controls",Table_03[[#This Row],[Mp (k-in)]],IF(Table_03[[#This Row],[Controlling LTB]]="Mltb,p Controls",Table_03[[#This Row],[Mnltbp (k-in)]],IF(Table_03[[#This Row],[Controlling LTB]]="Mltb,r Controls",Table_03[[#This Row],[Mnltbr (k-in)]],"ERROR")))</f>
        <v>1154.696913157672</v>
      </c>
      <c r="AO141" s="214">
        <f>MIN(Table_03[[#This Row],[Strength (ksi)]]*Table_03[[#This Row],[Static Parameters Plastic Section Modulus Zy (in3)]],1.6*Table_03[[#This Row],[Strength (ksi)]]*Table_03[[#This Row],[Static Parameters Elastic Section Modulus Sy (in3)3]])</f>
        <v>304.36649999999997</v>
      </c>
      <c r="AP141" s="206">
        <f>MIN(Table_03[[#This Row],[Mny (k-in)]],Table_03[[#This Row],[Mny (k-in)]]-(Table_03[[#This Row],[Mny (k-in)]]-0.7*Table_03[[#This Row],[Static Parameters Elastic Section Modulus Sy (in3)3]]*Table_03[[#This Row],[Strength (ksi)]])*((Table_03[[#This Row],[b/t]]-Table_03[[#This Row],[λpf]])/(Table_03[[#This Row],[λrf]]-Table_03[[#This Row],[λpf]])))</f>
        <v>304.36649999999997</v>
      </c>
      <c r="AQ141" s="211">
        <f>MIN(Table_03[[#This Row],[Mny (k-in)]],Table_03[[#This Row],[Fcry]]*Table_03[[#This Row],[Static Parameters Elastic Section Modulus Sy (in3)3]])</f>
        <v>304.36649999999997</v>
      </c>
      <c r="AR141" s="212" t="str">
        <f>IF(Table_03[[#This Row],[b/t]]&lt;Table_03[[#This Row],[λpf]],"Compact",IF(AND(Table_03[[#This Row],[b/t]]&gt;Table_03[[#This Row],[λpf]],Table_03[[#This Row],[λrf]]&gt;Table_03[[#This Row],[b/t]]),"Non-Compact","Slender"))</f>
        <v>Compact</v>
      </c>
      <c r="AS141" s="213">
        <f>IF(Table_03[[#This Row],[Controlling Lby]]="Compact",Table_03[[#This Row],[Mny (k-in)]],IF(Table_03[[#This Row],[Controlling Lby]]="Non-Compact",Table_03[[#This Row],[Mlby,Non-Compact (k-in)]],IF(Table_03[[#This Row],[Controlling Lby]]="Slender",Table_03[[#This Row],[Mlby,Slender (k-in)]],"ERROR")))</f>
        <v>304.36649999999997</v>
      </c>
      <c r="AT141" s="214">
        <f>MIN(Table_03[[#This Row],[LBx]],Table_03[[#This Row],[LTB]],Table_03[[#This Row],[Mp (k-in)]])</f>
        <v>1154.696913157672</v>
      </c>
      <c r="AU141" s="206">
        <f>Table_03[[#This Row],[Mp (k-in)]]</f>
        <v>1283.2424999999998</v>
      </c>
      <c r="AV141" s="206">
        <f>MIN(Table_03[[#This Row],[LBy]],Table_03[[#This Row],[Mny (k-in)]])</f>
        <v>304.36649999999997</v>
      </c>
      <c r="AW141" s="215">
        <f>Table_03[[#This Row],[Mny (k-in)]]</f>
        <v>304.36649999999997</v>
      </c>
      <c r="AX141" s="165">
        <f>SQRT(((Table_03[[#This Row],[Sectional Area (in2)]]-(Table_03[[#This Row],[Flange Thickness tf (in)]]*Table_03[[#This Row],[Width w (in)]]*2+Table_03[[#This Row],[Web Thickness tw (in)]]*((Table_03[[#This Row],[Depth h (in)]]-2*Table_03[[#This Row],[Flange Thickness tf (in)]]))))/4)/(1-PI()/4))</f>
        <v>0.32737627346142056</v>
      </c>
      <c r="AY141" s="165">
        <f>IF(4/SQRT((Table_03[[#This Row],[Depth h (in)]]-Table_03[[#This Row],[Flange Thickness tf (in)]]*2)/Table_03[[#This Row],[Web Thickness tw (in)]])&lt;0.35,0.35,IF(4/SQRT(Table_03[[#This Row],[Depth h (in)]]/Table_03[[#This Row],[Web Thickness tw (in)]])&gt;0.76,0.76,4/SQRT(Table_03[[#This Row],[Depth h (in)]]/Table_03[[#This Row],[Web Thickness tw (in)]])))</f>
        <v>0.61447629811405491</v>
      </c>
      <c r="AZ141" s="165"/>
    </row>
    <row r="142" spans="1:52" x14ac:dyDescent="0.3">
      <c r="A142" s="179" t="s">
        <v>234</v>
      </c>
      <c r="B142" s="180">
        <v>10.220000000000001</v>
      </c>
      <c r="C142" s="180">
        <v>10.08</v>
      </c>
      <c r="D142" s="180">
        <v>0.42</v>
      </c>
      <c r="E142" s="180">
        <v>0.68</v>
      </c>
      <c r="F142" s="181">
        <v>17.600000000000001</v>
      </c>
      <c r="G142" s="180">
        <v>60</v>
      </c>
      <c r="H142" s="180">
        <v>341</v>
      </c>
      <c r="I142" s="180">
        <v>116</v>
      </c>
      <c r="J142" s="181">
        <f>Table_03[[#This Row],[Width w (in)]]*Table_03[[#This Row],[Flange Thickness tf (in)]]*(Table_03[[#This Row],[Depth h (in)]]-Table_03[[#This Row],[Flange Thickness tf (in)]])+0.25*Table_03[[#This Row],[Web Thickness tw (in)]]*(Table_03[[#This Row],[Depth h (in)]]-2*Table_03[[#This Row],[Flange Thickness tf (in)]])^2</f>
        <v>73.633434000000008</v>
      </c>
      <c r="K142" s="181">
        <f>(Table_03[[#This Row],[Width w (in)]]^2*Table_03[[#This Row],[Flange Thickness tf (in)]])/2+0.25*Table_03[[#This Row],[Web Thickness tw (in)]]^2*(Table_03[[#This Row],[Depth h (in)]]-2*Table_03[[#This Row],[Flange Thickness tf (in)]])</f>
        <v>34.936902000000003</v>
      </c>
      <c r="L142" s="181">
        <v>66.7</v>
      </c>
      <c r="M142" s="181">
        <v>23</v>
      </c>
      <c r="N142" s="182">
        <v>50</v>
      </c>
      <c r="O142" s="181">
        <f>SQRT(Table_03[[#This Row],[Static Parameters Moment of Inertia Ix (in4)]]/Table_03[[#This Row],[Sectional Area (in2)]])</f>
        <v>4.4017042154147523</v>
      </c>
      <c r="P142" s="181">
        <f>SQRT(Table_03[[#This Row],[Static Parameters Moment of Inertia Iy (in4)]]/Table_03[[#This Row],[Sectional Area (in2)]])</f>
        <v>2.5672765902623524</v>
      </c>
      <c r="Q142" s="181">
        <f>($B$6*$B$5*12)/Table_03[[#This Row],[ry (in)2]]</f>
        <v>69.937925925484961</v>
      </c>
      <c r="R142" s="181">
        <f>(PI()^2*$B$4)/(Table_03[[#This Row],[KL/ry]]^2)</f>
        <v>58.515678588273339</v>
      </c>
      <c r="S142" s="181">
        <f>IF(Table_03[[#This Row],[Strength (ksi)]]/Table_03[[#This Row],[Fe,y]]&lt;2.25,(0.658^(Table_03[[#This Row],[Strength (ksi)]]/Table_03[[#This Row],[Fe,y]])*Table_03[[#This Row],[Strength (ksi)]]),0.877*Table_03[[#This Row],[Fe,y]])</f>
        <v>34.966257202257673</v>
      </c>
      <c r="T142" s="181">
        <f>Table_03[[#This Row],[Fcr,y]]*Table_03[[#This Row],[Sectional Area (in2)]]</f>
        <v>615.40612675973512</v>
      </c>
      <c r="U142" s="181">
        <f>1.76*Table_03[[#This Row],[ry (in)2]]*SQRT($B$4/Table_03[[#This Row],[Strength (ksi)]])/12</f>
        <v>9.0681371356586293</v>
      </c>
      <c r="V14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35.7301918154132</v>
      </c>
      <c r="W142" s="181">
        <f>Table_03[[#This Row],[Depth h (in)]]-Table_03[[#This Row],[Flange Thickness tf (in)]]</f>
        <v>9.5400000000000009</v>
      </c>
      <c r="X142" s="181">
        <f>(Table_03[[#This Row],[Static Parameters Moment of Inertia Iy (in4)]]*Table_03[[#This Row],[ho]]^2)/4</f>
        <v>2639.3364000000006</v>
      </c>
      <c r="Y142" s="181">
        <f>SQRT((SQRT(Table_03[[#This Row],[Static Parameters Moment of Inertia Iy (in4)]]*Table_03[[#This Row],[Cw*]])/Table_03[[#This Row],[Static Parameters Elastic Section Modulus Sx (in3)2]]))</f>
        <v>2.8802173831002835</v>
      </c>
      <c r="Z142" s="181">
        <f>(2*Table_03[[#This Row],[Width w (in)]]*Table_03[[#This Row],[Flange Thickness tf (in)]]^3/3)+((Table_03[[#This Row],[Depth h (in)]]-Table_03[[#This Row],[Flange Thickness tf (in)]]*2)*Table_03[[#This Row],[Web Thickness tw (in)]]^3)/3</f>
        <v>2.3317896000000009</v>
      </c>
      <c r="AA142" s="181">
        <f>Table_03[[#This Row],[Width w (in)]]*0.5/Table_03[[#This Row],[Flange Thickness tf (in)]]</f>
        <v>7.4117647058823524</v>
      </c>
      <c r="AB142" s="181">
        <f>0.38*SQRT($B$4/Table_03[[#This Row],[Strength (ksi)]])</f>
        <v>9.1516118798821449</v>
      </c>
      <c r="AC142" s="181">
        <f>1*SQRT($B$4/Table_03[[#This Row],[Strength (ksi)]])</f>
        <v>24.083189157584592</v>
      </c>
      <c r="AD142" s="181">
        <f>(PI()^2*$B$4/(12*$B$5/Table_03[[#This Row],[rts]])^2)*SQRT(1+0.078*(Table_03[[#This Row],[J*]]/(Table_03[[#This Row],[Static Parameters Elastic Section Modulus Sx (in3)2]]*Table_03[[#This Row],[ho]])*$B$4/(12*$B$5/Table_03[[#This Row],[rts]])^2))</f>
        <v>326.32405375662074</v>
      </c>
      <c r="AE142" s="181">
        <f>0.69*$B$4/Table_03[[#This Row],[b/t]]^2</f>
        <v>364.25359032501893</v>
      </c>
      <c r="AF142" s="183">
        <f>Table_03[[#This Row],[Strength (ksi)]]*Table_03[[#This Row],[Static Parameters Plastic Section Modulus Zx (in3)]]</f>
        <v>3681.6717000000003</v>
      </c>
      <c r="AG142" s="181">
        <f>Table_03[[#This Row],[Mp (k-in)]]-(Table_03[[#This Row],[Mp (k-in)]]-0.7*Table_03[[#This Row],[Strength (ksi)]]*Table_03[[#This Row],[Static Parameters Elastic Section Modulus Sx (in3)2]])*((Table_03[[#This Row],[b/t]]-Table_03[[#This Row],[λpf]])/(Table_03[[#This Row],[λrf]]-Table_03[[#This Row],[λpf]]))</f>
        <v>3838.6459319612572</v>
      </c>
      <c r="AH142" s="184">
        <f>0.9*$B$4*Table_03[[#This Row],[kc]]*Table_03[[#This Row],[Static Parameters Elastic Section Modulus Sx (in3)2]]/Table_03[[#This Row],[b/t]]^2</f>
        <v>24084.447392290251</v>
      </c>
      <c r="AI142" s="185" t="str">
        <f>IF(Table_03[[#This Row],[b/t]]&lt;Table_03[[#This Row],[λpf]],"Compact",IF(AND(Table_03[[#This Row],[b/t]]&gt;Table_03[[#This Row],[λpf]],Table_03[[#This Row],[λrf]]&gt;Table_03[[#This Row],[b/t]]),"Non-Compact","Slender"))</f>
        <v>Compact</v>
      </c>
      <c r="AJ142" s="186">
        <f>IF(Table_03[[#This Row],[Controlling LBx]]="Compact",Table_03[[#This Row],[Mp (k-in)]],IF(Table_03[[#This Row],[Controlling LBx]]="Non-Compact",Table_03[[#This Row],[Mnlb,Non-Compact (k-in)]],IF(Table_03[[#This Row],[Controlling LBx]]="Slender",Table_03[[#This Row],[Mnlb,slender (k-in)]],"ERROR")))</f>
        <v>3681.6717000000003</v>
      </c>
      <c r="AK142" s="183">
        <f>Table_03[[#This Row],[Mp (k-in)]]-(Table_03[[#This Row],[Mp (k-in)]]-0.7*Table_03[[#This Row],[Strength (ksi)]]*Table_03[[#This Row],[Static Parameters Elastic Section Modulus Sx (in3)2]])*(($B$5-Table_03[[#This Row],[Lp (ft)]])/(Table_03[[#This Row],[Lr]]-Table_03[[#This Row],[Lp (ft)]]))</f>
        <v>3779.8539065036166</v>
      </c>
      <c r="AL142" s="184">
        <f>Table_03[[#This Row],[Fcrx]]*Table_03[[#This Row],[Static Parameters Elastic Section Modulus Sx (in3)2]]</f>
        <v>21765.814385566606</v>
      </c>
      <c r="AM142" s="185" t="str">
        <f>IF($B$5&lt;Table_03[[#This Row],[Lp (ft)]],"Yielding Controls",IF(AND($B$5&gt;Table_03[[#This Row],[Lp (ft)]],Table_03[[#This Row],[Lr]]&gt;$B$5),"Mltb,p Controls","Mltb,r Controls"))</f>
        <v>Yielding Controls</v>
      </c>
      <c r="AN142" s="186">
        <f>IF(Table_03[[#This Row],[Controlling LTB]]="Yielding Controls",Table_03[[#This Row],[Mp (k-in)]],IF(Table_03[[#This Row],[Controlling LTB]]="Mltb,p Controls",Table_03[[#This Row],[Mnltbp (k-in)]],IF(Table_03[[#This Row],[Controlling LTB]]="Mltb,r Controls",Table_03[[#This Row],[Mnltbr (k-in)]],"ERROR")))</f>
        <v>3681.6717000000003</v>
      </c>
      <c r="AO142" s="183">
        <f>MIN(Table_03[[#This Row],[Strength (ksi)]]*Table_03[[#This Row],[Static Parameters Plastic Section Modulus Zy (in3)]],1.6*Table_03[[#This Row],[Strength (ksi)]]*Table_03[[#This Row],[Static Parameters Elastic Section Modulus Sy (in3)3]])</f>
        <v>1746.8451000000002</v>
      </c>
      <c r="AP142" s="181">
        <f>MIN(Table_03[[#This Row],[Mny (k-in)]],Table_03[[#This Row],[Mny (k-in)]]-(Table_03[[#This Row],[Mny (k-in)]]-0.7*Table_03[[#This Row],[Static Parameters Elastic Section Modulus Sy (in3)3]]*Table_03[[#This Row],[Strength (ksi)]])*((Table_03[[#This Row],[b/t]]-Table_03[[#This Row],[λpf]])/(Table_03[[#This Row],[λrf]]-Table_03[[#This Row],[λpf]])))</f>
        <v>1746.8451000000002</v>
      </c>
      <c r="AQ142" s="184">
        <f>MIN(Table_03[[#This Row],[Mny (k-in)]],Table_03[[#This Row],[Fcry]]*Table_03[[#This Row],[Static Parameters Elastic Section Modulus Sy (in3)3]])</f>
        <v>1746.8451000000002</v>
      </c>
      <c r="AR142" s="185" t="str">
        <f>IF(Table_03[[#This Row],[b/t]]&lt;Table_03[[#This Row],[λpf]],"Compact",IF(AND(Table_03[[#This Row],[b/t]]&gt;Table_03[[#This Row],[λpf]],Table_03[[#This Row],[λrf]]&gt;Table_03[[#This Row],[b/t]]),"Non-Compact","Slender"))</f>
        <v>Compact</v>
      </c>
      <c r="AS142" s="186">
        <f>IF(Table_03[[#This Row],[Controlling Lby]]="Compact",Table_03[[#This Row],[Mny (k-in)]],IF(Table_03[[#This Row],[Controlling Lby]]="Non-Compact",Table_03[[#This Row],[Mlby,Non-Compact (k-in)]],IF(Table_03[[#This Row],[Controlling Lby]]="Slender",Table_03[[#This Row],[Mlby,Slender (k-in)]],"ERROR")))</f>
        <v>1746.8451000000002</v>
      </c>
      <c r="AT142" s="183">
        <f>MIN(Table_03[[#This Row],[LBx]],Table_03[[#This Row],[LTB]],Table_03[[#This Row],[Mp (k-in)]])</f>
        <v>3681.6717000000003</v>
      </c>
      <c r="AU142" s="181">
        <f>Table_03[[#This Row],[Mp (k-in)]]</f>
        <v>3681.6717000000003</v>
      </c>
      <c r="AV142" s="181">
        <f>MIN(Table_03[[#This Row],[LBy]],Table_03[[#This Row],[Mny (k-in)]])</f>
        <v>1746.8451000000002</v>
      </c>
      <c r="AW142" s="187">
        <f>Table_03[[#This Row],[Mny (k-in)]]</f>
        <v>1746.8451000000002</v>
      </c>
      <c r="AX142" s="165">
        <f>SQRT(((Table_03[[#This Row],[Sectional Area (in2)]]-(Table_03[[#This Row],[Flange Thickness tf (in)]]*Table_03[[#This Row],[Width w (in)]]*2+Table_03[[#This Row],[Web Thickness tw (in)]]*((Table_03[[#This Row],[Depth h (in)]]-2*Table_03[[#This Row],[Flange Thickness tf (in)]]))))/4)/(1-PI()/4))</f>
        <v>0.44501817442530484</v>
      </c>
      <c r="AY142"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42" s="165"/>
    </row>
    <row r="143" spans="1:52" x14ac:dyDescent="0.3">
      <c r="A143" s="188" t="s">
        <v>235</v>
      </c>
      <c r="B143" s="189">
        <v>10.24</v>
      </c>
      <c r="C143" s="189">
        <v>4.0199999999999996</v>
      </c>
      <c r="D143" s="189">
        <v>0.25</v>
      </c>
      <c r="E143" s="189">
        <v>0.39500000000000002</v>
      </c>
      <c r="F143" s="190">
        <v>5.6</v>
      </c>
      <c r="G143" s="189">
        <v>19</v>
      </c>
      <c r="H143" s="190">
        <v>96.3</v>
      </c>
      <c r="I143" s="190">
        <v>4.3</v>
      </c>
      <c r="J143" s="190">
        <f>Table_03[[#This Row],[Width w (in)]]*Table_03[[#This Row],[Flange Thickness tf (in)]]*(Table_03[[#This Row],[Depth h (in)]]-Table_03[[#This Row],[Flange Thickness tf (in)]])+0.25*Table_03[[#This Row],[Web Thickness tw (in)]]*(Table_03[[#This Row],[Depth h (in)]]-2*Table_03[[#This Row],[Flange Thickness tf (in)]])^2</f>
        <v>21.214281749999998</v>
      </c>
      <c r="K143" s="190">
        <f>(Table_03[[#This Row],[Width w (in)]]^2*Table_03[[#This Row],[Flange Thickness tf (in)]])/2+0.25*Table_03[[#This Row],[Web Thickness tw (in)]]^2*(Table_03[[#This Row],[Depth h (in)]]-2*Table_03[[#This Row],[Flange Thickness tf (in)]])</f>
        <v>3.3393352499999991</v>
      </c>
      <c r="L143" s="190">
        <v>18.8</v>
      </c>
      <c r="M143" s="190">
        <v>2.1</v>
      </c>
      <c r="N143" s="191">
        <v>50</v>
      </c>
      <c r="O143" s="169">
        <f>SQRT(Table_03[[#This Row],[Static Parameters Moment of Inertia Ix (in4)]]/Table_03[[#This Row],[Sectional Area (in2)]])</f>
        <v>4.1468576743636349</v>
      </c>
      <c r="P143" s="190">
        <f>SQRT(Table_03[[#This Row],[Static Parameters Moment of Inertia Iy (in4)]]/Table_03[[#This Row],[Sectional Area (in2)]])</f>
        <v>0.87627458188466412</v>
      </c>
      <c r="Q143" s="190">
        <f>($B$6*$B$5*12)/Table_03[[#This Row],[ry (in)2]]</f>
        <v>204.90152711474235</v>
      </c>
      <c r="R143" s="190">
        <f>(PI()^2*$B$4)/(Table_03[[#This Row],[KL/ry]]^2)</f>
        <v>6.8172206828210076</v>
      </c>
      <c r="S143" s="190">
        <f>IF(Table_03[[#This Row],[Strength (ksi)]]/Table_03[[#This Row],[Fe,y]]&lt;2.25,(0.658^(Table_03[[#This Row],[Strength (ksi)]]/Table_03[[#This Row],[Fe,y]])*Table_03[[#This Row],[Strength (ksi)]]),0.877*Table_03[[#This Row],[Fe,y]])</f>
        <v>5.9787025388340238</v>
      </c>
      <c r="T143" s="190">
        <f>Table_03[[#This Row],[Fcr,y]]*Table_03[[#This Row],[Sectional Area (in2)]]</f>
        <v>33.480734217470534</v>
      </c>
      <c r="U143" s="190">
        <f>1.76*Table_03[[#This Row],[ry (in)2]]*SQRT($B$4/Table_03[[#This Row],[Strength (ksi)]])/12</f>
        <v>3.0951780213950517</v>
      </c>
      <c r="V14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9.5872064486027799</v>
      </c>
      <c r="W143" s="190">
        <f>Table_03[[#This Row],[Depth h (in)]]-Table_03[[#This Row],[Flange Thickness tf (in)]]</f>
        <v>9.8450000000000006</v>
      </c>
      <c r="X143" s="190">
        <f>(Table_03[[#This Row],[Static Parameters Moment of Inertia Iy (in4)]]*Table_03[[#This Row],[ho]]^2)/4</f>
        <v>104.19332687500001</v>
      </c>
      <c r="Y143" s="190">
        <f>SQRT((SQRT(Table_03[[#This Row],[Static Parameters Moment of Inertia Iy (in4)]]*Table_03[[#This Row],[Cw*]])/Table_03[[#This Row],[Static Parameters Elastic Section Modulus Sx (in3)2]]))</f>
        <v>1.0610800900246919</v>
      </c>
      <c r="Z143" s="190">
        <f>(2*Table_03[[#This Row],[Width w (in)]]*Table_03[[#This Row],[Flange Thickness tf (in)]]^3/3)+((Table_03[[#This Row],[Depth h (in)]]-Table_03[[#This Row],[Flange Thickness tf (in)]]*2)*Table_03[[#This Row],[Web Thickness tw (in)]]^3)/3</f>
        <v>0.21438681500000004</v>
      </c>
      <c r="AA143" s="190">
        <f>Table_03[[#This Row],[Width w (in)]]*0.5/Table_03[[#This Row],[Flange Thickness tf (in)]]</f>
        <v>5.0886075949367084</v>
      </c>
      <c r="AB143" s="190">
        <f>0.38*SQRT($B$4/Table_03[[#This Row],[Strength (ksi)]])</f>
        <v>9.1516118798821449</v>
      </c>
      <c r="AC143" s="190">
        <f>1*SQRT($B$4/Table_03[[#This Row],[Strength (ksi)]])</f>
        <v>24.083189157584592</v>
      </c>
      <c r="AD143" s="190">
        <f>(PI()^2*$B$4/(12*$B$5/Table_03[[#This Row],[rts]])^2)*SQRT(1+0.078*(Table_03[[#This Row],[J*]]/(Table_03[[#This Row],[Static Parameters Elastic Section Modulus Sx (in3)2]]*Table_03[[#This Row],[ho]])*$B$4/(12*$B$5/Table_03[[#This Row],[rts]])^2))</f>
        <v>44.090949735546488</v>
      </c>
      <c r="AE143" s="190">
        <f>0.69*$B$4/Table_03[[#This Row],[b/t]]^2</f>
        <v>772.76806267171617</v>
      </c>
      <c r="AF143" s="192">
        <f>Table_03[[#This Row],[Strength (ksi)]]*Table_03[[#This Row],[Static Parameters Plastic Section Modulus Zx (in3)]]</f>
        <v>1060.7140875</v>
      </c>
      <c r="AG143" s="190">
        <f>Table_03[[#This Row],[Mp (k-in)]]-(Table_03[[#This Row],[Mp (k-in)]]-0.7*Table_03[[#This Row],[Strength (ksi)]]*Table_03[[#This Row],[Static Parameters Elastic Section Modulus Sx (in3)2]])*((Table_03[[#This Row],[b/t]]-Table_03[[#This Row],[λpf]])/(Table_03[[#This Row],[λrf]]-Table_03[[#This Row],[λpf]]))</f>
        <v>1170.2958840302163</v>
      </c>
      <c r="AH143" s="193">
        <f>0.9*$B$4*Table_03[[#This Row],[kc]]*Table_03[[#This Row],[Static Parameters Elastic Section Modulus Sx (in3)2]]/Table_03[[#This Row],[b/t]]^2</f>
        <v>11843.510525729564</v>
      </c>
      <c r="AI143" s="194" t="str">
        <f>IF(Table_03[[#This Row],[b/t]]&lt;Table_03[[#This Row],[λpf]],"Compact",IF(AND(Table_03[[#This Row],[b/t]]&gt;Table_03[[#This Row],[λpf]],Table_03[[#This Row],[λrf]]&gt;Table_03[[#This Row],[b/t]]),"Non-Compact","Slender"))</f>
        <v>Compact</v>
      </c>
      <c r="AJ143" s="195">
        <f>IF(Table_03[[#This Row],[Controlling LBx]]="Compact",Table_03[[#This Row],[Mp (k-in)]],IF(Table_03[[#This Row],[Controlling LBx]]="Non-Compact",Table_03[[#This Row],[Mnlb,Non-Compact (k-in)]],IF(Table_03[[#This Row],[Controlling LBx]]="Slender",Table_03[[#This Row],[Mnlb,slender (k-in)]],"ERROR")))</f>
        <v>1060.7140875</v>
      </c>
      <c r="AK143" s="192">
        <f>Table_03[[#This Row],[Mp (k-in)]]-(Table_03[[#This Row],[Mp (k-in)]]-0.7*Table_03[[#This Row],[Strength (ksi)]]*Table_03[[#This Row],[Static Parameters Elastic Section Modulus Sx (in3)2]])*(($B$5-Table_03[[#This Row],[Lp (ft)]])/(Table_03[[#This Row],[Lr]]-Table_03[[#This Row],[Lp (ft)]]))</f>
        <v>810.73581043331387</v>
      </c>
      <c r="AL143" s="196">
        <f>Table_03[[#This Row],[Fcrx]]*Table_03[[#This Row],[Static Parameters Elastic Section Modulus Sx (in3)2]]</f>
        <v>828.90985502827402</v>
      </c>
      <c r="AM143" s="197" t="str">
        <f>IF($B$5&lt;Table_03[[#This Row],[Lp (ft)]],"Yielding Controls",IF(AND($B$5&gt;Table_03[[#This Row],[Lp (ft)]],Table_03[[#This Row],[Lr]]&gt;$B$5),"Mltb,p Controls","Mltb,r Controls"))</f>
        <v>Mltb,p Controls</v>
      </c>
      <c r="AN143" s="198">
        <f>IF(Table_03[[#This Row],[Controlling LTB]]="Yielding Controls",Table_03[[#This Row],[Mp (k-in)]],IF(Table_03[[#This Row],[Controlling LTB]]="Mltb,p Controls",Table_03[[#This Row],[Mnltbp (k-in)]],IF(Table_03[[#This Row],[Controlling LTB]]="Mltb,r Controls",Table_03[[#This Row],[Mnltbr (k-in)]],"ERROR")))</f>
        <v>810.73581043331387</v>
      </c>
      <c r="AO143" s="199">
        <f>MIN(Table_03[[#This Row],[Strength (ksi)]]*Table_03[[#This Row],[Static Parameters Plastic Section Modulus Zy (in3)]],1.6*Table_03[[#This Row],[Strength (ksi)]]*Table_03[[#This Row],[Static Parameters Elastic Section Modulus Sy (in3)3]])</f>
        <v>166.96676249999996</v>
      </c>
      <c r="AP143" s="169">
        <f>MIN(Table_03[[#This Row],[Mny (k-in)]],Table_03[[#This Row],[Mny (k-in)]]-(Table_03[[#This Row],[Mny (k-in)]]-0.7*Table_03[[#This Row],[Static Parameters Elastic Section Modulus Sy (in3)3]]*Table_03[[#This Row],[Strength (ksi)]])*((Table_03[[#This Row],[b/t]]-Table_03[[#This Row],[λpf]])/(Table_03[[#This Row],[λrf]]-Table_03[[#This Row],[λpf]])))</f>
        <v>166.96676249999996</v>
      </c>
      <c r="AQ143" s="196">
        <f>MIN(Table_03[[#This Row],[Mny (k-in)]],Table_03[[#This Row],[Fcry]]*Table_03[[#This Row],[Static Parameters Elastic Section Modulus Sy (in3)3]])</f>
        <v>166.96676249999996</v>
      </c>
      <c r="AR143" s="197" t="str">
        <f>IF(Table_03[[#This Row],[b/t]]&lt;Table_03[[#This Row],[λpf]],"Compact",IF(AND(Table_03[[#This Row],[b/t]]&gt;Table_03[[#This Row],[λpf]],Table_03[[#This Row],[λrf]]&gt;Table_03[[#This Row],[b/t]]),"Non-Compact","Slender"))</f>
        <v>Compact</v>
      </c>
      <c r="AS143" s="198">
        <f>IF(Table_03[[#This Row],[Controlling Lby]]="Compact",Table_03[[#This Row],[Mny (k-in)]],IF(Table_03[[#This Row],[Controlling Lby]]="Non-Compact",Table_03[[#This Row],[Mlby,Non-Compact (k-in)]],IF(Table_03[[#This Row],[Controlling Lby]]="Slender",Table_03[[#This Row],[Mlby,Slender (k-in)]],"ERROR")))</f>
        <v>166.96676249999996</v>
      </c>
      <c r="AT143" s="199">
        <f>MIN(Table_03[[#This Row],[LBx]],Table_03[[#This Row],[LTB]],Table_03[[#This Row],[Mp (k-in)]])</f>
        <v>810.73581043331387</v>
      </c>
      <c r="AU143" s="169">
        <f>Table_03[[#This Row],[Mp (k-in)]]</f>
        <v>1060.7140875</v>
      </c>
      <c r="AV143" s="169">
        <f>MIN(Table_03[[#This Row],[LBy]],Table_03[[#This Row],[Mny (k-in)]])</f>
        <v>166.96676249999996</v>
      </c>
      <c r="AW143" s="200">
        <f>Table_03[[#This Row],[Mny (k-in)]]</f>
        <v>166.96676249999996</v>
      </c>
      <c r="AX143" s="165">
        <f>SQRT(((Table_03[[#This Row],[Sectional Area (in2)]]-(Table_03[[#This Row],[Flange Thickness tf (in)]]*Table_03[[#This Row],[Width w (in)]]*2+Table_03[[#This Row],[Web Thickness tw (in)]]*((Table_03[[#This Row],[Depth h (in)]]-2*Table_03[[#This Row],[Flange Thickness tf (in)]]))))/4)/(1-PI()/4))</f>
        <v>0.26809941672926246</v>
      </c>
      <c r="AY143" s="165">
        <f>IF(4/SQRT((Table_03[[#This Row],[Depth h (in)]]-Table_03[[#This Row],[Flange Thickness tf (in)]]*2)/Table_03[[#This Row],[Web Thickness tw (in)]])&lt;0.35,0.35,IF(4/SQRT(Table_03[[#This Row],[Depth h (in)]]/Table_03[[#This Row],[Web Thickness tw (in)]])&gt;0.76,0.76,4/SQRT(Table_03[[#This Row],[Depth h (in)]]/Table_03[[#This Row],[Web Thickness tw (in)]])))</f>
        <v>0.625</v>
      </c>
      <c r="AZ143" s="165"/>
    </row>
    <row r="144" spans="1:52" ht="14.4" thickBot="1" x14ac:dyDescent="0.35">
      <c r="A144" s="201" t="s">
        <v>236</v>
      </c>
      <c r="B144" s="202">
        <v>10.33</v>
      </c>
      <c r="C144" s="202">
        <v>5.77</v>
      </c>
      <c r="D144" s="202">
        <v>0.26</v>
      </c>
      <c r="E144" s="202">
        <v>0.44</v>
      </c>
      <c r="F144" s="203">
        <v>7.6</v>
      </c>
      <c r="G144" s="204">
        <v>26</v>
      </c>
      <c r="H144" s="203">
        <v>144</v>
      </c>
      <c r="I144" s="203">
        <v>14.1</v>
      </c>
      <c r="J144" s="203">
        <f>Table_03[[#This Row],[Width w (in)]]*Table_03[[#This Row],[Flange Thickness tf (in)]]*(Table_03[[#This Row],[Depth h (in)]]-Table_03[[#This Row],[Flange Thickness tf (in)]])+0.25*Table_03[[#This Row],[Web Thickness tw (in)]]*(Table_03[[#This Row],[Depth h (in)]]-2*Table_03[[#This Row],[Flange Thickness tf (in)]])^2</f>
        <v>30.913394499999999</v>
      </c>
      <c r="K144" s="203">
        <f>(Table_03[[#This Row],[Width w (in)]]^2*Table_03[[#This Row],[Flange Thickness tf (in)]])/2+0.25*Table_03[[#This Row],[Web Thickness tw (in)]]^2*(Table_03[[#This Row],[Depth h (in)]]-2*Table_03[[#This Row],[Flange Thickness tf (in)]])</f>
        <v>7.4841429999999987</v>
      </c>
      <c r="L144" s="203">
        <v>27.9</v>
      </c>
      <c r="M144" s="203">
        <v>4.9000000000000004</v>
      </c>
      <c r="N144" s="205">
        <v>50</v>
      </c>
      <c r="O144" s="206">
        <f>SQRT(Table_03[[#This Row],[Static Parameters Moment of Inertia Ix (in4)]]/Table_03[[#This Row],[Sectional Area (in2)]])</f>
        <v>4.35285750066007</v>
      </c>
      <c r="P144" s="203">
        <f>SQRT(Table_03[[#This Row],[Static Parameters Moment of Inertia Iy (in4)]]/Table_03[[#This Row],[Sectional Area (in2)]])</f>
        <v>1.3620804520639509</v>
      </c>
      <c r="Q144" s="203">
        <f>($B$6*$B$5*12)/Table_03[[#This Row],[ry (in)2]]</f>
        <v>131.82040732464017</v>
      </c>
      <c r="R144" s="203">
        <f>(PI()^2*$B$4)/(Table_03[[#This Row],[KL/ry]]^2)</f>
        <v>16.471473228749897</v>
      </c>
      <c r="S144" s="203">
        <f>IF(Table_03[[#This Row],[Strength (ksi)]]/Table_03[[#This Row],[Fe,y]]&lt;2.25,(0.658^(Table_03[[#This Row],[Strength (ksi)]]/Table_03[[#This Row],[Fe,y]])*Table_03[[#This Row],[Strength (ksi)]]),0.877*Table_03[[#This Row],[Fe,y]])</f>
        <v>14.44548202161366</v>
      </c>
      <c r="T144" s="203">
        <f>Table_03[[#This Row],[Fcr,y]]*Table_03[[#This Row],[Sectional Area (in2)]]</f>
        <v>109.78566336426381</v>
      </c>
      <c r="U144" s="203">
        <f>1.76*Table_03[[#This Row],[ry (in)2]]*SQRT($B$4/Table_03[[#This Row],[Strength (ksi)]])/12</f>
        <v>4.811142038985988</v>
      </c>
      <c r="V14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14.776522280428052</v>
      </c>
      <c r="W144" s="203">
        <f>Table_03[[#This Row],[Depth h (in)]]-Table_03[[#This Row],[Flange Thickness tf (in)]]</f>
        <v>9.89</v>
      </c>
      <c r="X144" s="203">
        <f>(Table_03[[#This Row],[Static Parameters Moment of Inertia Iy (in4)]]*Table_03[[#This Row],[ho]]^2)/4</f>
        <v>344.78765250000004</v>
      </c>
      <c r="Y144" s="203">
        <f>SQRT((SQRT(Table_03[[#This Row],[Static Parameters Moment of Inertia Iy (in4)]]*Table_03[[#This Row],[Cw*]])/Table_03[[#This Row],[Static Parameters Elastic Section Modulus Sx (in3)2]]))</f>
        <v>1.5808497782855198</v>
      </c>
      <c r="Z144" s="203">
        <f>(2*Table_03[[#This Row],[Width w (in)]]*Table_03[[#This Row],[Flange Thickness tf (in)]]^3/3)+((Table_03[[#This Row],[Depth h (in)]]-Table_03[[#This Row],[Flange Thickness tf (in)]]*2)*Table_03[[#This Row],[Web Thickness tw (in)]]^3)/3</f>
        <v>0.38303885333333326</v>
      </c>
      <c r="AA144" s="203">
        <f>Table_03[[#This Row],[Width w (in)]]*0.5/Table_03[[#This Row],[Flange Thickness tf (in)]]</f>
        <v>6.5568181818181817</v>
      </c>
      <c r="AB144" s="203">
        <f>0.38*SQRT($B$4/Table_03[[#This Row],[Strength (ksi)]])</f>
        <v>9.1516118798821449</v>
      </c>
      <c r="AC144" s="203">
        <f>1*SQRT($B$4/Table_03[[#This Row],[Strength (ksi)]])</f>
        <v>24.083189157584592</v>
      </c>
      <c r="AD144" s="203">
        <f>(PI()^2*$B$4/(12*$B$5/Table_03[[#This Row],[rts]])^2)*SQRT(1+0.078*(Table_03[[#This Row],[J*]]/(Table_03[[#This Row],[Static Parameters Elastic Section Modulus Sx (in3)2]]*Table_03[[#This Row],[ho]])*$B$4/(12*$B$5/Table_03[[#This Row],[rts]])^2))</f>
        <v>97.899323766824949</v>
      </c>
      <c r="AE144" s="203">
        <f>0.69*$B$4/Table_03[[#This Row],[b/t]]^2</f>
        <v>465.4368949535787</v>
      </c>
      <c r="AF144" s="207">
        <f>Table_03[[#This Row],[Strength (ksi)]]*Table_03[[#This Row],[Static Parameters Plastic Section Modulus Zx (in3)]]</f>
        <v>1545.669725</v>
      </c>
      <c r="AG144" s="203">
        <f>Table_03[[#This Row],[Mp (k-in)]]-(Table_03[[#This Row],[Mp (k-in)]]-0.7*Table_03[[#This Row],[Strength (ksi)]]*Table_03[[#This Row],[Static Parameters Elastic Section Modulus Sx (in3)2]])*((Table_03[[#This Row],[b/t]]-Table_03[[#This Row],[λpf]])/(Table_03[[#This Row],[λrf]]-Table_03[[#This Row],[λpf]]))</f>
        <v>1644.5794374899351</v>
      </c>
      <c r="AH144" s="208">
        <f>0.9*$B$4*Table_03[[#This Row],[kc]]*Table_03[[#This Row],[Static Parameters Elastic Section Modulus Sx (in3)2]]/Table_03[[#This Row],[b/t]]^2</f>
        <v>10748.675037662255</v>
      </c>
      <c r="AI144" s="209" t="str">
        <f>IF(Table_03[[#This Row],[b/t]]&lt;Table_03[[#This Row],[λpf]],"Compact",IF(AND(Table_03[[#This Row],[b/t]]&gt;Table_03[[#This Row],[λpf]],Table_03[[#This Row],[λrf]]&gt;Table_03[[#This Row],[b/t]]),"Non-Compact","Slender"))</f>
        <v>Compact</v>
      </c>
      <c r="AJ144" s="210">
        <f>IF(Table_03[[#This Row],[Controlling LBx]]="Compact",Table_03[[#This Row],[Mp (k-in)]],IF(Table_03[[#This Row],[Controlling LBx]]="Non-Compact",Table_03[[#This Row],[Mnlb,Non-Compact (k-in)]],IF(Table_03[[#This Row],[Controlling LBx]]="Slender",Table_03[[#This Row],[Mnlb,slender (k-in)]],"ERROR")))</f>
        <v>1545.669725</v>
      </c>
      <c r="AK144" s="207">
        <f>Table_03[[#This Row],[Mp (k-in)]]-(Table_03[[#This Row],[Mp (k-in)]]-0.7*Table_03[[#This Row],[Strength (ksi)]]*Table_03[[#This Row],[Static Parameters Elastic Section Modulus Sx (in3)2]])*(($B$5-Table_03[[#This Row],[Lp (ft)]])/(Table_03[[#This Row],[Lr]]-Table_03[[#This Row],[Lp (ft)]]))</f>
        <v>1413.5144165770844</v>
      </c>
      <c r="AL144" s="211">
        <f>Table_03[[#This Row],[Fcrx]]*Table_03[[#This Row],[Static Parameters Elastic Section Modulus Sx (in3)2]]</f>
        <v>2731.3911330944161</v>
      </c>
      <c r="AM144" s="212" t="str">
        <f>IF($B$5&lt;Table_03[[#This Row],[Lp (ft)]],"Yielding Controls",IF(AND($B$5&gt;Table_03[[#This Row],[Lp (ft)]],Table_03[[#This Row],[Lr]]&gt;$B$5),"Mltb,p Controls","Mltb,r Controls"))</f>
        <v>Mltb,p Controls</v>
      </c>
      <c r="AN144" s="213">
        <f>IF(Table_03[[#This Row],[Controlling LTB]]="Yielding Controls",Table_03[[#This Row],[Mp (k-in)]],IF(Table_03[[#This Row],[Controlling LTB]]="Mltb,p Controls",Table_03[[#This Row],[Mnltbp (k-in)]],IF(Table_03[[#This Row],[Controlling LTB]]="Mltb,r Controls",Table_03[[#This Row],[Mnltbr (k-in)]],"ERROR")))</f>
        <v>1413.5144165770844</v>
      </c>
      <c r="AO144" s="214">
        <f>MIN(Table_03[[#This Row],[Strength (ksi)]]*Table_03[[#This Row],[Static Parameters Plastic Section Modulus Zy (in3)]],1.6*Table_03[[#This Row],[Strength (ksi)]]*Table_03[[#This Row],[Static Parameters Elastic Section Modulus Sy (in3)3]])</f>
        <v>374.20714999999996</v>
      </c>
      <c r="AP144" s="206">
        <f>MIN(Table_03[[#This Row],[Mny (k-in)]],Table_03[[#This Row],[Mny (k-in)]]-(Table_03[[#This Row],[Mny (k-in)]]-0.7*Table_03[[#This Row],[Static Parameters Elastic Section Modulus Sy (in3)3]]*Table_03[[#This Row],[Strength (ksi)]])*((Table_03[[#This Row],[b/t]]-Table_03[[#This Row],[λpf]])/(Table_03[[#This Row],[λrf]]-Table_03[[#This Row],[λpf]])))</f>
        <v>374.20714999999996</v>
      </c>
      <c r="AQ144" s="211">
        <f>MIN(Table_03[[#This Row],[Mny (k-in)]],Table_03[[#This Row],[Fcry]]*Table_03[[#This Row],[Static Parameters Elastic Section Modulus Sy (in3)3]])</f>
        <v>374.20714999999996</v>
      </c>
      <c r="AR144" s="212" t="str">
        <f>IF(Table_03[[#This Row],[b/t]]&lt;Table_03[[#This Row],[λpf]],"Compact",IF(AND(Table_03[[#This Row],[b/t]]&gt;Table_03[[#This Row],[λpf]],Table_03[[#This Row],[λrf]]&gt;Table_03[[#This Row],[b/t]]),"Non-Compact","Slender"))</f>
        <v>Compact</v>
      </c>
      <c r="AS144" s="213">
        <f>IF(Table_03[[#This Row],[Controlling Lby]]="Compact",Table_03[[#This Row],[Mny (k-in)]],IF(Table_03[[#This Row],[Controlling Lby]]="Non-Compact",Table_03[[#This Row],[Mlby,Non-Compact (k-in)]],IF(Table_03[[#This Row],[Controlling Lby]]="Slender",Table_03[[#This Row],[Mlby,Slender (k-in)]],"ERROR")))</f>
        <v>374.20714999999996</v>
      </c>
      <c r="AT144" s="214">
        <f>MIN(Table_03[[#This Row],[LBx]],Table_03[[#This Row],[LTB]],Table_03[[#This Row],[Mp (k-in)]])</f>
        <v>1413.5144165770844</v>
      </c>
      <c r="AU144" s="206">
        <f>Table_03[[#This Row],[Mp (k-in)]]</f>
        <v>1545.669725</v>
      </c>
      <c r="AV144" s="206">
        <f>MIN(Table_03[[#This Row],[LBy]],Table_03[[#This Row],[Mny (k-in)]])</f>
        <v>374.20714999999996</v>
      </c>
      <c r="AW144" s="215">
        <f>Table_03[[#This Row],[Mny (k-in)]]</f>
        <v>374.20714999999996</v>
      </c>
      <c r="AX144" s="165">
        <f>SQRT(((Table_03[[#This Row],[Sectional Area (in2)]]-(Table_03[[#This Row],[Flange Thickness tf (in)]]*Table_03[[#This Row],[Width w (in)]]*2+Table_03[[#This Row],[Web Thickness tw (in)]]*((Table_03[[#This Row],[Depth h (in)]]-2*Table_03[[#This Row],[Flange Thickness tf (in)]]))))/4)/(1-PI()/4))</f>
        <v>0.27602102309320953</v>
      </c>
      <c r="AY144" s="165">
        <f>IF(4/SQRT((Table_03[[#This Row],[Depth h (in)]]-Table_03[[#This Row],[Flange Thickness tf (in)]]*2)/Table_03[[#This Row],[Web Thickness tw (in)]])&lt;0.35,0.35,IF(4/SQRT(Table_03[[#This Row],[Depth h (in)]]/Table_03[[#This Row],[Web Thickness tw (in)]])&gt;0.76,0.76,4/SQRT(Table_03[[#This Row],[Depth h (in)]]/Table_03[[#This Row],[Web Thickness tw (in)]])))</f>
        <v>0.63459479338464497</v>
      </c>
      <c r="AZ144" s="165"/>
    </row>
    <row r="145" spans="1:52" x14ac:dyDescent="0.3">
      <c r="A145" s="179" t="s">
        <v>237</v>
      </c>
      <c r="B145" s="180">
        <v>10.4</v>
      </c>
      <c r="C145" s="180">
        <v>10.130000000000001</v>
      </c>
      <c r="D145" s="180">
        <v>0.47</v>
      </c>
      <c r="E145" s="180">
        <v>0.77</v>
      </c>
      <c r="F145" s="181">
        <v>20</v>
      </c>
      <c r="G145" s="180">
        <v>68</v>
      </c>
      <c r="H145" s="180">
        <v>394</v>
      </c>
      <c r="I145" s="180">
        <v>134</v>
      </c>
      <c r="J145" s="181">
        <f>Table_03[[#This Row],[Width w (in)]]*Table_03[[#This Row],[Flange Thickness tf (in)]]*(Table_03[[#This Row],[Depth h (in)]]-Table_03[[#This Row],[Flange Thickness tf (in)]])+0.25*Table_03[[#This Row],[Web Thickness tw (in)]]*(Table_03[[#This Row],[Depth h (in)]]-2*Table_03[[#This Row],[Flange Thickness tf (in)]])^2</f>
        <v>84.338666000000018</v>
      </c>
      <c r="K145" s="181">
        <f>(Table_03[[#This Row],[Width w (in)]]^2*Table_03[[#This Row],[Flange Thickness tf (in)]])/2+0.25*Table_03[[#This Row],[Web Thickness tw (in)]]^2*(Table_03[[#This Row],[Depth h (in)]]-2*Table_03[[#This Row],[Flange Thickness tf (in)]])</f>
        <v>39.996800000000007</v>
      </c>
      <c r="L145" s="181">
        <v>75.7</v>
      </c>
      <c r="M145" s="181">
        <v>26.4</v>
      </c>
      <c r="N145" s="182">
        <v>50</v>
      </c>
      <c r="O145" s="181">
        <f>SQRT(Table_03[[#This Row],[Static Parameters Moment of Inertia Ix (in4)]]/Table_03[[#This Row],[Sectional Area (in2)]])</f>
        <v>4.4384682042344297</v>
      </c>
      <c r="P145" s="181">
        <f>SQRT(Table_03[[#This Row],[Static Parameters Moment of Inertia Iy (in4)]]/Table_03[[#This Row],[Sectional Area (in2)]])</f>
        <v>2.5884358211089569</v>
      </c>
      <c r="Q145" s="181">
        <f>($B$6*$B$5*12)/Table_03[[#This Row],[ry (in)2]]</f>
        <v>69.366216668673616</v>
      </c>
      <c r="R145" s="181">
        <f>(PI()^2*$B$4)/(Table_03[[#This Row],[KL/ry]]^2)</f>
        <v>59.484213958010287</v>
      </c>
      <c r="S145" s="181">
        <f>IF(Table_03[[#This Row],[Strength (ksi)]]/Table_03[[#This Row],[Fe,y]]&lt;2.25,(0.658^(Table_03[[#This Row],[Strength (ksi)]]/Table_03[[#This Row],[Fe,y]])*Table_03[[#This Row],[Strength (ksi)]]),0.877*Table_03[[#This Row],[Fe,y]])</f>
        <v>35.170465539793469</v>
      </c>
      <c r="T145" s="181">
        <f>Table_03[[#This Row],[Fcr,y]]*Table_03[[#This Row],[Sectional Area (in2)]]</f>
        <v>703.40931079586937</v>
      </c>
      <c r="U145" s="181">
        <f>1.76*Table_03[[#This Row],[ry (in)2]]*SQRT($B$4/Table_03[[#This Row],[Strength (ksi)]])/12</f>
        <v>9.1428757936317719</v>
      </c>
      <c r="V14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39.815349375579999</v>
      </c>
      <c r="W145" s="181">
        <f>Table_03[[#This Row],[Depth h (in)]]-Table_03[[#This Row],[Flange Thickness tf (in)]]</f>
        <v>9.6300000000000008</v>
      </c>
      <c r="X145" s="181">
        <f>(Table_03[[#This Row],[Static Parameters Moment of Inertia Iy (in4)]]*Table_03[[#This Row],[ho]]^2)/4</f>
        <v>3106.6861500000005</v>
      </c>
      <c r="Y145" s="181">
        <f>SQRT((SQRT(Table_03[[#This Row],[Static Parameters Moment of Inertia Iy (in4)]]*Table_03[[#This Row],[Cw*]])/Table_03[[#This Row],[Static Parameters Elastic Section Modulus Sx (in3)2]]))</f>
        <v>2.9194605100513025</v>
      </c>
      <c r="Z145" s="181">
        <f>(2*Table_03[[#This Row],[Width w (in)]]*Table_03[[#This Row],[Flange Thickness tf (in)]]^3/3)+((Table_03[[#This Row],[Depth h (in)]]-Table_03[[#This Row],[Flange Thickness tf (in)]]*2)*Table_03[[#This Row],[Web Thickness tw (in)]]^3)/3</f>
        <v>3.3897434533333337</v>
      </c>
      <c r="AA145" s="181">
        <f>Table_03[[#This Row],[Width w (in)]]*0.5/Table_03[[#This Row],[Flange Thickness tf (in)]]</f>
        <v>6.5779220779220786</v>
      </c>
      <c r="AB145" s="181">
        <f>0.38*SQRT($B$4/Table_03[[#This Row],[Strength (ksi)]])</f>
        <v>9.1516118798821449</v>
      </c>
      <c r="AC145" s="181">
        <f>1*SQRT($B$4/Table_03[[#This Row],[Strength (ksi)]])</f>
        <v>24.083189157584592</v>
      </c>
      <c r="AD145" s="181">
        <f>(PI()^2*$B$4/(12*$B$5/Table_03[[#This Row],[rts]])^2)*SQRT(1+0.078*(Table_03[[#This Row],[J*]]/(Table_03[[#This Row],[Static Parameters Elastic Section Modulus Sx (in3)2]]*Table_03[[#This Row],[ho]])*$B$4/(12*$B$5/Table_03[[#This Row],[rts]])^2))</f>
        <v>335.75113347033704</v>
      </c>
      <c r="AE145" s="181">
        <f>0.69*$B$4/Table_03[[#This Row],[b/t]]^2</f>
        <v>462.45517063953395</v>
      </c>
      <c r="AF145" s="183">
        <f>Table_03[[#This Row],[Strength (ksi)]]*Table_03[[#This Row],[Static Parameters Plastic Section Modulus Zx (in3)]]</f>
        <v>4216.9333000000006</v>
      </c>
      <c r="AG145" s="181">
        <f>Table_03[[#This Row],[Mp (k-in)]]-(Table_03[[#This Row],[Mp (k-in)]]-0.7*Table_03[[#This Row],[Strength (ksi)]]*Table_03[[#This Row],[Static Parameters Elastic Section Modulus Sx (in3)2]])*((Table_03[[#This Row],[b/t]]-Table_03[[#This Row],[λpf]])/(Table_03[[#This Row],[λrf]]-Table_03[[#This Row],[λpf]]))</f>
        <v>4487.1048314085929</v>
      </c>
      <c r="AH145" s="184">
        <f>0.9*$B$4*Table_03[[#This Row],[kc]]*Table_03[[#This Row],[Static Parameters Elastic Section Modulus Sx (in3)2]]/Table_03[[#This Row],[b/t]]^2</f>
        <v>34703.44027465261</v>
      </c>
      <c r="AI145" s="185" t="str">
        <f>IF(Table_03[[#This Row],[b/t]]&lt;Table_03[[#This Row],[λpf]],"Compact",IF(AND(Table_03[[#This Row],[b/t]]&gt;Table_03[[#This Row],[λpf]],Table_03[[#This Row],[λrf]]&gt;Table_03[[#This Row],[b/t]]),"Non-Compact","Slender"))</f>
        <v>Compact</v>
      </c>
      <c r="AJ145" s="186">
        <f>IF(Table_03[[#This Row],[Controlling LBx]]="Compact",Table_03[[#This Row],[Mp (k-in)]],IF(Table_03[[#This Row],[Controlling LBx]]="Non-Compact",Table_03[[#This Row],[Mnlb,Non-Compact (k-in)]],IF(Table_03[[#This Row],[Controlling LBx]]="Slender",Table_03[[#This Row],[Mnlb,slender (k-in)]],"ERROR")))</f>
        <v>4216.9333000000006</v>
      </c>
      <c r="AK145" s="183">
        <f>Table_03[[#This Row],[Mp (k-in)]]-(Table_03[[#This Row],[Mp (k-in)]]-0.7*Table_03[[#This Row],[Strength (ksi)]]*Table_03[[#This Row],[Static Parameters Elastic Section Modulus Sx (in3)2]])*(($B$5-Table_03[[#This Row],[Lp (ft)]])/(Table_03[[#This Row],[Lr]]-Table_03[[#This Row],[Lp (ft)]]))</f>
        <v>4320.0513516221508</v>
      </c>
      <c r="AL145" s="184">
        <f>Table_03[[#This Row],[Fcrx]]*Table_03[[#This Row],[Static Parameters Elastic Section Modulus Sx (in3)2]]</f>
        <v>25416.360803704516</v>
      </c>
      <c r="AM145" s="185" t="str">
        <f>IF($B$5&lt;Table_03[[#This Row],[Lp (ft)]],"Yielding Controls",IF(AND($B$5&gt;Table_03[[#This Row],[Lp (ft)]],Table_03[[#This Row],[Lr]]&gt;$B$5),"Mltb,p Controls","Mltb,r Controls"))</f>
        <v>Yielding Controls</v>
      </c>
      <c r="AN145" s="186">
        <f>IF(Table_03[[#This Row],[Controlling LTB]]="Yielding Controls",Table_03[[#This Row],[Mp (k-in)]],IF(Table_03[[#This Row],[Controlling LTB]]="Mltb,p Controls",Table_03[[#This Row],[Mnltbp (k-in)]],IF(Table_03[[#This Row],[Controlling LTB]]="Mltb,r Controls",Table_03[[#This Row],[Mnltbr (k-in)]],"ERROR")))</f>
        <v>4216.9333000000006</v>
      </c>
      <c r="AO145" s="183">
        <f>MIN(Table_03[[#This Row],[Strength (ksi)]]*Table_03[[#This Row],[Static Parameters Plastic Section Modulus Zy (in3)]],1.6*Table_03[[#This Row],[Strength (ksi)]]*Table_03[[#This Row],[Static Parameters Elastic Section Modulus Sy (in3)3]])</f>
        <v>1999.8400000000004</v>
      </c>
      <c r="AP145" s="181">
        <f>MIN(Table_03[[#This Row],[Mny (k-in)]],Table_03[[#This Row],[Mny (k-in)]]-(Table_03[[#This Row],[Mny (k-in)]]-0.7*Table_03[[#This Row],[Static Parameters Elastic Section Modulus Sy (in3)3]]*Table_03[[#This Row],[Strength (ksi)]])*((Table_03[[#This Row],[b/t]]-Table_03[[#This Row],[λpf]])/(Table_03[[#This Row],[λrf]]-Table_03[[#This Row],[λpf]])))</f>
        <v>1999.8400000000004</v>
      </c>
      <c r="AQ145" s="184">
        <f>MIN(Table_03[[#This Row],[Mny (k-in)]],Table_03[[#This Row],[Fcry]]*Table_03[[#This Row],[Static Parameters Elastic Section Modulus Sy (in3)3]])</f>
        <v>1999.8400000000004</v>
      </c>
      <c r="AR145" s="185" t="str">
        <f>IF(Table_03[[#This Row],[b/t]]&lt;Table_03[[#This Row],[λpf]],"Compact",IF(AND(Table_03[[#This Row],[b/t]]&gt;Table_03[[#This Row],[λpf]],Table_03[[#This Row],[λrf]]&gt;Table_03[[#This Row],[b/t]]),"Non-Compact","Slender"))</f>
        <v>Compact</v>
      </c>
      <c r="AS145" s="186">
        <f>IF(Table_03[[#This Row],[Controlling Lby]]="Compact",Table_03[[#This Row],[Mny (k-in)]],IF(Table_03[[#This Row],[Controlling Lby]]="Non-Compact",Table_03[[#This Row],[Mlby,Non-Compact (k-in)]],IF(Table_03[[#This Row],[Controlling Lby]]="Slender",Table_03[[#This Row],[Mlby,Slender (k-in)]],"ERROR")))</f>
        <v>1999.8400000000004</v>
      </c>
      <c r="AT145" s="183">
        <f>MIN(Table_03[[#This Row],[LBx]],Table_03[[#This Row],[LTB]],Table_03[[#This Row],[Mp (k-in)]])</f>
        <v>4216.9333000000006</v>
      </c>
      <c r="AU145" s="181">
        <f>Table_03[[#This Row],[Mp (k-in)]]</f>
        <v>4216.9333000000006</v>
      </c>
      <c r="AV145" s="181">
        <f>MIN(Table_03[[#This Row],[LBy]],Table_03[[#This Row],[Mny (k-in)]])</f>
        <v>1999.8400000000004</v>
      </c>
      <c r="AW145" s="187">
        <f>Table_03[[#This Row],[Mny (k-in)]]</f>
        <v>1999.8400000000004</v>
      </c>
      <c r="AX145" s="165">
        <f>SQRT(((Table_03[[#This Row],[Sectional Area (in2)]]-(Table_03[[#This Row],[Flange Thickness tf (in)]]*Table_03[[#This Row],[Width w (in)]]*2+Table_03[[#This Row],[Web Thickness tw (in)]]*((Table_03[[#This Row],[Depth h (in)]]-2*Table_03[[#This Row],[Flange Thickness tf (in)]]))))/4)/(1-PI()/4))</f>
        <v>0.52389099092899938</v>
      </c>
      <c r="AY145"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45" s="165"/>
    </row>
    <row r="146" spans="1:52" x14ac:dyDescent="0.3">
      <c r="A146" s="188" t="s">
        <v>238</v>
      </c>
      <c r="B146" s="189">
        <v>10.47</v>
      </c>
      <c r="C146" s="189">
        <v>5.81</v>
      </c>
      <c r="D146" s="189">
        <v>0.3</v>
      </c>
      <c r="E146" s="189">
        <v>0.51</v>
      </c>
      <c r="F146" s="190">
        <v>8.84</v>
      </c>
      <c r="G146" s="189">
        <v>30</v>
      </c>
      <c r="H146" s="190">
        <v>170</v>
      </c>
      <c r="I146" s="190">
        <v>16.7</v>
      </c>
      <c r="J146" s="190">
        <f>Table_03[[#This Row],[Width w (in)]]*Table_03[[#This Row],[Flange Thickness tf (in)]]*(Table_03[[#This Row],[Depth h (in)]]-Table_03[[#This Row],[Flange Thickness tf (in)]])+0.25*Table_03[[#This Row],[Web Thickness tw (in)]]*(Table_03[[#This Row],[Depth h (in)]]-2*Table_03[[#This Row],[Flange Thickness tf (in)]])^2</f>
        <v>36.2101635</v>
      </c>
      <c r="K146" s="190">
        <f>(Table_03[[#This Row],[Width w (in)]]^2*Table_03[[#This Row],[Flange Thickness tf (in)]])/2+0.25*Table_03[[#This Row],[Web Thickness tw (in)]]^2*(Table_03[[#This Row],[Depth h (in)]]-2*Table_03[[#This Row],[Flange Thickness tf (in)]])</f>
        <v>8.8204304999999987</v>
      </c>
      <c r="L146" s="190">
        <v>32.4</v>
      </c>
      <c r="M146" s="190">
        <v>5.8</v>
      </c>
      <c r="N146" s="191">
        <v>50</v>
      </c>
      <c r="O146" s="169">
        <f>SQRT(Table_03[[#This Row],[Static Parameters Moment of Inertia Ix (in4)]]/Table_03[[#This Row],[Sectional Area (in2)]])</f>
        <v>4.3852900965351456</v>
      </c>
      <c r="P146" s="190">
        <f>SQRT(Table_03[[#This Row],[Static Parameters Moment of Inertia Iy (in4)]]/Table_03[[#This Row],[Sectional Area (in2)]])</f>
        <v>1.3744599926855683</v>
      </c>
      <c r="Q146" s="190">
        <f>($B$6*$B$5*12)/Table_03[[#This Row],[ry (in)2]]</f>
        <v>130.63312206648942</v>
      </c>
      <c r="R146" s="190">
        <f>(PI()^2*$B$4)/(Table_03[[#This Row],[KL/ry]]^2)</f>
        <v>16.772242403909836</v>
      </c>
      <c r="S146" s="190">
        <f>IF(Table_03[[#This Row],[Strength (ksi)]]/Table_03[[#This Row],[Fe,y]]&lt;2.25,(0.658^(Table_03[[#This Row],[Strength (ksi)]]/Table_03[[#This Row],[Fe,y]])*Table_03[[#This Row],[Strength (ksi)]]),0.877*Table_03[[#This Row],[Fe,y]])</f>
        <v>14.709256588228927</v>
      </c>
      <c r="T146" s="190">
        <f>Table_03[[#This Row],[Fcr,y]]*Table_03[[#This Row],[Sectional Area (in2)]]</f>
        <v>130.0298282399437</v>
      </c>
      <c r="U146" s="190">
        <f>1.76*Table_03[[#This Row],[ry (in)2]]*SQRT($B$4/Table_03[[#This Row],[Strength (ksi)]])/12</f>
        <v>4.854869065695568</v>
      </c>
      <c r="V14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15.999900561175329</v>
      </c>
      <c r="W146" s="190">
        <f>Table_03[[#This Row],[Depth h (in)]]-Table_03[[#This Row],[Flange Thickness tf (in)]]</f>
        <v>9.9600000000000009</v>
      </c>
      <c r="X146" s="190">
        <f>(Table_03[[#This Row],[Static Parameters Moment of Inertia Iy (in4)]]*Table_03[[#This Row],[ho]]^2)/4</f>
        <v>414.16668000000004</v>
      </c>
      <c r="Y146" s="190">
        <f>SQRT((SQRT(Table_03[[#This Row],[Static Parameters Moment of Inertia Iy (in4)]]*Table_03[[#This Row],[Cw*]])/Table_03[[#This Row],[Static Parameters Elastic Section Modulus Sx (in3)2]]))</f>
        <v>1.6021397728824573</v>
      </c>
      <c r="Z146" s="190">
        <f>(2*Table_03[[#This Row],[Width w (in)]]*Table_03[[#This Row],[Flange Thickness tf (in)]]^3/3)+((Table_03[[#This Row],[Depth h (in)]]-Table_03[[#This Row],[Flange Thickness tf (in)]]*2)*Table_03[[#This Row],[Web Thickness tw (in)]]^3)/3</f>
        <v>0.59885153999999985</v>
      </c>
      <c r="AA146" s="190">
        <f>Table_03[[#This Row],[Width w (in)]]*0.5/Table_03[[#This Row],[Flange Thickness tf (in)]]</f>
        <v>5.6960784313725483</v>
      </c>
      <c r="AB146" s="190">
        <f>0.38*SQRT($B$4/Table_03[[#This Row],[Strength (ksi)]])</f>
        <v>9.1516118798821449</v>
      </c>
      <c r="AC146" s="190">
        <f>1*SQRT($B$4/Table_03[[#This Row],[Strength (ksi)]])</f>
        <v>24.083189157584592</v>
      </c>
      <c r="AD146" s="190">
        <f>(PI()^2*$B$4/(12*$B$5/Table_03[[#This Row],[rts]])^2)*SQRT(1+0.078*(Table_03[[#This Row],[J*]]/(Table_03[[#This Row],[Static Parameters Elastic Section Modulus Sx (in3)2]]*Table_03[[#This Row],[ho]])*$B$4/(12*$B$5/Table_03[[#This Row],[rts]])^2))</f>
        <v>100.57409679660198</v>
      </c>
      <c r="AE146" s="190">
        <f>0.69*$B$4/Table_03[[#This Row],[b/t]]^2</f>
        <v>616.73013173915251</v>
      </c>
      <c r="AF146" s="192">
        <f>Table_03[[#This Row],[Strength (ksi)]]*Table_03[[#This Row],[Static Parameters Plastic Section Modulus Zx (in3)]]</f>
        <v>1810.5081749999999</v>
      </c>
      <c r="AG146" s="190">
        <f>Table_03[[#This Row],[Mp (k-in)]]-(Table_03[[#This Row],[Mp (k-in)]]-0.7*Table_03[[#This Row],[Strength (ksi)]]*Table_03[[#This Row],[Static Parameters Elastic Section Modulus Sx (in3)2]])*((Table_03[[#This Row],[b/t]]-Table_03[[#This Row],[λpf]])/(Table_03[[#This Row],[λrf]]-Table_03[[#This Row],[λpf]]))</f>
        <v>1967.0687702690343</v>
      </c>
      <c r="AH146" s="193">
        <f>0.9*$B$4*Table_03[[#This Row],[kc]]*Table_03[[#This Row],[Static Parameters Elastic Section Modulus Sx (in3)2]]/Table_03[[#This Row],[b/t]]^2</f>
        <v>17647.405872366024</v>
      </c>
      <c r="AI146" s="194" t="str">
        <f>IF(Table_03[[#This Row],[b/t]]&lt;Table_03[[#This Row],[λpf]],"Compact",IF(AND(Table_03[[#This Row],[b/t]]&gt;Table_03[[#This Row],[λpf]],Table_03[[#This Row],[λrf]]&gt;Table_03[[#This Row],[b/t]]),"Non-Compact","Slender"))</f>
        <v>Compact</v>
      </c>
      <c r="AJ146" s="195">
        <f>IF(Table_03[[#This Row],[Controlling LBx]]="Compact",Table_03[[#This Row],[Mp (k-in)]],IF(Table_03[[#This Row],[Controlling LBx]]="Non-Compact",Table_03[[#This Row],[Mnlb,Non-Compact (k-in)]],IF(Table_03[[#This Row],[Controlling LBx]]="Slender",Table_03[[#This Row],[Mnlb,slender (k-in)]],"ERROR")))</f>
        <v>1810.5081749999999</v>
      </c>
      <c r="AK146" s="192">
        <f>Table_03[[#This Row],[Mp (k-in)]]-(Table_03[[#This Row],[Mp (k-in)]]-0.7*Table_03[[#This Row],[Strength (ksi)]]*Table_03[[#This Row],[Static Parameters Elastic Section Modulus Sx (in3)2]])*(($B$5-Table_03[[#This Row],[Lp (ft)]])/(Table_03[[#This Row],[Lr]]-Table_03[[#This Row],[Lp (ft)]]))</f>
        <v>1672.7102570667741</v>
      </c>
      <c r="AL146" s="196">
        <f>Table_03[[#This Row],[Fcrx]]*Table_03[[#This Row],[Static Parameters Elastic Section Modulus Sx (in3)2]]</f>
        <v>3258.600736209904</v>
      </c>
      <c r="AM146" s="197" t="str">
        <f>IF($B$5&lt;Table_03[[#This Row],[Lp (ft)]],"Yielding Controls",IF(AND($B$5&gt;Table_03[[#This Row],[Lp (ft)]],Table_03[[#This Row],[Lr]]&gt;$B$5),"Mltb,p Controls","Mltb,r Controls"))</f>
        <v>Mltb,p Controls</v>
      </c>
      <c r="AN146" s="198">
        <f>IF(Table_03[[#This Row],[Controlling LTB]]="Yielding Controls",Table_03[[#This Row],[Mp (k-in)]],IF(Table_03[[#This Row],[Controlling LTB]]="Mltb,p Controls",Table_03[[#This Row],[Mnltbp (k-in)]],IF(Table_03[[#This Row],[Controlling LTB]]="Mltb,r Controls",Table_03[[#This Row],[Mnltbr (k-in)]],"ERROR")))</f>
        <v>1672.7102570667741</v>
      </c>
      <c r="AO146" s="199">
        <f>MIN(Table_03[[#This Row],[Strength (ksi)]]*Table_03[[#This Row],[Static Parameters Plastic Section Modulus Zy (in3)]],1.6*Table_03[[#This Row],[Strength (ksi)]]*Table_03[[#This Row],[Static Parameters Elastic Section Modulus Sy (in3)3]])</f>
        <v>441.02152499999994</v>
      </c>
      <c r="AP146" s="169">
        <f>MIN(Table_03[[#This Row],[Mny (k-in)]],Table_03[[#This Row],[Mny (k-in)]]-(Table_03[[#This Row],[Mny (k-in)]]-0.7*Table_03[[#This Row],[Static Parameters Elastic Section Modulus Sy (in3)3]]*Table_03[[#This Row],[Strength (ksi)]])*((Table_03[[#This Row],[b/t]]-Table_03[[#This Row],[λpf]])/(Table_03[[#This Row],[λrf]]-Table_03[[#This Row],[λpf]])))</f>
        <v>441.02152499999994</v>
      </c>
      <c r="AQ146" s="196">
        <f>MIN(Table_03[[#This Row],[Mny (k-in)]],Table_03[[#This Row],[Fcry]]*Table_03[[#This Row],[Static Parameters Elastic Section Modulus Sy (in3)3]])</f>
        <v>441.02152499999994</v>
      </c>
      <c r="AR146" s="197" t="str">
        <f>IF(Table_03[[#This Row],[b/t]]&lt;Table_03[[#This Row],[λpf]],"Compact",IF(AND(Table_03[[#This Row],[b/t]]&gt;Table_03[[#This Row],[λpf]],Table_03[[#This Row],[λrf]]&gt;Table_03[[#This Row],[b/t]]),"Non-Compact","Slender"))</f>
        <v>Compact</v>
      </c>
      <c r="AS146" s="198">
        <f>IF(Table_03[[#This Row],[Controlling Lby]]="Compact",Table_03[[#This Row],[Mny (k-in)]],IF(Table_03[[#This Row],[Controlling Lby]]="Non-Compact",Table_03[[#This Row],[Mlby,Non-Compact (k-in)]],IF(Table_03[[#This Row],[Controlling Lby]]="Slender",Table_03[[#This Row],[Mlby,Slender (k-in)]],"ERROR")))</f>
        <v>441.02152499999994</v>
      </c>
      <c r="AT146" s="199">
        <f>MIN(Table_03[[#This Row],[LBx]],Table_03[[#This Row],[LTB]],Table_03[[#This Row],[Mp (k-in)]])</f>
        <v>1672.7102570667741</v>
      </c>
      <c r="AU146" s="169">
        <f>Table_03[[#This Row],[Mp (k-in)]]</f>
        <v>1810.5081749999999</v>
      </c>
      <c r="AV146" s="169">
        <f>MIN(Table_03[[#This Row],[LBy]],Table_03[[#This Row],[Mny (k-in)]])</f>
        <v>441.02152499999994</v>
      </c>
      <c r="AW146" s="200">
        <f>Table_03[[#This Row],[Mny (k-in)]]</f>
        <v>441.02152499999994</v>
      </c>
      <c r="AX146" s="165">
        <f>SQRT(((Table_03[[#This Row],[Sectional Area (in2)]]-(Table_03[[#This Row],[Flange Thickness tf (in)]]*Table_03[[#This Row],[Width w (in)]]*2+Table_03[[#This Row],[Web Thickness tw (in)]]*((Table_03[[#This Row],[Depth h (in)]]-2*Table_03[[#This Row],[Flange Thickness tf (in)]]))))/4)/(1-PI()/4))</f>
        <v>0.30298169848459711</v>
      </c>
      <c r="AY146" s="165">
        <f>IF(4/SQRT((Table_03[[#This Row],[Depth h (in)]]-Table_03[[#This Row],[Flange Thickness tf (in)]]*2)/Table_03[[#This Row],[Web Thickness tw (in)]])&lt;0.35,0.35,IF(4/SQRT(Table_03[[#This Row],[Depth h (in)]]/Table_03[[#This Row],[Web Thickness tw (in)]])&gt;0.76,0.76,4/SQRT(Table_03[[#This Row],[Depth h (in)]]/Table_03[[#This Row],[Web Thickness tw (in)]])))</f>
        <v>0.67709136906553247</v>
      </c>
      <c r="AZ146" s="165"/>
    </row>
    <row r="147" spans="1:52" ht="14.4" thickBot="1" x14ac:dyDescent="0.35">
      <c r="A147" s="201" t="s">
        <v>239</v>
      </c>
      <c r="B147" s="202">
        <v>10.6</v>
      </c>
      <c r="C147" s="202">
        <v>10.19</v>
      </c>
      <c r="D147" s="202">
        <v>0.53</v>
      </c>
      <c r="E147" s="202">
        <v>0.87</v>
      </c>
      <c r="F147" s="203">
        <v>22.6</v>
      </c>
      <c r="G147" s="204">
        <v>77</v>
      </c>
      <c r="H147" s="203">
        <v>455</v>
      </c>
      <c r="I147" s="203">
        <v>154</v>
      </c>
      <c r="J147" s="203">
        <f>Table_03[[#This Row],[Width w (in)]]*Table_03[[#This Row],[Flange Thickness tf (in)]]*(Table_03[[#This Row],[Depth h (in)]]-Table_03[[#This Row],[Flange Thickness tf (in)]])+0.25*Table_03[[#This Row],[Web Thickness tw (in)]]*(Table_03[[#This Row],[Depth h (in)]]-2*Table_03[[#This Row],[Flange Thickness tf (in)]])^2</f>
        <v>96.660565999999989</v>
      </c>
      <c r="K147" s="203">
        <f>(Table_03[[#This Row],[Width w (in)]]^2*Table_03[[#This Row],[Flange Thickness tf (in)]])/2+0.25*Table_03[[#This Row],[Web Thickness tw (in)]]^2*(Table_03[[#This Row],[Depth h (in)]]-2*Table_03[[#This Row],[Flange Thickness tf (in)]])</f>
        <v>45.790896999999994</v>
      </c>
      <c r="L147" s="203">
        <v>85.9</v>
      </c>
      <c r="M147" s="203">
        <v>30.1</v>
      </c>
      <c r="N147" s="205">
        <v>50</v>
      </c>
      <c r="O147" s="206">
        <f>SQRT(Table_03[[#This Row],[Static Parameters Moment of Inertia Ix (in4)]]/Table_03[[#This Row],[Sectional Area (in2)]])</f>
        <v>4.4869525697105219</v>
      </c>
      <c r="P147" s="203">
        <f>SQRT(Table_03[[#This Row],[Static Parameters Moment of Inertia Iy (in4)]]/Table_03[[#This Row],[Sectional Area (in2)]])</f>
        <v>2.6103944705801454</v>
      </c>
      <c r="Q147" s="203">
        <f>($B$6*$B$5*12)/Table_03[[#This Row],[ry (in)2]]</f>
        <v>68.782707756845667</v>
      </c>
      <c r="R147" s="203">
        <f>(PI()^2*$B$4)/(Table_03[[#This Row],[KL/ry]]^2)</f>
        <v>60.497747652447387</v>
      </c>
      <c r="S147" s="203">
        <f>IF(Table_03[[#This Row],[Strength (ksi)]]/Table_03[[#This Row],[Fe,y]]&lt;2.25,(0.658^(Table_03[[#This Row],[Strength (ksi)]]/Table_03[[#This Row],[Fe,y]])*Table_03[[#This Row],[Strength (ksi)]]),0.877*Table_03[[#This Row],[Fe,y]])</f>
        <v>35.378374686069144</v>
      </c>
      <c r="T147" s="203">
        <f>Table_03[[#This Row],[Fcr,y]]*Table_03[[#This Row],[Sectional Area (in2)]]</f>
        <v>799.55126790516272</v>
      </c>
      <c r="U147" s="203">
        <f>1.76*Table_03[[#This Row],[ry (in)2]]*SQRT($B$4/Table_03[[#This Row],[Strength (ksi)]])/12</f>
        <v>9.2204381589311968</v>
      </c>
      <c r="V14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44.531412770534835</v>
      </c>
      <c r="W147" s="203">
        <f>Table_03[[#This Row],[Depth h (in)]]-Table_03[[#This Row],[Flange Thickness tf (in)]]</f>
        <v>9.73</v>
      </c>
      <c r="X147" s="203">
        <f>(Table_03[[#This Row],[Static Parameters Moment of Inertia Iy (in4)]]*Table_03[[#This Row],[ho]]^2)/4</f>
        <v>3644.9066500000004</v>
      </c>
      <c r="Y147" s="203">
        <f>SQRT((SQRT(Table_03[[#This Row],[Static Parameters Moment of Inertia Iy (in4)]]*Table_03[[#This Row],[Cw*]])/Table_03[[#This Row],[Static Parameters Elastic Section Modulus Sx (in3)2]]))</f>
        <v>2.9532839202916668</v>
      </c>
      <c r="Z147" s="203">
        <f>(2*Table_03[[#This Row],[Width w (in)]]*Table_03[[#This Row],[Flange Thickness tf (in)]]^3/3)+((Table_03[[#This Row],[Depth h (in)]]-Table_03[[#This Row],[Flange Thickness tf (in)]]*2)*Table_03[[#This Row],[Web Thickness tw (in)]]^3)/3</f>
        <v>4.913113786666667</v>
      </c>
      <c r="AA147" s="203">
        <f>Table_03[[#This Row],[Width w (in)]]*0.5/Table_03[[#This Row],[Flange Thickness tf (in)]]</f>
        <v>5.8563218390804597</v>
      </c>
      <c r="AB147" s="203">
        <f>0.38*SQRT($B$4/Table_03[[#This Row],[Strength (ksi)]])</f>
        <v>9.1516118798821449</v>
      </c>
      <c r="AC147" s="203">
        <f>1*SQRT($B$4/Table_03[[#This Row],[Strength (ksi)]])</f>
        <v>24.083189157584592</v>
      </c>
      <c r="AD147" s="203">
        <f>(PI()^2*$B$4/(12*$B$5/Table_03[[#This Row],[rts]])^2)*SQRT(1+0.078*(Table_03[[#This Row],[J*]]/(Table_03[[#This Row],[Static Parameters Elastic Section Modulus Sx (in3)2]]*Table_03[[#This Row],[ho]])*$B$4/(12*$B$5/Table_03[[#This Row],[rts]])^2))</f>
        <v>344.18645078611621</v>
      </c>
      <c r="AE147" s="203">
        <f>0.69*$B$4/Table_03[[#This Row],[b/t]]^2</f>
        <v>583.44136576778214</v>
      </c>
      <c r="AF147" s="207">
        <f>Table_03[[#This Row],[Strength (ksi)]]*Table_03[[#This Row],[Static Parameters Plastic Section Modulus Zx (in3)]]</f>
        <v>4833.028299999999</v>
      </c>
      <c r="AG147" s="203">
        <f>Table_03[[#This Row],[Mp (k-in)]]-(Table_03[[#This Row],[Mp (k-in)]]-0.7*Table_03[[#This Row],[Strength (ksi)]]*Table_03[[#This Row],[Static Parameters Elastic Section Modulus Sx (in3)2]])*((Table_03[[#This Row],[b/t]]-Table_03[[#This Row],[λpf]])/(Table_03[[#This Row],[λrf]]-Table_03[[#This Row],[λpf]]))</f>
        <v>5236.1297543400306</v>
      </c>
      <c r="AH147" s="208">
        <f>0.9*$B$4*Table_03[[#This Row],[kc]]*Table_03[[#This Row],[Static Parameters Elastic Section Modulus Sx (in3)2]]/Table_03[[#This Row],[b/t]]^2</f>
        <v>49681.807986239859</v>
      </c>
      <c r="AI147" s="209" t="str">
        <f>IF(Table_03[[#This Row],[b/t]]&lt;Table_03[[#This Row],[λpf]],"Compact",IF(AND(Table_03[[#This Row],[b/t]]&gt;Table_03[[#This Row],[λpf]],Table_03[[#This Row],[λrf]]&gt;Table_03[[#This Row],[b/t]]),"Non-Compact","Slender"))</f>
        <v>Compact</v>
      </c>
      <c r="AJ147" s="210">
        <f>IF(Table_03[[#This Row],[Controlling LBx]]="Compact",Table_03[[#This Row],[Mp (k-in)]],IF(Table_03[[#This Row],[Controlling LBx]]="Non-Compact",Table_03[[#This Row],[Mnlb,Non-Compact (k-in)]],IF(Table_03[[#This Row],[Controlling LBx]]="Slender",Table_03[[#This Row],[Mnlb,slender (k-in)]],"ERROR")))</f>
        <v>4833.028299999999</v>
      </c>
      <c r="AK147" s="207">
        <f>Table_03[[#This Row],[Mp (k-in)]]-(Table_03[[#This Row],[Mp (k-in)]]-0.7*Table_03[[#This Row],[Strength (ksi)]]*Table_03[[#This Row],[Static Parameters Elastic Section Modulus Sx (in3)2]])*(($B$5-Table_03[[#This Row],[Lp (ft)]])/(Table_03[[#This Row],[Lr]]-Table_03[[#This Row],[Lp (ft)]]))</f>
        <v>4941.4188822562592</v>
      </c>
      <c r="AL147" s="211">
        <f>Table_03[[#This Row],[Fcrx]]*Table_03[[#This Row],[Static Parameters Elastic Section Modulus Sx (in3)2]]</f>
        <v>29565.616122527383</v>
      </c>
      <c r="AM147" s="212" t="str">
        <f>IF($B$5&lt;Table_03[[#This Row],[Lp (ft)]],"Yielding Controls",IF(AND($B$5&gt;Table_03[[#This Row],[Lp (ft)]],Table_03[[#This Row],[Lr]]&gt;$B$5),"Mltb,p Controls","Mltb,r Controls"))</f>
        <v>Yielding Controls</v>
      </c>
      <c r="AN147" s="213">
        <f>IF(Table_03[[#This Row],[Controlling LTB]]="Yielding Controls",Table_03[[#This Row],[Mp (k-in)]],IF(Table_03[[#This Row],[Controlling LTB]]="Mltb,p Controls",Table_03[[#This Row],[Mnltbp (k-in)]],IF(Table_03[[#This Row],[Controlling LTB]]="Mltb,r Controls",Table_03[[#This Row],[Mnltbr (k-in)]],"ERROR")))</f>
        <v>4833.028299999999</v>
      </c>
      <c r="AO147" s="214">
        <f>MIN(Table_03[[#This Row],[Strength (ksi)]]*Table_03[[#This Row],[Static Parameters Plastic Section Modulus Zy (in3)]],1.6*Table_03[[#This Row],[Strength (ksi)]]*Table_03[[#This Row],[Static Parameters Elastic Section Modulus Sy (in3)3]])</f>
        <v>2289.5448499999998</v>
      </c>
      <c r="AP147" s="206">
        <f>MIN(Table_03[[#This Row],[Mny (k-in)]],Table_03[[#This Row],[Mny (k-in)]]-(Table_03[[#This Row],[Mny (k-in)]]-0.7*Table_03[[#This Row],[Static Parameters Elastic Section Modulus Sy (in3)3]]*Table_03[[#This Row],[Strength (ksi)]])*((Table_03[[#This Row],[b/t]]-Table_03[[#This Row],[λpf]])/(Table_03[[#This Row],[λrf]]-Table_03[[#This Row],[λpf]])))</f>
        <v>2289.5448499999998</v>
      </c>
      <c r="AQ147" s="211">
        <f>MIN(Table_03[[#This Row],[Mny (k-in)]],Table_03[[#This Row],[Fcry]]*Table_03[[#This Row],[Static Parameters Elastic Section Modulus Sy (in3)3]])</f>
        <v>2289.5448499999998</v>
      </c>
      <c r="AR147" s="212" t="str">
        <f>IF(Table_03[[#This Row],[b/t]]&lt;Table_03[[#This Row],[λpf]],"Compact",IF(AND(Table_03[[#This Row],[b/t]]&gt;Table_03[[#This Row],[λpf]],Table_03[[#This Row],[λrf]]&gt;Table_03[[#This Row],[b/t]]),"Non-Compact","Slender"))</f>
        <v>Compact</v>
      </c>
      <c r="AS147" s="213">
        <f>IF(Table_03[[#This Row],[Controlling Lby]]="Compact",Table_03[[#This Row],[Mny (k-in)]],IF(Table_03[[#This Row],[Controlling Lby]]="Non-Compact",Table_03[[#This Row],[Mlby,Non-Compact (k-in)]],IF(Table_03[[#This Row],[Controlling Lby]]="Slender",Table_03[[#This Row],[Mlby,Slender (k-in)]],"ERROR")))</f>
        <v>2289.5448499999998</v>
      </c>
      <c r="AT147" s="214">
        <f>MIN(Table_03[[#This Row],[LBx]],Table_03[[#This Row],[LTB]],Table_03[[#This Row],[Mp (k-in)]])</f>
        <v>4833.028299999999</v>
      </c>
      <c r="AU147" s="206">
        <f>Table_03[[#This Row],[Mp (k-in)]]</f>
        <v>4833.028299999999</v>
      </c>
      <c r="AV147" s="206">
        <f>MIN(Table_03[[#This Row],[LBy]],Table_03[[#This Row],[Mny (k-in)]])</f>
        <v>2289.5448499999998</v>
      </c>
      <c r="AW147" s="215">
        <f>Table_03[[#This Row],[Mny (k-in)]]</f>
        <v>2289.5448499999998</v>
      </c>
      <c r="AX147" s="165">
        <f>SQRT(((Table_03[[#This Row],[Sectional Area (in2)]]-(Table_03[[#This Row],[Flange Thickness tf (in)]]*Table_03[[#This Row],[Width w (in)]]*2+Table_03[[#This Row],[Web Thickness tw (in)]]*((Table_03[[#This Row],[Depth h (in)]]-2*Table_03[[#This Row],[Flange Thickness tf (in)]]))))/4)/(1-PI()/4))</f>
        <v>0.44970544659646566</v>
      </c>
      <c r="AY147"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47" s="165"/>
    </row>
    <row r="148" spans="1:52" x14ac:dyDescent="0.3">
      <c r="A148" s="179" t="s">
        <v>240</v>
      </c>
      <c r="B148" s="180">
        <v>10.84</v>
      </c>
      <c r="C148" s="180">
        <v>10.265000000000001</v>
      </c>
      <c r="D148" s="180">
        <v>0.60499999999999998</v>
      </c>
      <c r="E148" s="180">
        <v>0.99</v>
      </c>
      <c r="F148" s="181">
        <v>25.9</v>
      </c>
      <c r="G148" s="180">
        <v>88</v>
      </c>
      <c r="H148" s="180">
        <v>534</v>
      </c>
      <c r="I148" s="180">
        <v>179</v>
      </c>
      <c r="J148" s="181">
        <f>Table_03[[#This Row],[Width w (in)]]*Table_03[[#This Row],[Flange Thickness tf (in)]]*(Table_03[[#This Row],[Depth h (in)]]-Table_03[[#This Row],[Flange Thickness tf (in)]])+0.25*Table_03[[#This Row],[Web Thickness tw (in)]]*(Table_03[[#This Row],[Depth h (in)]]-2*Table_03[[#This Row],[Flange Thickness tf (in)]])^2</f>
        <v>111.972212</v>
      </c>
      <c r="K148" s="181">
        <f>(Table_03[[#This Row],[Width w (in)]]^2*Table_03[[#This Row],[Flange Thickness tf (in)]])/2+0.25*Table_03[[#This Row],[Web Thickness tw (in)]]^2*(Table_03[[#This Row],[Depth h (in)]]-2*Table_03[[#This Row],[Flange Thickness tf (in)]])</f>
        <v>52.969006750000005</v>
      </c>
      <c r="L148" s="181">
        <v>98.5</v>
      </c>
      <c r="M148" s="181">
        <v>34.799999999999997</v>
      </c>
      <c r="N148" s="182">
        <v>50</v>
      </c>
      <c r="O148" s="181">
        <f>SQRT(Table_03[[#This Row],[Static Parameters Moment of Inertia Ix (in4)]]/Table_03[[#This Row],[Sectional Area (in2)]])</f>
        <v>4.5406784314417843</v>
      </c>
      <c r="P148" s="181">
        <f>SQRT(Table_03[[#This Row],[Static Parameters Moment of Inertia Iy (in4)]]/Table_03[[#This Row],[Sectional Area (in2)]])</f>
        <v>2.6289155390002379</v>
      </c>
      <c r="Q148" s="181">
        <f>($B$6*$B$5*12)/Table_03[[#This Row],[ry (in)2]]</f>
        <v>68.29812420230202</v>
      </c>
      <c r="R148" s="181">
        <f>(PI()^2*$B$4)/(Table_03[[#This Row],[KL/ry]]^2)</f>
        <v>61.359271010683116</v>
      </c>
      <c r="S148" s="181">
        <f>IF(Table_03[[#This Row],[Strength (ksi)]]/Table_03[[#This Row],[Fe,y]]&lt;2.25,(0.658^(Table_03[[#This Row],[Strength (ksi)]]/Table_03[[#This Row],[Fe,y]])*Table_03[[#This Row],[Strength (ksi)]]),0.877*Table_03[[#This Row],[Fe,y]])</f>
        <v>35.550624337771993</v>
      </c>
      <c r="T148" s="181">
        <f>Table_03[[#This Row],[Fcr,y]]*Table_03[[#This Row],[Sectional Area (in2)]]</f>
        <v>920.76117034829451</v>
      </c>
      <c r="U148" s="181">
        <f>1.76*Table_03[[#This Row],[ry (in)2]]*SQRT($B$4/Table_03[[#This Row],[Strength (ksi)]])/12</f>
        <v>9.2858582967415728</v>
      </c>
      <c r="V14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50.414145839359783</v>
      </c>
      <c r="W148" s="181">
        <f>Table_03[[#This Row],[Depth h (in)]]-Table_03[[#This Row],[Flange Thickness tf (in)]]</f>
        <v>9.85</v>
      </c>
      <c r="X148" s="181">
        <f>(Table_03[[#This Row],[Static Parameters Moment of Inertia Iy (in4)]]*Table_03[[#This Row],[ho]]^2)/4</f>
        <v>4341.756875</v>
      </c>
      <c r="Y148" s="181">
        <f>SQRT((SQRT(Table_03[[#This Row],[Static Parameters Moment of Inertia Iy (in4)]]*Table_03[[#This Row],[Cw*]])/Table_03[[#This Row],[Static Parameters Elastic Section Modulus Sx (in3)2]]))</f>
        <v>2.9916550603303182</v>
      </c>
      <c r="Z148" s="181">
        <f>(2*Table_03[[#This Row],[Width w (in)]]*Table_03[[#This Row],[Flange Thickness tf (in)]]^3/3)+((Table_03[[#This Row],[Depth h (in)]]-Table_03[[#This Row],[Flange Thickness tf (in)]]*2)*Table_03[[#This Row],[Web Thickness tw (in)]]^3)/3</f>
        <v>7.2940807591666674</v>
      </c>
      <c r="AA148" s="181">
        <f>Table_03[[#This Row],[Width w (in)]]*0.5/Table_03[[#This Row],[Flange Thickness tf (in)]]</f>
        <v>5.1843434343434343</v>
      </c>
      <c r="AB148" s="181">
        <f>0.38*SQRT($B$4/Table_03[[#This Row],[Strength (ksi)]])</f>
        <v>9.1516118798821449</v>
      </c>
      <c r="AC148" s="181">
        <f>1*SQRT($B$4/Table_03[[#This Row],[Strength (ksi)]])</f>
        <v>24.083189157584592</v>
      </c>
      <c r="AD148" s="181">
        <f>(PI()^2*$B$4/(12*$B$5/Table_03[[#This Row],[rts]])^2)*SQRT(1+0.078*(Table_03[[#This Row],[J*]]/(Table_03[[#This Row],[Static Parameters Elastic Section Modulus Sx (in3)2]]*Table_03[[#This Row],[ho]])*$B$4/(12*$B$5/Table_03[[#This Row],[rts]])^2))</f>
        <v>354.04881266500109</v>
      </c>
      <c r="AE148" s="181">
        <f>0.69*$B$4/Table_03[[#This Row],[b/t]]^2</f>
        <v>744.49118809416996</v>
      </c>
      <c r="AF148" s="183">
        <f>Table_03[[#This Row],[Strength (ksi)]]*Table_03[[#This Row],[Static Parameters Plastic Section Modulus Zx (in3)]]</f>
        <v>5598.6106</v>
      </c>
      <c r="AG148" s="181">
        <f>Table_03[[#This Row],[Mp (k-in)]]-(Table_03[[#This Row],[Mp (k-in)]]-0.7*Table_03[[#This Row],[Strength (ksi)]]*Table_03[[#This Row],[Static Parameters Elastic Section Modulus Sx (in3)2]])*((Table_03[[#This Row],[b/t]]-Table_03[[#This Row],[λpf]])/(Table_03[[#This Row],[λrf]]-Table_03[[#This Row],[λpf]]))</f>
        <v>6170.1532473389279</v>
      </c>
      <c r="AH148" s="184">
        <f>0.9*$B$4*Table_03[[#This Row],[kc]]*Table_03[[#This Row],[Static Parameters Elastic Section Modulus Sx (in3)2]]/Table_03[[#This Row],[b/t]]^2</f>
        <v>72694.709140082035</v>
      </c>
      <c r="AI148" s="185" t="str">
        <f>IF(Table_03[[#This Row],[b/t]]&lt;Table_03[[#This Row],[λpf]],"Compact",IF(AND(Table_03[[#This Row],[b/t]]&gt;Table_03[[#This Row],[λpf]],Table_03[[#This Row],[λrf]]&gt;Table_03[[#This Row],[b/t]]),"Non-Compact","Slender"))</f>
        <v>Compact</v>
      </c>
      <c r="AJ148" s="186">
        <f>IF(Table_03[[#This Row],[Controlling LBx]]="Compact",Table_03[[#This Row],[Mp (k-in)]],IF(Table_03[[#This Row],[Controlling LBx]]="Non-Compact",Table_03[[#This Row],[Mnlb,Non-Compact (k-in)]],IF(Table_03[[#This Row],[Controlling LBx]]="Slender",Table_03[[#This Row],[Mnlb,slender (k-in)]],"ERROR")))</f>
        <v>5598.6106</v>
      </c>
      <c r="AK148" s="183">
        <f>Table_03[[#This Row],[Mp (k-in)]]-(Table_03[[#This Row],[Mp (k-in)]]-0.7*Table_03[[#This Row],[Strength (ksi)]]*Table_03[[#This Row],[Static Parameters Elastic Section Modulus Sx (in3)2]])*(($B$5-Table_03[[#This Row],[Lp (ft)]])/(Table_03[[#This Row],[Lr]]-Table_03[[#This Row],[Lp (ft)]]))</f>
        <v>5711.6288038919593</v>
      </c>
      <c r="AL148" s="184">
        <f>Table_03[[#This Row],[Fcrx]]*Table_03[[#This Row],[Static Parameters Elastic Section Modulus Sx (in3)2]]</f>
        <v>34873.808047502607</v>
      </c>
      <c r="AM148" s="185" t="str">
        <f>IF($B$5&lt;Table_03[[#This Row],[Lp (ft)]],"Yielding Controls",IF(AND($B$5&gt;Table_03[[#This Row],[Lp (ft)]],Table_03[[#This Row],[Lr]]&gt;$B$5),"Mltb,p Controls","Mltb,r Controls"))</f>
        <v>Yielding Controls</v>
      </c>
      <c r="AN148" s="186">
        <f>IF(Table_03[[#This Row],[Controlling LTB]]="Yielding Controls",Table_03[[#This Row],[Mp (k-in)]],IF(Table_03[[#This Row],[Controlling LTB]]="Mltb,p Controls",Table_03[[#This Row],[Mnltbp (k-in)]],IF(Table_03[[#This Row],[Controlling LTB]]="Mltb,r Controls",Table_03[[#This Row],[Mnltbr (k-in)]],"ERROR")))</f>
        <v>5598.6106</v>
      </c>
      <c r="AO148" s="183">
        <f>MIN(Table_03[[#This Row],[Strength (ksi)]]*Table_03[[#This Row],[Static Parameters Plastic Section Modulus Zy (in3)]],1.6*Table_03[[#This Row],[Strength (ksi)]]*Table_03[[#This Row],[Static Parameters Elastic Section Modulus Sy (in3)3]])</f>
        <v>2648.4503375000004</v>
      </c>
      <c r="AP148" s="181">
        <f>MIN(Table_03[[#This Row],[Mny (k-in)]],Table_03[[#This Row],[Mny (k-in)]]-(Table_03[[#This Row],[Mny (k-in)]]-0.7*Table_03[[#This Row],[Static Parameters Elastic Section Modulus Sy (in3)3]]*Table_03[[#This Row],[Strength (ksi)]])*((Table_03[[#This Row],[b/t]]-Table_03[[#This Row],[λpf]])/(Table_03[[#This Row],[λrf]]-Table_03[[#This Row],[λpf]])))</f>
        <v>2648.4503375000004</v>
      </c>
      <c r="AQ148" s="184">
        <f>MIN(Table_03[[#This Row],[Mny (k-in)]],Table_03[[#This Row],[Fcry]]*Table_03[[#This Row],[Static Parameters Elastic Section Modulus Sy (in3)3]])</f>
        <v>2648.4503375000004</v>
      </c>
      <c r="AR148" s="185" t="str">
        <f>IF(Table_03[[#This Row],[b/t]]&lt;Table_03[[#This Row],[λpf]],"Compact",IF(AND(Table_03[[#This Row],[b/t]]&gt;Table_03[[#This Row],[λpf]],Table_03[[#This Row],[λrf]]&gt;Table_03[[#This Row],[b/t]]),"Non-Compact","Slender"))</f>
        <v>Compact</v>
      </c>
      <c r="AS148" s="186">
        <f>IF(Table_03[[#This Row],[Controlling Lby]]="Compact",Table_03[[#This Row],[Mny (k-in)]],IF(Table_03[[#This Row],[Controlling Lby]]="Non-Compact",Table_03[[#This Row],[Mlby,Non-Compact (k-in)]],IF(Table_03[[#This Row],[Controlling Lby]]="Slender",Table_03[[#This Row],[Mlby,Slender (k-in)]],"ERROR")))</f>
        <v>2648.4503375000004</v>
      </c>
      <c r="AT148" s="183">
        <f>MIN(Table_03[[#This Row],[LBx]],Table_03[[#This Row],[LTB]],Table_03[[#This Row],[Mp (k-in)]])</f>
        <v>5598.6106</v>
      </c>
      <c r="AU148" s="181">
        <f>Table_03[[#This Row],[Mp (k-in)]]</f>
        <v>5598.6106</v>
      </c>
      <c r="AV148" s="181">
        <f>MIN(Table_03[[#This Row],[LBy]],Table_03[[#This Row],[Mny (k-in)]])</f>
        <v>2648.4503375000004</v>
      </c>
      <c r="AW148" s="187">
        <f>Table_03[[#This Row],[Mny (k-in)]]</f>
        <v>2648.4503375000004</v>
      </c>
      <c r="AX148" s="165">
        <f>SQRT(((Table_03[[#This Row],[Sectional Area (in2)]]-(Table_03[[#This Row],[Flange Thickness tf (in)]]*Table_03[[#This Row],[Width w (in)]]*2+Table_03[[#This Row],[Web Thickness tw (in)]]*((Table_03[[#This Row],[Depth h (in)]]-2*Table_03[[#This Row],[Flange Thickness tf (in)]]))))/4)/(1-PI()/4))</f>
        <v>0.50046362474209327</v>
      </c>
      <c r="AY148"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48" s="165"/>
    </row>
    <row r="149" spans="1:52" x14ac:dyDescent="0.3">
      <c r="A149" s="188" t="s">
        <v>241</v>
      </c>
      <c r="B149" s="189">
        <v>11.1</v>
      </c>
      <c r="C149" s="189">
        <v>10.34</v>
      </c>
      <c r="D149" s="189">
        <v>0.68</v>
      </c>
      <c r="E149" s="189">
        <v>1.1120000000000001</v>
      </c>
      <c r="F149" s="190">
        <v>29.4</v>
      </c>
      <c r="G149" s="189">
        <v>100</v>
      </c>
      <c r="H149" s="190">
        <v>623</v>
      </c>
      <c r="I149" s="190">
        <v>207</v>
      </c>
      <c r="J149" s="190">
        <f>Table_03[[#This Row],[Width w (in)]]*Table_03[[#This Row],[Flange Thickness tf (in)]]*(Table_03[[#This Row],[Depth h (in)]]-Table_03[[#This Row],[Flange Thickness tf (in)]])+0.25*Table_03[[#This Row],[Web Thickness tw (in)]]*(Table_03[[#This Row],[Depth h (in)]]-2*Table_03[[#This Row],[Flange Thickness tf (in)]])^2</f>
        <v>128.23599696000002</v>
      </c>
      <c r="K149" s="190">
        <f>(Table_03[[#This Row],[Width w (in)]]^2*Table_03[[#This Row],[Flange Thickness tf (in)]])/2+0.25*Table_03[[#This Row],[Web Thickness tw (in)]]^2*(Table_03[[#This Row],[Depth h (in)]]-2*Table_03[[#This Row],[Flange Thickness tf (in)]])</f>
        <v>60.471139200000003</v>
      </c>
      <c r="L149" s="190">
        <v>112</v>
      </c>
      <c r="M149" s="190">
        <v>40</v>
      </c>
      <c r="N149" s="191">
        <v>50</v>
      </c>
      <c r="O149" s="169">
        <f>SQRT(Table_03[[#This Row],[Static Parameters Moment of Inertia Ix (in4)]]/Table_03[[#This Row],[Sectional Area (in2)]])</f>
        <v>4.603311437484563</v>
      </c>
      <c r="P149" s="190">
        <f>SQRT(Table_03[[#This Row],[Static Parameters Moment of Inertia Iy (in4)]]/Table_03[[#This Row],[Sectional Area (in2)]])</f>
        <v>2.6534536601438159</v>
      </c>
      <c r="Q149" s="190">
        <f>($B$6*$B$5*12)/Table_03[[#This Row],[ry (in)2]]</f>
        <v>67.666529360180533</v>
      </c>
      <c r="R149" s="190">
        <f>(PI()^2*$B$4)/(Table_03[[#This Row],[KL/ry]]^2)</f>
        <v>62.510063403940144</v>
      </c>
      <c r="S149" s="190">
        <f>IF(Table_03[[#This Row],[Strength (ksi)]]/Table_03[[#This Row],[Fe,y]]&lt;2.25,(0.658^(Table_03[[#This Row],[Strength (ksi)]]/Table_03[[#This Row],[Fe,y]])*Table_03[[#This Row],[Strength (ksi)]]),0.877*Table_03[[#This Row],[Fe,y]])</f>
        <v>35.774545921832818</v>
      </c>
      <c r="T149" s="190">
        <f>Table_03[[#This Row],[Fcr,y]]*Table_03[[#This Row],[Sectional Area (in2)]]</f>
        <v>1051.7716501018847</v>
      </c>
      <c r="U149" s="190">
        <f>1.76*Table_03[[#This Row],[ry (in)2]]*SQRT($B$4/Table_03[[#This Row],[Strength (ksi)]])/12</f>
        <v>9.3725318746588755</v>
      </c>
      <c r="V14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56.569037197940311</v>
      </c>
      <c r="W149" s="190">
        <f>Table_03[[#This Row],[Depth h (in)]]-Table_03[[#This Row],[Flange Thickness tf (in)]]</f>
        <v>9.9879999999999995</v>
      </c>
      <c r="X149" s="190">
        <f>(Table_03[[#This Row],[Static Parameters Moment of Inertia Iy (in4)]]*Table_03[[#This Row],[ho]]^2)/4</f>
        <v>5162.5874519999998</v>
      </c>
      <c r="Y149" s="190">
        <f>SQRT((SQRT(Table_03[[#This Row],[Static Parameters Moment of Inertia Iy (in4)]]*Table_03[[#This Row],[Cw*]])/Table_03[[#This Row],[Static Parameters Elastic Section Modulus Sx (in3)2]]))</f>
        <v>3.0380885673161577</v>
      </c>
      <c r="Z149" s="190">
        <f>(2*Table_03[[#This Row],[Width w (in)]]*Table_03[[#This Row],[Flange Thickness tf (in)]]^3/3)+((Table_03[[#This Row],[Depth h (in)]]-Table_03[[#This Row],[Flange Thickness tf (in)]]*2)*Table_03[[#This Row],[Web Thickness tw (in)]]^3)/3</f>
        <v>10.408887367680004</v>
      </c>
      <c r="AA149" s="190">
        <f>Table_03[[#This Row],[Width w (in)]]*0.5/Table_03[[#This Row],[Flange Thickness tf (in)]]</f>
        <v>4.6492805755395681</v>
      </c>
      <c r="AB149" s="190">
        <f>0.38*SQRT($B$4/Table_03[[#This Row],[Strength (ksi)]])</f>
        <v>9.1516118798821449</v>
      </c>
      <c r="AC149" s="190">
        <f>1*SQRT($B$4/Table_03[[#This Row],[Strength (ksi)]])</f>
        <v>24.083189157584592</v>
      </c>
      <c r="AD149" s="190">
        <f>(PI()^2*$B$4/(12*$B$5/Table_03[[#This Row],[rts]])^2)*SQRT(1+0.078*(Table_03[[#This Row],[J*]]/(Table_03[[#This Row],[Static Parameters Elastic Section Modulus Sx (in3)2]]*Table_03[[#This Row],[ho]])*$B$4/(12*$B$5/Table_03[[#This Row],[rts]])^2))</f>
        <v>366.15221104026932</v>
      </c>
      <c r="AE149" s="190">
        <f>0.69*$B$4/Table_03[[#This Row],[b/t]]^2</f>
        <v>925.7113251948266</v>
      </c>
      <c r="AF149" s="192">
        <f>Table_03[[#This Row],[Strength (ksi)]]*Table_03[[#This Row],[Static Parameters Plastic Section Modulus Zx (in3)]]</f>
        <v>6411.7998480000015</v>
      </c>
      <c r="AG149" s="190">
        <f>Table_03[[#This Row],[Mp (k-in)]]-(Table_03[[#This Row],[Mp (k-in)]]-0.7*Table_03[[#This Row],[Strength (ksi)]]*Table_03[[#This Row],[Static Parameters Elastic Section Modulus Sx (in3)2]])*((Table_03[[#This Row],[b/t]]-Table_03[[#This Row],[λpf]])/(Table_03[[#This Row],[λrf]]-Table_03[[#This Row],[λpf]]))</f>
        <v>7163.1543935482368</v>
      </c>
      <c r="AH149" s="193">
        <f>0.9*$B$4*Table_03[[#This Row],[kc]]*Table_03[[#This Row],[Static Parameters Elastic Section Modulus Sx (in3)2]]/Table_03[[#This Row],[b/t]]^2</f>
        <v>102778.1060877178</v>
      </c>
      <c r="AI149" s="194" t="str">
        <f>IF(Table_03[[#This Row],[b/t]]&lt;Table_03[[#This Row],[λpf]],"Compact",IF(AND(Table_03[[#This Row],[b/t]]&gt;Table_03[[#This Row],[λpf]],Table_03[[#This Row],[λrf]]&gt;Table_03[[#This Row],[b/t]]),"Non-Compact","Slender"))</f>
        <v>Compact</v>
      </c>
      <c r="AJ149" s="195">
        <f>IF(Table_03[[#This Row],[Controlling LBx]]="Compact",Table_03[[#This Row],[Mp (k-in)]],IF(Table_03[[#This Row],[Controlling LBx]]="Non-Compact",Table_03[[#This Row],[Mnlb,Non-Compact (k-in)]],IF(Table_03[[#This Row],[Controlling LBx]]="Slender",Table_03[[#This Row],[Mnlb,slender (k-in)]],"ERROR")))</f>
        <v>6411.7998480000015</v>
      </c>
      <c r="AK149" s="192">
        <f>Table_03[[#This Row],[Mp (k-in)]]-(Table_03[[#This Row],[Mp (k-in)]]-0.7*Table_03[[#This Row],[Strength (ksi)]]*Table_03[[#This Row],[Static Parameters Elastic Section Modulus Sx (in3)2]])*(($B$5-Table_03[[#This Row],[Lp (ft)]])/(Table_03[[#This Row],[Lr]]-Table_03[[#This Row],[Lp (ft)]]))</f>
        <v>6530.4611672076235</v>
      </c>
      <c r="AL149" s="196">
        <f>Table_03[[#This Row],[Fcrx]]*Table_03[[#This Row],[Static Parameters Elastic Section Modulus Sx (in3)2]]</f>
        <v>41009.047636510164</v>
      </c>
      <c r="AM149" s="197" t="str">
        <f>IF($B$5&lt;Table_03[[#This Row],[Lp (ft)]],"Yielding Controls",IF(AND($B$5&gt;Table_03[[#This Row],[Lp (ft)]],Table_03[[#This Row],[Lr]]&gt;$B$5),"Mltb,p Controls","Mltb,r Controls"))</f>
        <v>Yielding Controls</v>
      </c>
      <c r="AN149" s="198">
        <f>IF(Table_03[[#This Row],[Controlling LTB]]="Yielding Controls",Table_03[[#This Row],[Mp (k-in)]],IF(Table_03[[#This Row],[Controlling LTB]]="Mltb,p Controls",Table_03[[#This Row],[Mnltbp (k-in)]],IF(Table_03[[#This Row],[Controlling LTB]]="Mltb,r Controls",Table_03[[#This Row],[Mnltbr (k-in)]],"ERROR")))</f>
        <v>6411.7998480000015</v>
      </c>
      <c r="AO149" s="199">
        <f>MIN(Table_03[[#This Row],[Strength (ksi)]]*Table_03[[#This Row],[Static Parameters Plastic Section Modulus Zy (in3)]],1.6*Table_03[[#This Row],[Strength (ksi)]]*Table_03[[#This Row],[Static Parameters Elastic Section Modulus Sy (in3)3]])</f>
        <v>3023.5569600000003</v>
      </c>
      <c r="AP149" s="169">
        <f>MIN(Table_03[[#This Row],[Mny (k-in)]],Table_03[[#This Row],[Mny (k-in)]]-(Table_03[[#This Row],[Mny (k-in)]]-0.7*Table_03[[#This Row],[Static Parameters Elastic Section Modulus Sy (in3)3]]*Table_03[[#This Row],[Strength (ksi)]])*((Table_03[[#This Row],[b/t]]-Table_03[[#This Row],[λpf]])/(Table_03[[#This Row],[λrf]]-Table_03[[#This Row],[λpf]])))</f>
        <v>3023.5569600000003</v>
      </c>
      <c r="AQ149" s="196">
        <f>MIN(Table_03[[#This Row],[Mny (k-in)]],Table_03[[#This Row],[Fcry]]*Table_03[[#This Row],[Static Parameters Elastic Section Modulus Sy (in3)3]])</f>
        <v>3023.5569600000003</v>
      </c>
      <c r="AR149" s="197" t="str">
        <f>IF(Table_03[[#This Row],[b/t]]&lt;Table_03[[#This Row],[λpf]],"Compact",IF(AND(Table_03[[#This Row],[b/t]]&gt;Table_03[[#This Row],[λpf]],Table_03[[#This Row],[λrf]]&gt;Table_03[[#This Row],[b/t]]),"Non-Compact","Slender"))</f>
        <v>Compact</v>
      </c>
      <c r="AS149" s="198">
        <f>IF(Table_03[[#This Row],[Controlling Lby]]="Compact",Table_03[[#This Row],[Mny (k-in)]],IF(Table_03[[#This Row],[Controlling Lby]]="Non-Compact",Table_03[[#This Row],[Mlby,Non-Compact (k-in)]],IF(Table_03[[#This Row],[Controlling Lby]]="Slender",Table_03[[#This Row],[Mlby,Slender (k-in)]],"ERROR")))</f>
        <v>3023.5569600000003</v>
      </c>
      <c r="AT149" s="199">
        <f>MIN(Table_03[[#This Row],[LBx]],Table_03[[#This Row],[LTB]],Table_03[[#This Row],[Mp (k-in)]])</f>
        <v>6411.7998480000015</v>
      </c>
      <c r="AU149" s="169">
        <f>Table_03[[#This Row],[Mp (k-in)]]</f>
        <v>6411.7998480000015</v>
      </c>
      <c r="AV149" s="169">
        <f>MIN(Table_03[[#This Row],[LBy]],Table_03[[#This Row],[Mny (k-in)]])</f>
        <v>3023.5569600000003</v>
      </c>
      <c r="AW149" s="200">
        <f>Table_03[[#This Row],[Mny (k-in)]]</f>
        <v>3023.5569600000003</v>
      </c>
      <c r="AX149" s="165">
        <f>SQRT(((Table_03[[#This Row],[Sectional Area (in2)]]-(Table_03[[#This Row],[Flange Thickness tf (in)]]*Table_03[[#This Row],[Width w (in)]]*2+Table_03[[#This Row],[Web Thickness tw (in)]]*((Table_03[[#This Row],[Depth h (in)]]-2*Table_03[[#This Row],[Flange Thickness tf (in)]]))))/4)/(1-PI()/4))</f>
        <v>0.65489486896493032</v>
      </c>
      <c r="AY149"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49" s="165"/>
    </row>
    <row r="150" spans="1:52" ht="14.4" thickBot="1" x14ac:dyDescent="0.35">
      <c r="A150" s="201" t="s">
        <v>242</v>
      </c>
      <c r="B150" s="202">
        <v>11.36</v>
      </c>
      <c r="C150" s="202">
        <v>10.414999999999999</v>
      </c>
      <c r="D150" s="202">
        <v>0.755</v>
      </c>
      <c r="E150" s="202">
        <v>1.25</v>
      </c>
      <c r="F150" s="203">
        <v>32.9</v>
      </c>
      <c r="G150" s="204">
        <v>112</v>
      </c>
      <c r="H150" s="203">
        <v>716</v>
      </c>
      <c r="I150" s="203">
        <v>236</v>
      </c>
      <c r="J150" s="203">
        <f>Table_03[[#This Row],[Width w (in)]]*Table_03[[#This Row],[Flange Thickness tf (in)]]*(Table_03[[#This Row],[Depth h (in)]]-Table_03[[#This Row],[Flange Thickness tf (in)]])+0.25*Table_03[[#This Row],[Web Thickness tw (in)]]*(Table_03[[#This Row],[Depth h (in)]]-2*Table_03[[#This Row],[Flange Thickness tf (in)]])^2</f>
        <v>146.43636199999997</v>
      </c>
      <c r="K150" s="203">
        <f>(Table_03[[#This Row],[Width w (in)]]^2*Table_03[[#This Row],[Flange Thickness tf (in)]])/2+0.25*Table_03[[#This Row],[Web Thickness tw (in)]]^2*(Table_03[[#This Row],[Depth h (in)]]-2*Table_03[[#This Row],[Flange Thickness tf (in)]])</f>
        <v>69.057745999999995</v>
      </c>
      <c r="L150" s="203">
        <v>126</v>
      </c>
      <c r="M150" s="203">
        <v>45.3</v>
      </c>
      <c r="N150" s="205">
        <v>50</v>
      </c>
      <c r="O150" s="206">
        <f>SQRT(Table_03[[#This Row],[Static Parameters Moment of Inertia Ix (in4)]]/Table_03[[#This Row],[Sectional Area (in2)]])</f>
        <v>4.6650742687690085</v>
      </c>
      <c r="P150" s="203">
        <f>SQRT(Table_03[[#This Row],[Static Parameters Moment of Inertia Iy (in4)]]/Table_03[[#This Row],[Sectional Area (in2)]])</f>
        <v>2.6782927919918049</v>
      </c>
      <c r="Q150" s="203">
        <f>($B$6*$B$5*12)/Table_03[[#This Row],[ry (in)2]]</f>
        <v>67.038973683856071</v>
      </c>
      <c r="R150" s="203">
        <f>(PI()^2*$B$4)/(Table_03[[#This Row],[KL/ry]]^2)</f>
        <v>63.68586169800129</v>
      </c>
      <c r="S150" s="203">
        <f>IF(Table_03[[#This Row],[Strength (ksi)]]/Table_03[[#This Row],[Fe,y]]&lt;2.25,(0.658^(Table_03[[#This Row],[Strength (ksi)]]/Table_03[[#This Row],[Fe,y]])*Table_03[[#This Row],[Strength (ksi)]]),0.877*Table_03[[#This Row],[Fe,y]])</f>
        <v>35.99635257721269</v>
      </c>
      <c r="T150" s="203">
        <f>Table_03[[#This Row],[Fcr,y]]*Table_03[[#This Row],[Sectional Area (in2)]]</f>
        <v>1184.2799997902976</v>
      </c>
      <c r="U150" s="203">
        <f>1.76*Table_03[[#This Row],[ry (in)2]]*SQRT($B$4/Table_03[[#This Row],[Strength (ksi)]])/12</f>
        <v>9.4602686829103195</v>
      </c>
      <c r="V15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63.783960036359495</v>
      </c>
      <c r="W150" s="203">
        <f>Table_03[[#This Row],[Depth h (in)]]-Table_03[[#This Row],[Flange Thickness tf (in)]]</f>
        <v>10.11</v>
      </c>
      <c r="X150" s="203">
        <f>(Table_03[[#This Row],[Static Parameters Moment of Inertia Iy (in4)]]*Table_03[[#This Row],[ho]]^2)/4</f>
        <v>6030.5138999999999</v>
      </c>
      <c r="Y150" s="203">
        <f>SQRT((SQRT(Table_03[[#This Row],[Static Parameters Moment of Inertia Iy (in4)]]*Table_03[[#This Row],[Cw*]])/Table_03[[#This Row],[Static Parameters Elastic Section Modulus Sx (in3)2]]))</f>
        <v>3.0770270128965782</v>
      </c>
      <c r="Z150" s="203">
        <f>(2*Table_03[[#This Row],[Width w (in)]]*Table_03[[#This Row],[Flange Thickness tf (in)]]^3/3)+((Table_03[[#This Row],[Depth h (in)]]-Table_03[[#This Row],[Flange Thickness tf (in)]]*2)*Table_03[[#This Row],[Web Thickness tw (in)]]^3)/3</f>
        <v>14.832220660833332</v>
      </c>
      <c r="AA150" s="203">
        <f>Table_03[[#This Row],[Width w (in)]]*0.5/Table_03[[#This Row],[Flange Thickness tf (in)]]</f>
        <v>4.1659999999999995</v>
      </c>
      <c r="AB150" s="203">
        <f>0.38*SQRT($B$4/Table_03[[#This Row],[Strength (ksi)]])</f>
        <v>9.1516118798821449</v>
      </c>
      <c r="AC150" s="203">
        <f>1*SQRT($B$4/Table_03[[#This Row],[Strength (ksi)]])</f>
        <v>24.083189157584592</v>
      </c>
      <c r="AD150" s="203">
        <f>(PI()^2*$B$4/(12*$B$5/Table_03[[#This Row],[rts]])^2)*SQRT(1+0.078*(Table_03[[#This Row],[J*]]/(Table_03[[#This Row],[Static Parameters Elastic Section Modulus Sx (in3)2]]*Table_03[[#This Row],[ho]])*$B$4/(12*$B$5/Table_03[[#This Row],[rts]])^2))</f>
        <v>376.97445773899904</v>
      </c>
      <c r="AE150" s="203">
        <f>0.69*$B$4/Table_03[[#This Row],[b/t]]^2</f>
        <v>1152.9449128567246</v>
      </c>
      <c r="AF150" s="207">
        <f>Table_03[[#This Row],[Strength (ksi)]]*Table_03[[#This Row],[Static Parameters Plastic Section Modulus Zx (in3)]]</f>
        <v>7321.8180999999986</v>
      </c>
      <c r="AG150" s="203">
        <f>Table_03[[#This Row],[Mp (k-in)]]-(Table_03[[#This Row],[Mp (k-in)]]-0.7*Table_03[[#This Row],[Strength (ksi)]]*Table_03[[#This Row],[Static Parameters Elastic Section Modulus Sx (in3)2]])*((Table_03[[#This Row],[b/t]]-Table_03[[#This Row],[λpf]])/(Table_03[[#This Row],[λrf]]-Table_03[[#This Row],[λpf]]))</f>
        <v>8294.0660173780634</v>
      </c>
      <c r="AH150" s="208">
        <f>0.9*$B$4*Table_03[[#This Row],[kc]]*Table_03[[#This Row],[Static Parameters Elastic Section Modulus Sx (in3)2]]/Table_03[[#This Row],[b/t]]^2</f>
        <v>144007.83241977385</v>
      </c>
      <c r="AI150" s="209" t="str">
        <f>IF(Table_03[[#This Row],[b/t]]&lt;Table_03[[#This Row],[λpf]],"Compact",IF(AND(Table_03[[#This Row],[b/t]]&gt;Table_03[[#This Row],[λpf]],Table_03[[#This Row],[λrf]]&gt;Table_03[[#This Row],[b/t]]),"Non-Compact","Slender"))</f>
        <v>Compact</v>
      </c>
      <c r="AJ150" s="210">
        <f>IF(Table_03[[#This Row],[Controlling LBx]]="Compact",Table_03[[#This Row],[Mp (k-in)]],IF(Table_03[[#This Row],[Controlling LBx]]="Non-Compact",Table_03[[#This Row],[Mnlb,Non-Compact (k-in)]],IF(Table_03[[#This Row],[Controlling LBx]]="Slender",Table_03[[#This Row],[Mnlb,slender (k-in)]],"ERROR")))</f>
        <v>7321.8180999999986</v>
      </c>
      <c r="AK150" s="207">
        <f>Table_03[[#This Row],[Mp (k-in)]]-(Table_03[[#This Row],[Mp (k-in)]]-0.7*Table_03[[#This Row],[Strength (ksi)]]*Table_03[[#This Row],[Static Parameters Elastic Section Modulus Sx (in3)2]])*(($B$5-Table_03[[#This Row],[Lp (ft)]])/(Table_03[[#This Row],[Lr]]-Table_03[[#This Row],[Lp (ft)]]))</f>
        <v>7446.9914350559511</v>
      </c>
      <c r="AL150" s="211">
        <f>Table_03[[#This Row],[Fcrx]]*Table_03[[#This Row],[Static Parameters Elastic Section Modulus Sx (in3)2]]</f>
        <v>47498.781675113882</v>
      </c>
      <c r="AM150" s="212" t="str">
        <f>IF($B$5&lt;Table_03[[#This Row],[Lp (ft)]],"Yielding Controls",IF(AND($B$5&gt;Table_03[[#This Row],[Lp (ft)]],Table_03[[#This Row],[Lr]]&gt;$B$5),"Mltb,p Controls","Mltb,r Controls"))</f>
        <v>Yielding Controls</v>
      </c>
      <c r="AN150" s="213">
        <f>IF(Table_03[[#This Row],[Controlling LTB]]="Yielding Controls",Table_03[[#This Row],[Mp (k-in)]],IF(Table_03[[#This Row],[Controlling LTB]]="Mltb,p Controls",Table_03[[#This Row],[Mnltbp (k-in)]],IF(Table_03[[#This Row],[Controlling LTB]]="Mltb,r Controls",Table_03[[#This Row],[Mnltbr (k-in)]],"ERROR")))</f>
        <v>7321.8180999999986</v>
      </c>
      <c r="AO150" s="214">
        <f>MIN(Table_03[[#This Row],[Strength (ksi)]]*Table_03[[#This Row],[Static Parameters Plastic Section Modulus Zy (in3)]],1.6*Table_03[[#This Row],[Strength (ksi)]]*Table_03[[#This Row],[Static Parameters Elastic Section Modulus Sy (in3)3]])</f>
        <v>3452.8872999999999</v>
      </c>
      <c r="AP150" s="206">
        <f>MIN(Table_03[[#This Row],[Mny (k-in)]],Table_03[[#This Row],[Mny (k-in)]]-(Table_03[[#This Row],[Mny (k-in)]]-0.7*Table_03[[#This Row],[Static Parameters Elastic Section Modulus Sy (in3)3]]*Table_03[[#This Row],[Strength (ksi)]])*((Table_03[[#This Row],[b/t]]-Table_03[[#This Row],[λpf]])/(Table_03[[#This Row],[λrf]]-Table_03[[#This Row],[λpf]])))</f>
        <v>3452.8872999999999</v>
      </c>
      <c r="AQ150" s="211">
        <f>MIN(Table_03[[#This Row],[Mny (k-in)]],Table_03[[#This Row],[Fcry]]*Table_03[[#This Row],[Static Parameters Elastic Section Modulus Sy (in3)3]])</f>
        <v>3452.8872999999999</v>
      </c>
      <c r="AR150" s="212" t="str">
        <f>IF(Table_03[[#This Row],[b/t]]&lt;Table_03[[#This Row],[λpf]],"Compact",IF(AND(Table_03[[#This Row],[b/t]]&gt;Table_03[[#This Row],[λpf]],Table_03[[#This Row],[λrf]]&gt;Table_03[[#This Row],[b/t]]),"Non-Compact","Slender"))</f>
        <v>Compact</v>
      </c>
      <c r="AS150" s="213">
        <f>IF(Table_03[[#This Row],[Controlling Lby]]="Compact",Table_03[[#This Row],[Mny (k-in)]],IF(Table_03[[#This Row],[Controlling Lby]]="Non-Compact",Table_03[[#This Row],[Mlby,Non-Compact (k-in)]],IF(Table_03[[#This Row],[Controlling Lby]]="Slender",Table_03[[#This Row],[Mlby,Slender (k-in)]],"ERROR")))</f>
        <v>3452.8872999999999</v>
      </c>
      <c r="AT150" s="214">
        <f>MIN(Table_03[[#This Row],[LBx]],Table_03[[#This Row],[LTB]],Table_03[[#This Row],[Mp (k-in)]])</f>
        <v>7321.8180999999986</v>
      </c>
      <c r="AU150" s="206">
        <f>Table_03[[#This Row],[Mp (k-in)]]</f>
        <v>7321.8180999999986</v>
      </c>
      <c r="AV150" s="206">
        <f>MIN(Table_03[[#This Row],[LBy]],Table_03[[#This Row],[Mny (k-in)]])</f>
        <v>3452.8872999999999</v>
      </c>
      <c r="AW150" s="215">
        <f>Table_03[[#This Row],[Mny (k-in)]]</f>
        <v>3452.8872999999999</v>
      </c>
      <c r="AX150" s="165">
        <f>SQRT(((Table_03[[#This Row],[Sectional Area (in2)]]-(Table_03[[#This Row],[Flange Thickness tf (in)]]*Table_03[[#This Row],[Width w (in)]]*2+Table_03[[#This Row],[Web Thickness tw (in)]]*((Table_03[[#This Row],[Depth h (in)]]-2*Table_03[[#This Row],[Flange Thickness tf (in)]]))))/4)/(1-PI()/4))</f>
        <v>0.44918705397851255</v>
      </c>
      <c r="AY150"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50" s="165"/>
    </row>
    <row r="151" spans="1:52" x14ac:dyDescent="0.3">
      <c r="A151" s="179" t="s">
        <v>243</v>
      </c>
      <c r="B151" s="180">
        <v>11.91</v>
      </c>
      <c r="C151" s="180">
        <v>3.97</v>
      </c>
      <c r="D151" s="180">
        <v>0.2</v>
      </c>
      <c r="E151" s="180">
        <v>0.22500000000000001</v>
      </c>
      <c r="F151" s="181">
        <v>4.2</v>
      </c>
      <c r="G151" s="180">
        <v>14</v>
      </c>
      <c r="H151" s="180">
        <v>88.6</v>
      </c>
      <c r="I151" s="180">
        <v>2.4</v>
      </c>
      <c r="J151" s="181">
        <f>Table_03[[#This Row],[Width w (in)]]*Table_03[[#This Row],[Flange Thickness tf (in)]]*(Table_03[[#This Row],[Depth h (in)]]-Table_03[[#This Row],[Flange Thickness tf (in)]])+0.25*Table_03[[#This Row],[Web Thickness tw (in)]]*(Table_03[[#This Row],[Depth h (in)]]-2*Table_03[[#This Row],[Flange Thickness tf (in)]])^2</f>
        <v>17.004206250000003</v>
      </c>
      <c r="K151" s="181">
        <f>(Table_03[[#This Row],[Width w (in)]]^2*Table_03[[#This Row],[Flange Thickness tf (in)]])/2+0.25*Table_03[[#This Row],[Web Thickness tw (in)]]^2*(Table_03[[#This Row],[Depth h (in)]]-2*Table_03[[#This Row],[Flange Thickness tf (in)]])</f>
        <v>1.8877012500000001</v>
      </c>
      <c r="L151" s="181">
        <v>14.9</v>
      </c>
      <c r="M151" s="181">
        <v>1.2</v>
      </c>
      <c r="N151" s="182">
        <v>50</v>
      </c>
      <c r="O151" s="181">
        <f>SQRT(Table_03[[#This Row],[Static Parameters Moment of Inertia Ix (in4)]]/Table_03[[#This Row],[Sectional Area (in2)]])</f>
        <v>4.5929552681512247</v>
      </c>
      <c r="P151" s="181">
        <f>SQRT(Table_03[[#This Row],[Static Parameters Moment of Inertia Iy (in4)]]/Table_03[[#This Row],[Sectional Area (in2)]])</f>
        <v>0.7559289460184544</v>
      </c>
      <c r="Q151" s="181">
        <f>($B$6*$B$5*12)/Table_03[[#This Row],[ry (in)2]]</f>
        <v>237.52232395082365</v>
      </c>
      <c r="R151" s="181">
        <f>(PI()^2*$B$4)/(Table_03[[#This Row],[KL/ry]]^2)</f>
        <v>5.0732805081458663</v>
      </c>
      <c r="S151" s="181">
        <f>IF(Table_03[[#This Row],[Strength (ksi)]]/Table_03[[#This Row],[Fe,y]]&lt;2.25,(0.658^(Table_03[[#This Row],[Strength (ksi)]]/Table_03[[#This Row],[Fe,y]])*Table_03[[#This Row],[Strength (ksi)]]),0.877*Table_03[[#This Row],[Fe,y]])</f>
        <v>4.4492670056439243</v>
      </c>
      <c r="T151" s="181">
        <f>Table_03[[#This Row],[Fcr,y]]*Table_03[[#This Row],[Sectional Area (in2)]]</f>
        <v>18.686921423704483</v>
      </c>
      <c r="U151" s="181">
        <f>1.76*Table_03[[#This Row],[ry (in)2]]*SQRT($B$4/Table_03[[#This Row],[Strength (ksi)]])/12</f>
        <v>2.6700930368428786</v>
      </c>
      <c r="V151"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7.7338599247205169</v>
      </c>
      <c r="W151" s="181">
        <f>Table_03[[#This Row],[Depth h (in)]]-Table_03[[#This Row],[Flange Thickness tf (in)]]</f>
        <v>11.685</v>
      </c>
      <c r="X151" s="181">
        <f>(Table_03[[#This Row],[Static Parameters Moment of Inertia Iy (in4)]]*Table_03[[#This Row],[ho]]^2)/4</f>
        <v>81.923535000000001</v>
      </c>
      <c r="Y151" s="181">
        <f>SQRT((SQRT(Table_03[[#This Row],[Static Parameters Moment of Inertia Iy (in4)]]*Table_03[[#This Row],[Cw*]])/Table_03[[#This Row],[Static Parameters Elastic Section Modulus Sx (in3)2]]))</f>
        <v>0.97008959663700944</v>
      </c>
      <c r="Z151" s="181">
        <f>(2*Table_03[[#This Row],[Width w (in)]]*Table_03[[#This Row],[Flange Thickness tf (in)]]^3/3)+((Table_03[[#This Row],[Depth h (in)]]-Table_03[[#This Row],[Flange Thickness tf (in)]]*2)*Table_03[[#This Row],[Web Thickness tw (in)]]^3)/3</f>
        <v>6.0707187500000009E-2</v>
      </c>
      <c r="AA151" s="181">
        <f>Table_03[[#This Row],[Width w (in)]]*0.5/Table_03[[#This Row],[Flange Thickness tf (in)]]</f>
        <v>8.8222222222222229</v>
      </c>
      <c r="AB151" s="181">
        <f>0.38*SQRT($B$4/Table_03[[#This Row],[Strength (ksi)]])</f>
        <v>9.1516118798821449</v>
      </c>
      <c r="AC151" s="181">
        <f>1*SQRT($B$4/Table_03[[#This Row],[Strength (ksi)]])</f>
        <v>24.083189157584592</v>
      </c>
      <c r="AD151" s="181">
        <f>(PI()^2*$B$4/(12*$B$5/Table_03[[#This Row],[rts]])^2)*SQRT(1+0.078*(Table_03[[#This Row],[J*]]/(Table_03[[#This Row],[Static Parameters Elastic Section Modulus Sx (in3)2]]*Table_03[[#This Row],[ho]])*$B$4/(12*$B$5/Table_03[[#This Row],[rts]])^2))</f>
        <v>36.847773816275755</v>
      </c>
      <c r="AE151" s="181">
        <f>0.69*$B$4/Table_03[[#This Row],[b/t]]^2</f>
        <v>257.09350354357935</v>
      </c>
      <c r="AF151" s="183">
        <f>Table_03[[#This Row],[Strength (ksi)]]*Table_03[[#This Row],[Static Parameters Plastic Section Modulus Zx (in3)]]</f>
        <v>850.2103125000001</v>
      </c>
      <c r="AG151" s="181">
        <f>Table_03[[#This Row],[Mp (k-in)]]-(Table_03[[#This Row],[Mp (k-in)]]-0.7*Table_03[[#This Row],[Strength (ksi)]]*Table_03[[#This Row],[Static Parameters Elastic Section Modulus Sx (in3)2]])*((Table_03[[#This Row],[b/t]]-Table_03[[#This Row],[λpf]])/(Table_03[[#This Row],[λrf]]-Table_03[[#This Row],[λpf]]))</f>
        <v>857.4616413643223</v>
      </c>
      <c r="AH151" s="184">
        <f>0.9*$B$4*Table_03[[#This Row],[kc]]*Table_03[[#This Row],[Static Parameters Elastic Section Modulus Sx (in3)2]]/Table_03[[#This Row],[b/t]]^2</f>
        <v>2589.9411635194419</v>
      </c>
      <c r="AI151" s="185" t="str">
        <f>IF(Table_03[[#This Row],[b/t]]&lt;Table_03[[#This Row],[λpf]],"Compact",IF(AND(Table_03[[#This Row],[b/t]]&gt;Table_03[[#This Row],[λpf]],Table_03[[#This Row],[λrf]]&gt;Table_03[[#This Row],[b/t]]),"Non-Compact","Slender"))</f>
        <v>Compact</v>
      </c>
      <c r="AJ151" s="186">
        <f>IF(Table_03[[#This Row],[Controlling LBx]]="Compact",Table_03[[#This Row],[Mp (k-in)]],IF(Table_03[[#This Row],[Controlling LBx]]="Non-Compact",Table_03[[#This Row],[Mnlb,Non-Compact (k-in)]],IF(Table_03[[#This Row],[Controlling LBx]]="Slender",Table_03[[#This Row],[Mnlb,slender (k-in)]],"ERROR")))</f>
        <v>850.2103125000001</v>
      </c>
      <c r="AK151" s="183">
        <f>Table_03[[#This Row],[Mp (k-in)]]-(Table_03[[#This Row],[Mp (k-in)]]-0.7*Table_03[[#This Row],[Strength (ksi)]]*Table_03[[#This Row],[Static Parameters Elastic Section Modulus Sx (in3)2]])*(($B$5-Table_03[[#This Row],[Lp (ft)]])/(Table_03[[#This Row],[Lr]]-Table_03[[#This Row],[Lp (ft)]]))</f>
        <v>561.02364722845505</v>
      </c>
      <c r="AL151" s="184">
        <f>Table_03[[#This Row],[Fcrx]]*Table_03[[#This Row],[Static Parameters Elastic Section Modulus Sx (in3)2]]</f>
        <v>549.03182986250874</v>
      </c>
      <c r="AM151" s="185" t="str">
        <f>IF($B$5&lt;Table_03[[#This Row],[Lp (ft)]],"Yielding Controls",IF(AND($B$5&gt;Table_03[[#This Row],[Lp (ft)]],Table_03[[#This Row],[Lr]]&gt;$B$5),"Mltb,p Controls","Mltb,r Controls"))</f>
        <v>Mltb,p Controls</v>
      </c>
      <c r="AN151" s="186">
        <f>IF(Table_03[[#This Row],[Controlling LTB]]="Yielding Controls",Table_03[[#This Row],[Mp (k-in)]],IF(Table_03[[#This Row],[Controlling LTB]]="Mltb,p Controls",Table_03[[#This Row],[Mnltbp (k-in)]],IF(Table_03[[#This Row],[Controlling LTB]]="Mltb,r Controls",Table_03[[#This Row],[Mnltbr (k-in)]],"ERROR")))</f>
        <v>561.02364722845505</v>
      </c>
      <c r="AO151" s="183">
        <f>MIN(Table_03[[#This Row],[Strength (ksi)]]*Table_03[[#This Row],[Static Parameters Plastic Section Modulus Zy (in3)]],1.6*Table_03[[#This Row],[Strength (ksi)]]*Table_03[[#This Row],[Static Parameters Elastic Section Modulus Sy (in3)3]])</f>
        <v>94.385062500000004</v>
      </c>
      <c r="AP151" s="181">
        <f>MIN(Table_03[[#This Row],[Mny (k-in)]],Table_03[[#This Row],[Mny (k-in)]]-(Table_03[[#This Row],[Mny (k-in)]]-0.7*Table_03[[#This Row],[Static Parameters Elastic Section Modulus Sy (in3)3]]*Table_03[[#This Row],[Strength (ksi)]])*((Table_03[[#This Row],[b/t]]-Table_03[[#This Row],[λpf]])/(Table_03[[#This Row],[λrf]]-Table_03[[#This Row],[λpf]])))</f>
        <v>94.385062500000004</v>
      </c>
      <c r="AQ151" s="184">
        <f>MIN(Table_03[[#This Row],[Mny (k-in)]],Table_03[[#This Row],[Fcry]]*Table_03[[#This Row],[Static Parameters Elastic Section Modulus Sy (in3)3]])</f>
        <v>94.385062500000004</v>
      </c>
      <c r="AR151" s="185" t="str">
        <f>IF(Table_03[[#This Row],[b/t]]&lt;Table_03[[#This Row],[λpf]],"Compact",IF(AND(Table_03[[#This Row],[b/t]]&gt;Table_03[[#This Row],[λpf]],Table_03[[#This Row],[λrf]]&gt;Table_03[[#This Row],[b/t]]),"Non-Compact","Slender"))</f>
        <v>Compact</v>
      </c>
      <c r="AS151" s="186">
        <f>IF(Table_03[[#This Row],[Controlling Lby]]="Compact",Table_03[[#This Row],[Mny (k-in)]],IF(Table_03[[#This Row],[Controlling Lby]]="Non-Compact",Table_03[[#This Row],[Mlby,Non-Compact (k-in)]],IF(Table_03[[#This Row],[Controlling Lby]]="Slender",Table_03[[#This Row],[Mlby,Slender (k-in)]],"ERROR")))</f>
        <v>94.385062500000004</v>
      </c>
      <c r="AT151" s="183">
        <f>MIN(Table_03[[#This Row],[LBx]],Table_03[[#This Row],[LTB]],Table_03[[#This Row],[Mp (k-in)]])</f>
        <v>561.02364722845505</v>
      </c>
      <c r="AU151" s="181">
        <f>Table_03[[#This Row],[Mp (k-in)]]</f>
        <v>850.2103125000001</v>
      </c>
      <c r="AV151" s="181">
        <f>MIN(Table_03[[#This Row],[LBy]],Table_03[[#This Row],[Mny (k-in)]])</f>
        <v>94.385062500000004</v>
      </c>
      <c r="AW151" s="187">
        <f>Table_03[[#This Row],[Mny (k-in)]]</f>
        <v>94.385062500000004</v>
      </c>
      <c r="AX151" s="165">
        <f>SQRT(((Table_03[[#This Row],[Sectional Area (in2)]]-(Table_03[[#This Row],[Flange Thickness tf (in)]]*Table_03[[#This Row],[Width w (in)]]*2+Table_03[[#This Row],[Web Thickness tw (in)]]*((Table_03[[#This Row],[Depth h (in)]]-2*Table_03[[#This Row],[Flange Thickness tf (in)]]))))/4)/(1-PI()/4))</f>
        <v>0.3762196075793191</v>
      </c>
      <c r="AY151" s="165">
        <f>IF(4/SQRT((Table_03[[#This Row],[Depth h (in)]]-Table_03[[#This Row],[Flange Thickness tf (in)]]*2)/Table_03[[#This Row],[Web Thickness tw (in)]])&lt;0.35,0.35,IF(4/SQRT(Table_03[[#This Row],[Depth h (in)]]/Table_03[[#This Row],[Web Thickness tw (in)]])&gt;0.76,0.76,4/SQRT(Table_03[[#This Row],[Depth h (in)]]/Table_03[[#This Row],[Web Thickness tw (in)]])))</f>
        <v>0.51834523246268271</v>
      </c>
      <c r="AZ151" s="165"/>
    </row>
    <row r="152" spans="1:52" x14ac:dyDescent="0.3">
      <c r="A152" s="188" t="s">
        <v>244</v>
      </c>
      <c r="B152" s="189">
        <v>11.94</v>
      </c>
      <c r="C152" s="189">
        <v>8.0050000000000008</v>
      </c>
      <c r="D152" s="189">
        <v>0.29499999999999998</v>
      </c>
      <c r="E152" s="189">
        <v>0.51500000000000001</v>
      </c>
      <c r="F152" s="190">
        <v>11.8</v>
      </c>
      <c r="G152" s="189">
        <v>40</v>
      </c>
      <c r="H152" s="190">
        <v>310</v>
      </c>
      <c r="I152" s="190">
        <v>44.1</v>
      </c>
      <c r="J152" s="190">
        <f>Table_03[[#This Row],[Width w (in)]]*Table_03[[#This Row],[Flange Thickness tf (in)]]*(Table_03[[#This Row],[Depth h (in)]]-Table_03[[#This Row],[Flange Thickness tf (in)]])+0.25*Table_03[[#This Row],[Web Thickness tw (in)]]*(Table_03[[#This Row],[Depth h (in)]]-2*Table_03[[#This Row],[Flange Thickness tf (in)]])^2</f>
        <v>55.878741750000003</v>
      </c>
      <c r="K152" s="190">
        <f>(Table_03[[#This Row],[Width w (in)]]^2*Table_03[[#This Row],[Flange Thickness tf (in)]])/2+0.25*Table_03[[#This Row],[Web Thickness tw (in)]]^2*(Table_03[[#This Row],[Depth h (in)]]-2*Table_03[[#This Row],[Flange Thickness tf (in)]])</f>
        <v>16.737967125000004</v>
      </c>
      <c r="L152" s="190">
        <v>51.9</v>
      </c>
      <c r="M152" s="190">
        <v>11</v>
      </c>
      <c r="N152" s="191">
        <v>50</v>
      </c>
      <c r="O152" s="169">
        <f>SQRT(Table_03[[#This Row],[Static Parameters Moment of Inertia Ix (in4)]]/Table_03[[#This Row],[Sectional Area (in2)]])</f>
        <v>5.1255425508601489</v>
      </c>
      <c r="P152" s="190">
        <f>SQRT(Table_03[[#This Row],[Static Parameters Moment of Inertia Iy (in4)]]/Table_03[[#This Row],[Sectional Area (in2)]])</f>
        <v>1.933206697586479</v>
      </c>
      <c r="Q152" s="190">
        <f>($B$6*$B$5*12)/Table_03[[#This Row],[ry (in)2]]</f>
        <v>92.876773199761857</v>
      </c>
      <c r="R152" s="190">
        <f>(PI()^2*$B$4)/(Table_03[[#This Row],[KL/ry]]^2)</f>
        <v>33.180544340352299</v>
      </c>
      <c r="S152" s="190">
        <f>IF(Table_03[[#This Row],[Strength (ksi)]]/Table_03[[#This Row],[Fe,y]]&lt;2.25,(0.658^(Table_03[[#This Row],[Strength (ksi)]]/Table_03[[#This Row],[Fe,y]])*Table_03[[#This Row],[Strength (ksi)]]),0.877*Table_03[[#This Row],[Fe,y]])</f>
        <v>26.610516310996651</v>
      </c>
      <c r="T152" s="190">
        <f>Table_03[[#This Row],[Fcr,y]]*Table_03[[#This Row],[Sectional Area (in2)]]</f>
        <v>314.00409246976051</v>
      </c>
      <c r="U152" s="190">
        <f>1.76*Table_03[[#This Row],[ry (in)2]]*SQRT($B$4/Table_03[[#This Row],[Strength (ksi)]])/12</f>
        <v>6.8284747782070747</v>
      </c>
      <c r="V15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20.589342114020688</v>
      </c>
      <c r="W152" s="190">
        <f>Table_03[[#This Row],[Depth h (in)]]-Table_03[[#This Row],[Flange Thickness tf (in)]]</f>
        <v>11.424999999999999</v>
      </c>
      <c r="X152" s="190">
        <f>(Table_03[[#This Row],[Static Parameters Moment of Inertia Iy (in4)]]*Table_03[[#This Row],[ho]]^2)/4</f>
        <v>1439.100140625</v>
      </c>
      <c r="Y152" s="190">
        <f>SQRT((SQRT(Table_03[[#This Row],[Static Parameters Moment of Inertia Iy (in4)]]*Table_03[[#This Row],[Cw*]])/Table_03[[#This Row],[Static Parameters Elastic Section Modulus Sx (in3)2]]))</f>
        <v>2.2031736174072405</v>
      </c>
      <c r="Z152" s="190">
        <f>(2*Table_03[[#This Row],[Width w (in)]]*Table_03[[#This Row],[Flange Thickness tf (in)]]^3/3)+((Table_03[[#This Row],[Depth h (in)]]-Table_03[[#This Row],[Flange Thickness tf (in)]]*2)*Table_03[[#This Row],[Web Thickness tw (in)]]^3)/3</f>
        <v>0.82230184000000017</v>
      </c>
      <c r="AA152" s="190">
        <f>Table_03[[#This Row],[Width w (in)]]*0.5/Table_03[[#This Row],[Flange Thickness tf (in)]]</f>
        <v>7.7718446601941755</v>
      </c>
      <c r="AB152" s="190">
        <f>0.38*SQRT($B$4/Table_03[[#This Row],[Strength (ksi)]])</f>
        <v>9.1516118798821449</v>
      </c>
      <c r="AC152" s="190">
        <f>1*SQRT($B$4/Table_03[[#This Row],[Strength (ksi)]])</f>
        <v>24.083189157584592</v>
      </c>
      <c r="AD152" s="190">
        <f>(PI()^2*$B$4/(12*$B$5/Table_03[[#This Row],[rts]])^2)*SQRT(1+0.078*(Table_03[[#This Row],[J*]]/(Table_03[[#This Row],[Static Parameters Elastic Section Modulus Sx (in3)2]]*Table_03[[#This Row],[ho]])*$B$4/(12*$B$5/Table_03[[#This Row],[rts]])^2))</f>
        <v>190.24567004802978</v>
      </c>
      <c r="AE152" s="190">
        <f>0.69*$B$4/Table_03[[#This Row],[b/t]]^2</f>
        <v>331.28278273923888</v>
      </c>
      <c r="AF152" s="192">
        <f>Table_03[[#This Row],[Strength (ksi)]]*Table_03[[#This Row],[Static Parameters Plastic Section Modulus Zx (in3)]]</f>
        <v>2793.9370875</v>
      </c>
      <c r="AG152" s="190">
        <f>Table_03[[#This Row],[Mp (k-in)]]-(Table_03[[#This Row],[Mp (k-in)]]-0.7*Table_03[[#This Row],[Strength (ksi)]]*Table_03[[#This Row],[Static Parameters Elastic Section Modulus Sx (in3)2]])*((Table_03[[#This Row],[b/t]]-Table_03[[#This Row],[λpf]])/(Table_03[[#This Row],[λrf]]-Table_03[[#This Row],[λpf]]))</f>
        <v>2884.2581317913969</v>
      </c>
      <c r="AH152" s="193">
        <f>0.9*$B$4*Table_03[[#This Row],[kc]]*Table_03[[#This Row],[Static Parameters Elastic Section Modulus Sx (in3)2]]/Table_03[[#This Row],[b/t]]^2</f>
        <v>14100.304062990797</v>
      </c>
      <c r="AI152" s="194" t="str">
        <f>IF(Table_03[[#This Row],[b/t]]&lt;Table_03[[#This Row],[λpf]],"Compact",IF(AND(Table_03[[#This Row],[b/t]]&gt;Table_03[[#This Row],[λpf]],Table_03[[#This Row],[λrf]]&gt;Table_03[[#This Row],[b/t]]),"Non-Compact","Slender"))</f>
        <v>Compact</v>
      </c>
      <c r="AJ152" s="195">
        <f>IF(Table_03[[#This Row],[Controlling LBx]]="Compact",Table_03[[#This Row],[Mp (k-in)]],IF(Table_03[[#This Row],[Controlling LBx]]="Non-Compact",Table_03[[#This Row],[Mnlb,Non-Compact (k-in)]],IF(Table_03[[#This Row],[Controlling LBx]]="Slender",Table_03[[#This Row],[Mnlb,slender (k-in)]],"ERROR")))</f>
        <v>2793.9370875</v>
      </c>
      <c r="AK152" s="192">
        <f>Table_03[[#This Row],[Mp (k-in)]]-(Table_03[[#This Row],[Mp (k-in)]]-0.7*Table_03[[#This Row],[Strength (ksi)]]*Table_03[[#This Row],[Static Parameters Elastic Section Modulus Sx (in3)2]])*(($B$5-Table_03[[#This Row],[Lp (ft)]])/(Table_03[[#This Row],[Lr]]-Table_03[[#This Row],[Lp (ft)]]))</f>
        <v>2772.8748432325001</v>
      </c>
      <c r="AL152" s="196">
        <f>Table_03[[#This Row],[Fcrx]]*Table_03[[#This Row],[Static Parameters Elastic Section Modulus Sx (in3)2]]</f>
        <v>9873.7502754927445</v>
      </c>
      <c r="AM152" s="197" t="str">
        <f>IF($B$5&lt;Table_03[[#This Row],[Lp (ft)]],"Yielding Controls",IF(AND($B$5&gt;Table_03[[#This Row],[Lp (ft)]],Table_03[[#This Row],[Lr]]&gt;$B$5),"Mltb,p Controls","Mltb,r Controls"))</f>
        <v>Mltb,p Controls</v>
      </c>
      <c r="AN152" s="198">
        <f>IF(Table_03[[#This Row],[Controlling LTB]]="Yielding Controls",Table_03[[#This Row],[Mp (k-in)]],IF(Table_03[[#This Row],[Controlling LTB]]="Mltb,p Controls",Table_03[[#This Row],[Mnltbp (k-in)]],IF(Table_03[[#This Row],[Controlling LTB]]="Mltb,r Controls",Table_03[[#This Row],[Mnltbr (k-in)]],"ERROR")))</f>
        <v>2772.8748432325001</v>
      </c>
      <c r="AO152" s="199">
        <f>MIN(Table_03[[#This Row],[Strength (ksi)]]*Table_03[[#This Row],[Static Parameters Plastic Section Modulus Zy (in3)]],1.6*Table_03[[#This Row],[Strength (ksi)]]*Table_03[[#This Row],[Static Parameters Elastic Section Modulus Sy (in3)3]])</f>
        <v>836.89835625000023</v>
      </c>
      <c r="AP152" s="169">
        <f>MIN(Table_03[[#This Row],[Mny (k-in)]],Table_03[[#This Row],[Mny (k-in)]]-(Table_03[[#This Row],[Mny (k-in)]]-0.7*Table_03[[#This Row],[Static Parameters Elastic Section Modulus Sy (in3)3]]*Table_03[[#This Row],[Strength (ksi)]])*((Table_03[[#This Row],[b/t]]-Table_03[[#This Row],[λpf]])/(Table_03[[#This Row],[λrf]]-Table_03[[#This Row],[λpf]])))</f>
        <v>836.89835625000023</v>
      </c>
      <c r="AQ152" s="196">
        <f>MIN(Table_03[[#This Row],[Mny (k-in)]],Table_03[[#This Row],[Fcry]]*Table_03[[#This Row],[Static Parameters Elastic Section Modulus Sy (in3)3]])</f>
        <v>836.89835625000023</v>
      </c>
      <c r="AR152" s="197" t="str">
        <f>IF(Table_03[[#This Row],[b/t]]&lt;Table_03[[#This Row],[λpf]],"Compact",IF(AND(Table_03[[#This Row],[b/t]]&gt;Table_03[[#This Row],[λpf]],Table_03[[#This Row],[λrf]]&gt;Table_03[[#This Row],[b/t]]),"Non-Compact","Slender"))</f>
        <v>Compact</v>
      </c>
      <c r="AS152" s="198">
        <f>IF(Table_03[[#This Row],[Controlling Lby]]="Compact",Table_03[[#This Row],[Mny (k-in)]],IF(Table_03[[#This Row],[Controlling Lby]]="Non-Compact",Table_03[[#This Row],[Mlby,Non-Compact (k-in)]],IF(Table_03[[#This Row],[Controlling Lby]]="Slender",Table_03[[#This Row],[Mlby,Slender (k-in)]],"ERROR")))</f>
        <v>836.89835625000023</v>
      </c>
      <c r="AT152" s="199">
        <f>MIN(Table_03[[#This Row],[LBx]],Table_03[[#This Row],[LTB]],Table_03[[#This Row],[Mp (k-in)]])</f>
        <v>2772.8748432325001</v>
      </c>
      <c r="AU152" s="169">
        <f>Table_03[[#This Row],[Mp (k-in)]]</f>
        <v>2793.9370875</v>
      </c>
      <c r="AV152" s="169">
        <f>MIN(Table_03[[#This Row],[LBy]],Table_03[[#This Row],[Mny (k-in)]])</f>
        <v>836.89835625000023</v>
      </c>
      <c r="AW152" s="200">
        <f>Table_03[[#This Row],[Mny (k-in)]]</f>
        <v>836.89835625000023</v>
      </c>
      <c r="AX152" s="165">
        <f>SQRT(((Table_03[[#This Row],[Sectional Area (in2)]]-(Table_03[[#This Row],[Flange Thickness tf (in)]]*Table_03[[#This Row],[Width w (in)]]*2+Table_03[[#This Row],[Web Thickness tw (in)]]*((Table_03[[#This Row],[Depth h (in)]]-2*Table_03[[#This Row],[Flange Thickness tf (in)]]))))/4)/(1-PI()/4))</f>
        <v>0.62601001430326564</v>
      </c>
      <c r="AY152" s="165">
        <f>IF(4/SQRT((Table_03[[#This Row],[Depth h (in)]]-Table_03[[#This Row],[Flange Thickness tf (in)]]*2)/Table_03[[#This Row],[Web Thickness tw (in)]])&lt;0.35,0.35,IF(4/SQRT(Table_03[[#This Row],[Depth h (in)]]/Table_03[[#This Row],[Web Thickness tw (in)]])&gt;0.76,0.76,4/SQRT(Table_03[[#This Row],[Depth h (in)]]/Table_03[[#This Row],[Web Thickness tw (in)]])))</f>
        <v>0.62873673564304211</v>
      </c>
      <c r="AZ152" s="165"/>
    </row>
    <row r="153" spans="1:52" ht="14.4" thickBot="1" x14ac:dyDescent="0.35">
      <c r="A153" s="201" t="s">
        <v>245</v>
      </c>
      <c r="B153" s="202">
        <v>11.99</v>
      </c>
      <c r="C153" s="202">
        <v>3.99</v>
      </c>
      <c r="D153" s="202">
        <v>0.22</v>
      </c>
      <c r="E153" s="202">
        <v>0.26500000000000001</v>
      </c>
      <c r="F153" s="203">
        <v>4.7</v>
      </c>
      <c r="G153" s="204">
        <v>16</v>
      </c>
      <c r="H153" s="203">
        <v>103</v>
      </c>
      <c r="I153" s="203">
        <v>2.8</v>
      </c>
      <c r="J153" s="203">
        <f>Table_03[[#This Row],[Width w (in)]]*Table_03[[#This Row],[Flange Thickness tf (in)]]*(Table_03[[#This Row],[Depth h (in)]]-Table_03[[#This Row],[Flange Thickness tf (in)]])+0.25*Table_03[[#This Row],[Web Thickness tw (in)]]*(Table_03[[#This Row],[Depth h (in)]]-2*Table_03[[#This Row],[Flange Thickness tf (in)]])^2</f>
        <v>19.620666749999998</v>
      </c>
      <c r="K153" s="203">
        <f>(Table_03[[#This Row],[Width w (in)]]^2*Table_03[[#This Row],[Flange Thickness tf (in)]])/2+0.25*Table_03[[#This Row],[Web Thickness tw (in)]]^2*(Table_03[[#This Row],[Depth h (in)]]-2*Table_03[[#This Row],[Flange Thickness tf (in)]])</f>
        <v>2.2480792500000004</v>
      </c>
      <c r="L153" s="203">
        <v>17.100000000000001</v>
      </c>
      <c r="M153" s="203">
        <v>1.4</v>
      </c>
      <c r="N153" s="205">
        <v>50</v>
      </c>
      <c r="O153" s="206">
        <f>SQRT(Table_03[[#This Row],[Static Parameters Moment of Inertia Ix (in4)]]/Table_03[[#This Row],[Sectional Area (in2)]])</f>
        <v>4.681334597849343</v>
      </c>
      <c r="P153" s="203">
        <f>SQRT(Table_03[[#This Row],[Static Parameters Moment of Inertia Iy (in4)]]/Table_03[[#This Row],[Sectional Area (in2)]])</f>
        <v>0.77184498498795973</v>
      </c>
      <c r="Q153" s="203">
        <f>($B$6*$B$5*12)/Table_03[[#This Row],[ry (in)2]]</f>
        <v>232.62443041305875</v>
      </c>
      <c r="R153" s="203">
        <f>(PI()^2*$B$4)/(Table_03[[#This Row],[KL/ry]]^2)</f>
        <v>5.2891647850882428</v>
      </c>
      <c r="S153" s="203">
        <f>IF(Table_03[[#This Row],[Strength (ksi)]]/Table_03[[#This Row],[Fe,y]]&lt;2.25,(0.658^(Table_03[[#This Row],[Strength (ksi)]]/Table_03[[#This Row],[Fe,y]])*Table_03[[#This Row],[Strength (ksi)]]),0.877*Table_03[[#This Row],[Fe,y]])</f>
        <v>4.6385975165223892</v>
      </c>
      <c r="T153" s="203">
        <f>Table_03[[#This Row],[Fcr,y]]*Table_03[[#This Row],[Sectional Area (in2)]]</f>
        <v>21.801408327655231</v>
      </c>
      <c r="U153" s="203">
        <f>1.76*Table_03[[#This Row],[ry (in)2]]*SQRT($B$4/Table_03[[#This Row],[Strength (ksi)]])/12</f>
        <v>2.7263116868237174</v>
      </c>
      <c r="V153"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7.9368096148408567</v>
      </c>
      <c r="W153" s="203">
        <f>Table_03[[#This Row],[Depth h (in)]]-Table_03[[#This Row],[Flange Thickness tf (in)]]</f>
        <v>11.725</v>
      </c>
      <c r="X153" s="203">
        <f>(Table_03[[#This Row],[Static Parameters Moment of Inertia Iy (in4)]]*Table_03[[#This Row],[ho]]^2)/4</f>
        <v>96.232937499999977</v>
      </c>
      <c r="Y153" s="203">
        <f>SQRT((SQRT(Table_03[[#This Row],[Static Parameters Moment of Inertia Iy (in4)]]*Table_03[[#This Row],[Cw*]])/Table_03[[#This Row],[Static Parameters Elastic Section Modulus Sx (in3)2]]))</f>
        <v>0.97976605394749006</v>
      </c>
      <c r="Z153" s="203">
        <f>(2*Table_03[[#This Row],[Width w (in)]]*Table_03[[#This Row],[Flange Thickness tf (in)]]^3/3)+((Table_03[[#This Row],[Depth h (in)]]-Table_03[[#This Row],[Flange Thickness tf (in)]]*2)*Table_03[[#This Row],[Web Thickness tw (in)]]^3)/3</f>
        <v>9.0176962500000013E-2</v>
      </c>
      <c r="AA153" s="203">
        <f>Table_03[[#This Row],[Width w (in)]]*0.5/Table_03[[#This Row],[Flange Thickness tf (in)]]</f>
        <v>7.5283018867924527</v>
      </c>
      <c r="AB153" s="203">
        <f>0.38*SQRT($B$4/Table_03[[#This Row],[Strength (ksi)]])</f>
        <v>9.1516118798821449</v>
      </c>
      <c r="AC153" s="203">
        <f>1*SQRT($B$4/Table_03[[#This Row],[Strength (ksi)]])</f>
        <v>24.083189157584592</v>
      </c>
      <c r="AD153" s="203">
        <f>(PI()^2*$B$4/(12*$B$5/Table_03[[#This Row],[rts]])^2)*SQRT(1+0.078*(Table_03[[#This Row],[J*]]/(Table_03[[#This Row],[Static Parameters Elastic Section Modulus Sx (in3)2]]*Table_03[[#This Row],[ho]])*$B$4/(12*$B$5/Table_03[[#This Row],[rts]])^2))</f>
        <v>37.587141461854792</v>
      </c>
      <c r="AE153" s="203">
        <f>0.69*$B$4/Table_03[[#This Row],[b/t]]^2</f>
        <v>353.06367422315185</v>
      </c>
      <c r="AF153" s="207">
        <f>Table_03[[#This Row],[Strength (ksi)]]*Table_03[[#This Row],[Static Parameters Plastic Section Modulus Zx (in3)]]</f>
        <v>981.0333374999999</v>
      </c>
      <c r="AG153" s="203">
        <f>Table_03[[#This Row],[Mp (k-in)]]-(Table_03[[#This Row],[Mp (k-in)]]-0.7*Table_03[[#This Row],[Strength (ksi)]]*Table_03[[#This Row],[Static Parameters Elastic Section Modulus Sx (in3)2]])*((Table_03[[#This Row],[b/t]]-Table_03[[#This Row],[λpf]])/(Table_03[[#This Row],[λrf]]-Table_03[[#This Row],[λpf]]))</f>
        <v>1022.621053111331</v>
      </c>
      <c r="AH153" s="208">
        <f>0.9*$B$4*Table_03[[#This Row],[kc]]*Table_03[[#This Row],[Static Parameters Elastic Section Modulus Sx (in3)2]]/Table_03[[#This Row],[b/t]]^2</f>
        <v>4266.8198392916993</v>
      </c>
      <c r="AI153" s="209" t="str">
        <f>IF(Table_03[[#This Row],[b/t]]&lt;Table_03[[#This Row],[λpf]],"Compact",IF(AND(Table_03[[#This Row],[b/t]]&gt;Table_03[[#This Row],[λpf]],Table_03[[#This Row],[λrf]]&gt;Table_03[[#This Row],[b/t]]),"Non-Compact","Slender"))</f>
        <v>Compact</v>
      </c>
      <c r="AJ153" s="210">
        <f>IF(Table_03[[#This Row],[Controlling LBx]]="Compact",Table_03[[#This Row],[Mp (k-in)]],IF(Table_03[[#This Row],[Controlling LBx]]="Non-Compact",Table_03[[#This Row],[Mnlb,Non-Compact (k-in)]],IF(Table_03[[#This Row],[Controlling LBx]]="Slender",Table_03[[#This Row],[Mnlb,slender (k-in)]],"ERROR")))</f>
        <v>981.0333374999999</v>
      </c>
      <c r="AK153" s="207">
        <f>Table_03[[#This Row],[Mp (k-in)]]-(Table_03[[#This Row],[Mp (k-in)]]-0.7*Table_03[[#This Row],[Strength (ksi)]]*Table_03[[#This Row],[Static Parameters Elastic Section Modulus Sx (in3)2]])*(($B$5-Table_03[[#This Row],[Lp (ft)]])/(Table_03[[#This Row],[Lr]]-Table_03[[#This Row],[Lp (ft)]]))</f>
        <v>658.09972456947889</v>
      </c>
      <c r="AL153" s="211">
        <f>Table_03[[#This Row],[Fcrx]]*Table_03[[#This Row],[Static Parameters Elastic Section Modulus Sx (in3)2]]</f>
        <v>642.74011899771699</v>
      </c>
      <c r="AM153" s="212" t="str">
        <f>IF($B$5&lt;Table_03[[#This Row],[Lp (ft)]],"Yielding Controls",IF(AND($B$5&gt;Table_03[[#This Row],[Lp (ft)]],Table_03[[#This Row],[Lr]]&gt;$B$5),"Mltb,p Controls","Mltb,r Controls"))</f>
        <v>Mltb,p Controls</v>
      </c>
      <c r="AN153" s="213">
        <f>IF(Table_03[[#This Row],[Controlling LTB]]="Yielding Controls",Table_03[[#This Row],[Mp (k-in)]],IF(Table_03[[#This Row],[Controlling LTB]]="Mltb,p Controls",Table_03[[#This Row],[Mnltbp (k-in)]],IF(Table_03[[#This Row],[Controlling LTB]]="Mltb,r Controls",Table_03[[#This Row],[Mnltbr (k-in)]],"ERROR")))</f>
        <v>658.09972456947889</v>
      </c>
      <c r="AO153" s="214">
        <f>MIN(Table_03[[#This Row],[Strength (ksi)]]*Table_03[[#This Row],[Static Parameters Plastic Section Modulus Zy (in3)]],1.6*Table_03[[#This Row],[Strength (ksi)]]*Table_03[[#This Row],[Static Parameters Elastic Section Modulus Sy (in3)3]])</f>
        <v>112</v>
      </c>
      <c r="AP153" s="206">
        <f>MIN(Table_03[[#This Row],[Mny (k-in)]],Table_03[[#This Row],[Mny (k-in)]]-(Table_03[[#This Row],[Mny (k-in)]]-0.7*Table_03[[#This Row],[Static Parameters Elastic Section Modulus Sy (in3)3]]*Table_03[[#This Row],[Strength (ksi)]])*((Table_03[[#This Row],[b/t]]-Table_03[[#This Row],[λpf]])/(Table_03[[#This Row],[λrf]]-Table_03[[#This Row],[λpf]])))</f>
        <v>112</v>
      </c>
      <c r="AQ153" s="211">
        <f>MIN(Table_03[[#This Row],[Mny (k-in)]],Table_03[[#This Row],[Fcry]]*Table_03[[#This Row],[Static Parameters Elastic Section Modulus Sy (in3)3]])</f>
        <v>112</v>
      </c>
      <c r="AR153" s="212" t="str">
        <f>IF(Table_03[[#This Row],[b/t]]&lt;Table_03[[#This Row],[λpf]],"Compact",IF(AND(Table_03[[#This Row],[b/t]]&gt;Table_03[[#This Row],[λpf]],Table_03[[#This Row],[λrf]]&gt;Table_03[[#This Row],[b/t]]),"Non-Compact","Slender"))</f>
        <v>Compact</v>
      </c>
      <c r="AS153" s="213">
        <f>IF(Table_03[[#This Row],[Controlling Lby]]="Compact",Table_03[[#This Row],[Mny (k-in)]],IF(Table_03[[#This Row],[Controlling Lby]]="Non-Compact",Table_03[[#This Row],[Mlby,Non-Compact (k-in)]],IF(Table_03[[#This Row],[Controlling Lby]]="Slender",Table_03[[#This Row],[Mlby,Slender (k-in)]],"ERROR")))</f>
        <v>112</v>
      </c>
      <c r="AT153" s="214">
        <f>MIN(Table_03[[#This Row],[LBx]],Table_03[[#This Row],[LTB]],Table_03[[#This Row],[Mp (k-in)]])</f>
        <v>658.09972456947889</v>
      </c>
      <c r="AU153" s="206">
        <f>Table_03[[#This Row],[Mp (k-in)]]</f>
        <v>981.0333374999999</v>
      </c>
      <c r="AV153" s="206">
        <f>MIN(Table_03[[#This Row],[LBy]],Table_03[[#This Row],[Mny (k-in)]])</f>
        <v>112</v>
      </c>
      <c r="AW153" s="215">
        <f>Table_03[[#This Row],[Mny (k-in)]]</f>
        <v>112</v>
      </c>
      <c r="AX153" s="165">
        <f>SQRT(((Table_03[[#This Row],[Sectional Area (in2)]]-(Table_03[[#This Row],[Flange Thickness tf (in)]]*Table_03[[#This Row],[Width w (in)]]*2+Table_03[[#This Row],[Web Thickness tw (in)]]*((Table_03[[#This Row],[Depth h (in)]]-2*Table_03[[#This Row],[Flange Thickness tf (in)]]))))/4)/(1-PI()/4))</f>
        <v>0.2732639249340566</v>
      </c>
      <c r="AY153" s="165">
        <f>IF(4/SQRT((Table_03[[#This Row],[Depth h (in)]]-Table_03[[#This Row],[Flange Thickness tf (in)]]*2)/Table_03[[#This Row],[Web Thickness tw (in)]])&lt;0.35,0.35,IF(4/SQRT(Table_03[[#This Row],[Depth h (in)]]/Table_03[[#This Row],[Web Thickness tw (in)]])&gt;0.76,0.76,4/SQRT(Table_03[[#This Row],[Depth h (in)]]/Table_03[[#This Row],[Web Thickness tw (in)]])))</f>
        <v>0.54182836918287713</v>
      </c>
      <c r="AZ153" s="165"/>
    </row>
    <row r="154" spans="1:52" x14ac:dyDescent="0.3">
      <c r="A154" s="179" t="s">
        <v>246</v>
      </c>
      <c r="B154" s="180">
        <v>12.06</v>
      </c>
      <c r="C154" s="180">
        <v>9.9949999999999992</v>
      </c>
      <c r="D154" s="180">
        <v>0.34499999999999997</v>
      </c>
      <c r="E154" s="180">
        <v>0.57499999999999996</v>
      </c>
      <c r="F154" s="181">
        <v>15.6</v>
      </c>
      <c r="G154" s="180">
        <v>53</v>
      </c>
      <c r="H154" s="180">
        <v>425</v>
      </c>
      <c r="I154" s="180">
        <v>95.8</v>
      </c>
      <c r="J154" s="181">
        <f>Table_03[[#This Row],[Width w (in)]]*Table_03[[#This Row],[Flange Thickness tf (in)]]*(Table_03[[#This Row],[Depth h (in)]]-Table_03[[#This Row],[Flange Thickness tf (in)]])+0.25*Table_03[[#This Row],[Web Thickness tw (in)]]*(Table_03[[#This Row],[Depth h (in)]]-2*Table_03[[#This Row],[Flange Thickness tf (in)]])^2</f>
        <v>76.271904250000006</v>
      </c>
      <c r="K154" s="181">
        <f>(Table_03[[#This Row],[Width w (in)]]^2*Table_03[[#This Row],[Flange Thickness tf (in)]])/2+0.25*Table_03[[#This Row],[Web Thickness tw (in)]]^2*(Table_03[[#This Row],[Depth h (in)]]-2*Table_03[[#This Row],[Flange Thickness tf (in)]])</f>
        <v>29.045897874999994</v>
      </c>
      <c r="L154" s="181">
        <v>70.599999999999994</v>
      </c>
      <c r="M154" s="181">
        <v>19.2</v>
      </c>
      <c r="N154" s="182">
        <v>50</v>
      </c>
      <c r="O154" s="181">
        <f>SQRT(Table_03[[#This Row],[Static Parameters Moment of Inertia Ix (in4)]]/Table_03[[#This Row],[Sectional Area (in2)]])</f>
        <v>5.2195392271339189</v>
      </c>
      <c r="P154" s="181">
        <f>SQRT(Table_03[[#This Row],[Static Parameters Moment of Inertia Iy (in4)]]/Table_03[[#This Row],[Sectional Area (in2)]])</f>
        <v>2.4781092875467863</v>
      </c>
      <c r="Q154" s="181">
        <f>($B$6*$B$5*12)/Table_03[[#This Row],[ry (in)2]]</f>
        <v>72.454431651699352</v>
      </c>
      <c r="R154" s="181">
        <f>(PI()^2*$B$4)/(Table_03[[#This Row],[KL/ry]]^2)</f>
        <v>54.521504948118881</v>
      </c>
      <c r="S154" s="181">
        <f>IF(Table_03[[#This Row],[Strength (ksi)]]/Table_03[[#This Row],[Fe,y]]&lt;2.25,(0.658^(Table_03[[#This Row],[Strength (ksi)]]/Table_03[[#This Row],[Fe,y]])*Table_03[[#This Row],[Strength (ksi)]]),0.877*Table_03[[#This Row],[Fe,y]])</f>
        <v>34.062031514762189</v>
      </c>
      <c r="T154" s="181">
        <f>Table_03[[#This Row],[Fcr,y]]*Table_03[[#This Row],[Sectional Area (in2)]]</f>
        <v>531.3676916302901</v>
      </c>
      <c r="U154" s="181">
        <f>1.76*Table_03[[#This Row],[ry (in)2]]*SQRT($B$4/Table_03[[#This Row],[Strength (ksi)]])/12</f>
        <v>8.753180293022945</v>
      </c>
      <c r="V154"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27.459298176839539</v>
      </c>
      <c r="W154" s="181">
        <f>Table_03[[#This Row],[Depth h (in)]]-Table_03[[#This Row],[Flange Thickness tf (in)]]</f>
        <v>11.485000000000001</v>
      </c>
      <c r="X154" s="181">
        <f>(Table_03[[#This Row],[Static Parameters Moment of Inertia Iy (in4)]]*Table_03[[#This Row],[ho]]^2)/4</f>
        <v>3159.1301387500007</v>
      </c>
      <c r="Y154" s="181">
        <f>SQRT((SQRT(Table_03[[#This Row],[Static Parameters Moment of Inertia Iy (in4)]]*Table_03[[#This Row],[Cw*]])/Table_03[[#This Row],[Static Parameters Elastic Section Modulus Sx (in3)2]]))</f>
        <v>2.7914567663116281</v>
      </c>
      <c r="Z154" s="181">
        <f>(2*Table_03[[#This Row],[Width w (in)]]*Table_03[[#This Row],[Flange Thickness tf (in)]]^3/3)+((Table_03[[#This Row],[Depth h (in)]]-Table_03[[#This Row],[Flange Thickness tf (in)]]*2)*Table_03[[#This Row],[Web Thickness tw (in)]]^3)/3</f>
        <v>1.4160968516666661</v>
      </c>
      <c r="AA154" s="181">
        <f>Table_03[[#This Row],[Width w (in)]]*0.5/Table_03[[#This Row],[Flange Thickness tf (in)]]</f>
        <v>8.6913043478260867</v>
      </c>
      <c r="AB154" s="181">
        <f>0.38*SQRT($B$4/Table_03[[#This Row],[Strength (ksi)]])</f>
        <v>9.1516118798821449</v>
      </c>
      <c r="AC154" s="181">
        <f>1*SQRT($B$4/Table_03[[#This Row],[Strength (ksi)]])</f>
        <v>24.083189157584592</v>
      </c>
      <c r="AD154" s="181">
        <f>(PI()^2*$B$4/(12*$B$5/Table_03[[#This Row],[rts]])^2)*SQRT(1+0.078*(Table_03[[#This Row],[J*]]/(Table_03[[#This Row],[Static Parameters Elastic Section Modulus Sx (in3)2]]*Table_03[[#This Row],[ho]])*$B$4/(12*$B$5/Table_03[[#This Row],[rts]])^2))</f>
        <v>305.7312279971697</v>
      </c>
      <c r="AE154" s="181">
        <f>0.69*$B$4/Table_03[[#This Row],[b/t]]^2</f>
        <v>264.8970808565864</v>
      </c>
      <c r="AF154" s="183">
        <f>Table_03[[#This Row],[Strength (ksi)]]*Table_03[[#This Row],[Static Parameters Plastic Section Modulus Zx (in3)]]</f>
        <v>3813.5952125000003</v>
      </c>
      <c r="AG154" s="181">
        <f>Table_03[[#This Row],[Mp (k-in)]]-(Table_03[[#This Row],[Mp (k-in)]]-0.7*Table_03[[#This Row],[Strength (ksi)]]*Table_03[[#This Row],[Static Parameters Elastic Section Modulus Sx (in3)2]])*((Table_03[[#This Row],[b/t]]-Table_03[[#This Row],[λpf]])/(Table_03[[#This Row],[λrf]]-Table_03[[#This Row],[λpf]]))</f>
        <v>3854.984456068999</v>
      </c>
      <c r="AH154" s="184">
        <f>0.9*$B$4*Table_03[[#This Row],[kc]]*Table_03[[#This Row],[Static Parameters Elastic Section Modulus Sx (in3)2]]/Table_03[[#This Row],[b/t]]^2</f>
        <v>16503.314543691627</v>
      </c>
      <c r="AI154" s="185" t="str">
        <f>IF(Table_03[[#This Row],[b/t]]&lt;Table_03[[#This Row],[λpf]],"Compact",IF(AND(Table_03[[#This Row],[b/t]]&gt;Table_03[[#This Row],[λpf]],Table_03[[#This Row],[λrf]]&gt;Table_03[[#This Row],[b/t]]),"Non-Compact","Slender"))</f>
        <v>Compact</v>
      </c>
      <c r="AJ154" s="186">
        <f>IF(Table_03[[#This Row],[Controlling LBx]]="Compact",Table_03[[#This Row],[Mp (k-in)]],IF(Table_03[[#This Row],[Controlling LBx]]="Non-Compact",Table_03[[#This Row],[Mnlb,Non-Compact (k-in)]],IF(Table_03[[#This Row],[Controlling LBx]]="Slender",Table_03[[#This Row],[Mnlb,slender (k-in)]],"ERROR")))</f>
        <v>3813.5952125000003</v>
      </c>
      <c r="AK154" s="183">
        <f>Table_03[[#This Row],[Mp (k-in)]]-(Table_03[[#This Row],[Mp (k-in)]]-0.7*Table_03[[#This Row],[Strength (ksi)]]*Table_03[[#This Row],[Static Parameters Elastic Section Modulus Sx (in3)2]])*(($B$5-Table_03[[#This Row],[Lp (ft)]])/(Table_03[[#This Row],[Lr]]-Table_03[[#This Row],[Lp (ft)]]))</f>
        <v>3930.4546848970303</v>
      </c>
      <c r="AL154" s="184">
        <f>Table_03[[#This Row],[Fcrx]]*Table_03[[#This Row],[Static Parameters Elastic Section Modulus Sx (in3)2]]</f>
        <v>21584.624696600178</v>
      </c>
      <c r="AM154" s="185" t="str">
        <f>IF($B$5&lt;Table_03[[#This Row],[Lp (ft)]],"Yielding Controls",IF(AND($B$5&gt;Table_03[[#This Row],[Lp (ft)]],Table_03[[#This Row],[Lr]]&gt;$B$5),"Mltb,p Controls","Mltb,r Controls"))</f>
        <v>Yielding Controls</v>
      </c>
      <c r="AN154" s="186">
        <f>IF(Table_03[[#This Row],[Controlling LTB]]="Yielding Controls",Table_03[[#This Row],[Mp (k-in)]],IF(Table_03[[#This Row],[Controlling LTB]]="Mltb,p Controls",Table_03[[#This Row],[Mnltbp (k-in)]],IF(Table_03[[#This Row],[Controlling LTB]]="Mltb,r Controls",Table_03[[#This Row],[Mnltbr (k-in)]],"ERROR")))</f>
        <v>3813.5952125000003</v>
      </c>
      <c r="AO154" s="183">
        <f>MIN(Table_03[[#This Row],[Strength (ksi)]]*Table_03[[#This Row],[Static Parameters Plastic Section Modulus Zy (in3)]],1.6*Table_03[[#This Row],[Strength (ksi)]]*Table_03[[#This Row],[Static Parameters Elastic Section Modulus Sy (in3)3]])</f>
        <v>1452.2948937499998</v>
      </c>
      <c r="AP154" s="181">
        <f>MIN(Table_03[[#This Row],[Mny (k-in)]],Table_03[[#This Row],[Mny (k-in)]]-(Table_03[[#This Row],[Mny (k-in)]]-0.7*Table_03[[#This Row],[Static Parameters Elastic Section Modulus Sy (in3)3]]*Table_03[[#This Row],[Strength (ksi)]])*((Table_03[[#This Row],[b/t]]-Table_03[[#This Row],[λpf]])/(Table_03[[#This Row],[λrf]]-Table_03[[#This Row],[λpf]])))</f>
        <v>1452.2948937499998</v>
      </c>
      <c r="AQ154" s="184">
        <f>MIN(Table_03[[#This Row],[Mny (k-in)]],Table_03[[#This Row],[Fcry]]*Table_03[[#This Row],[Static Parameters Elastic Section Modulus Sy (in3)3]])</f>
        <v>1452.2948937499998</v>
      </c>
      <c r="AR154" s="185" t="str">
        <f>IF(Table_03[[#This Row],[b/t]]&lt;Table_03[[#This Row],[λpf]],"Compact",IF(AND(Table_03[[#This Row],[b/t]]&gt;Table_03[[#This Row],[λpf]],Table_03[[#This Row],[λrf]]&gt;Table_03[[#This Row],[b/t]]),"Non-Compact","Slender"))</f>
        <v>Compact</v>
      </c>
      <c r="AS154" s="186">
        <f>IF(Table_03[[#This Row],[Controlling Lby]]="Compact",Table_03[[#This Row],[Mny (k-in)]],IF(Table_03[[#This Row],[Controlling Lby]]="Non-Compact",Table_03[[#This Row],[Mlby,Non-Compact (k-in)]],IF(Table_03[[#This Row],[Controlling Lby]]="Slender",Table_03[[#This Row],[Mlby,Slender (k-in)]],"ERROR")))</f>
        <v>1452.2948937499998</v>
      </c>
      <c r="AT154" s="183">
        <f>MIN(Table_03[[#This Row],[LBx]],Table_03[[#This Row],[LTB]],Table_03[[#This Row],[Mp (k-in)]])</f>
        <v>3813.5952125000003</v>
      </c>
      <c r="AU154" s="181">
        <f>Table_03[[#This Row],[Mp (k-in)]]</f>
        <v>3813.5952125000003</v>
      </c>
      <c r="AV154" s="181">
        <f>MIN(Table_03[[#This Row],[LBy]],Table_03[[#This Row],[Mny (k-in)]])</f>
        <v>1452.2948937499998</v>
      </c>
      <c r="AW154" s="187">
        <f>Table_03[[#This Row],[Mny (k-in)]]</f>
        <v>1452.2948937499998</v>
      </c>
      <c r="AX154" s="165">
        <f>SQRT(((Table_03[[#This Row],[Sectional Area (in2)]]-(Table_03[[#This Row],[Flange Thickness tf (in)]]*Table_03[[#This Row],[Width w (in)]]*2+Table_03[[#This Row],[Web Thickness tw (in)]]*((Table_03[[#This Row],[Depth h (in)]]-2*Table_03[[#This Row],[Flange Thickness tf (in)]]))))/4)/(1-PI()/4))</f>
        <v>0.63101446711031606</v>
      </c>
      <c r="AY154" s="165">
        <f>IF(4/SQRT((Table_03[[#This Row],[Depth h (in)]]-Table_03[[#This Row],[Flange Thickness tf (in)]]*2)/Table_03[[#This Row],[Web Thickness tw (in)]])&lt;0.35,0.35,IF(4/SQRT(Table_03[[#This Row],[Depth h (in)]]/Table_03[[#This Row],[Web Thickness tw (in)]])&gt;0.76,0.76,4/SQRT(Table_03[[#This Row],[Depth h (in)]]/Table_03[[#This Row],[Web Thickness tw (in)]])))</f>
        <v>0.67654374787301796</v>
      </c>
      <c r="AZ154" s="165"/>
    </row>
    <row r="155" spans="1:52" x14ac:dyDescent="0.3">
      <c r="A155" s="188" t="s">
        <v>247</v>
      </c>
      <c r="B155" s="189">
        <v>12.06</v>
      </c>
      <c r="C155" s="189">
        <v>8.0449999999999999</v>
      </c>
      <c r="D155" s="189">
        <v>0.33500000000000002</v>
      </c>
      <c r="E155" s="189">
        <v>0.57499999999999996</v>
      </c>
      <c r="F155" s="190">
        <v>13.2</v>
      </c>
      <c r="G155" s="189">
        <v>45</v>
      </c>
      <c r="H155" s="190">
        <v>350</v>
      </c>
      <c r="I155" s="190">
        <v>50</v>
      </c>
      <c r="J155" s="190">
        <f>Table_03[[#This Row],[Width w (in)]]*Table_03[[#This Row],[Flange Thickness tf (in)]]*(Table_03[[#This Row],[Depth h (in)]]-Table_03[[#This Row],[Flange Thickness tf (in)]])+0.25*Table_03[[#This Row],[Web Thickness tw (in)]]*(Table_03[[#This Row],[Depth h (in)]]-2*Table_03[[#This Row],[Flange Thickness tf (in)]])^2</f>
        <v>63.096777750000001</v>
      </c>
      <c r="K155" s="190">
        <f>(Table_03[[#This Row],[Width w (in)]]^2*Table_03[[#This Row],[Flange Thickness tf (in)]])/2+0.25*Table_03[[#This Row],[Web Thickness tw (in)]]^2*(Table_03[[#This Row],[Depth h (in)]]-2*Table_03[[#This Row],[Flange Thickness tf (in)]])</f>
        <v>18.913675874999999</v>
      </c>
      <c r="L155" s="190">
        <v>58.1</v>
      </c>
      <c r="M155" s="190">
        <v>12.4</v>
      </c>
      <c r="N155" s="191">
        <v>50</v>
      </c>
      <c r="O155" s="169">
        <f>SQRT(Table_03[[#This Row],[Static Parameters Moment of Inertia Ix (in4)]]/Table_03[[#This Row],[Sectional Area (in2)]])</f>
        <v>5.1492865054443726</v>
      </c>
      <c r="P155" s="190">
        <f>SQRT(Table_03[[#This Row],[Static Parameters Moment of Inertia Iy (in4)]]/Table_03[[#This Row],[Sectional Area (in2)]])</f>
        <v>1.9462473604038075</v>
      </c>
      <c r="Q155" s="190">
        <f>($B$6*$B$5*12)/Table_03[[#This Row],[ry (in)2]]</f>
        <v>92.254460379972954</v>
      </c>
      <c r="R155" s="190">
        <f>(PI()^2*$B$4)/(Table_03[[#This Row],[KL/ry]]^2)</f>
        <v>33.629700338088135</v>
      </c>
      <c r="S155" s="190">
        <f>IF(Table_03[[#This Row],[Strength (ksi)]]/Table_03[[#This Row],[Fe,y]]&lt;2.25,(0.658^(Table_03[[#This Row],[Strength (ksi)]]/Table_03[[#This Row],[Fe,y]])*Table_03[[#This Row],[Strength (ksi)]]),0.877*Table_03[[#This Row],[Fe,y]])</f>
        <v>26.83562497071873</v>
      </c>
      <c r="T155" s="190">
        <f>Table_03[[#This Row],[Fcr,y]]*Table_03[[#This Row],[Sectional Area (in2)]]</f>
        <v>354.23024961348722</v>
      </c>
      <c r="U155" s="190">
        <f>1.76*Table_03[[#This Row],[ry (in)2]]*SQRT($B$4/Table_03[[#This Row],[Strength (ksi)]])/12</f>
        <v>6.8745370214480088</v>
      </c>
      <c r="V15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21.82664455090303</v>
      </c>
      <c r="W155" s="190">
        <f>Table_03[[#This Row],[Depth h (in)]]-Table_03[[#This Row],[Flange Thickness tf (in)]]</f>
        <v>11.485000000000001</v>
      </c>
      <c r="X155" s="190">
        <f>(Table_03[[#This Row],[Static Parameters Moment of Inertia Iy (in4)]]*Table_03[[#This Row],[ho]]^2)/4</f>
        <v>1648.8153125000003</v>
      </c>
      <c r="Y155" s="190">
        <f>SQRT((SQRT(Table_03[[#This Row],[Static Parameters Moment of Inertia Iy (in4)]]*Table_03[[#This Row],[Cw*]])/Table_03[[#This Row],[Static Parameters Elastic Section Modulus Sx (in3)2]]))</f>
        <v>2.2230408226434832</v>
      </c>
      <c r="Z155" s="190">
        <f>(2*Table_03[[#This Row],[Width w (in)]]*Table_03[[#This Row],[Flange Thickness tf (in)]]^3/3)+((Table_03[[#This Row],[Depth h (in)]]-Table_03[[#This Row],[Flange Thickness tf (in)]]*2)*Table_03[[#This Row],[Web Thickness tw (in)]]^3)/3</f>
        <v>1.1563417949999997</v>
      </c>
      <c r="AA155" s="190">
        <f>Table_03[[#This Row],[Width w (in)]]*0.5/Table_03[[#This Row],[Flange Thickness tf (in)]]</f>
        <v>6.9956521739130437</v>
      </c>
      <c r="AB155" s="190">
        <f>0.38*SQRT($B$4/Table_03[[#This Row],[Strength (ksi)]])</f>
        <v>9.1516118798821449</v>
      </c>
      <c r="AC155" s="190">
        <f>1*SQRT($B$4/Table_03[[#This Row],[Strength (ksi)]])</f>
        <v>24.083189157584592</v>
      </c>
      <c r="AD155" s="190">
        <f>(PI()^2*$B$4/(12*$B$5/Table_03[[#This Row],[rts]])^2)*SQRT(1+0.078*(Table_03[[#This Row],[J*]]/(Table_03[[#This Row],[Static Parameters Elastic Section Modulus Sx (in3)2]]*Table_03[[#This Row],[ho]])*$B$4/(12*$B$5/Table_03[[#This Row],[rts]])^2))</f>
        <v>193.74702984864754</v>
      </c>
      <c r="AE155" s="190">
        <f>0.69*$B$4/Table_03[[#This Row],[b/t]]^2</f>
        <v>408.87510858938668</v>
      </c>
      <c r="AF155" s="192">
        <f>Table_03[[#This Row],[Strength (ksi)]]*Table_03[[#This Row],[Static Parameters Plastic Section Modulus Zx (in3)]]</f>
        <v>3154.8388875000001</v>
      </c>
      <c r="AG155" s="190">
        <f>Table_03[[#This Row],[Mp (k-in)]]-(Table_03[[#This Row],[Mp (k-in)]]-0.7*Table_03[[#This Row],[Strength (ksi)]]*Table_03[[#This Row],[Static Parameters Elastic Section Modulus Sx (in3)2]])*((Table_03[[#This Row],[b/t]]-Table_03[[#This Row],[λpf]])/(Table_03[[#This Row],[λrf]]-Table_03[[#This Row],[λpf]]))</f>
        <v>3316.7482031217596</v>
      </c>
      <c r="AH155" s="193">
        <f>0.9*$B$4*Table_03[[#This Row],[kc]]*Table_03[[#This Row],[Static Parameters Elastic Section Modulus Sx (in3)2]]/Table_03[[#This Row],[b/t]]^2</f>
        <v>20657.081573081188</v>
      </c>
      <c r="AI155" s="194" t="str">
        <f>IF(Table_03[[#This Row],[b/t]]&lt;Table_03[[#This Row],[λpf]],"Compact",IF(AND(Table_03[[#This Row],[b/t]]&gt;Table_03[[#This Row],[λpf]],Table_03[[#This Row],[λrf]]&gt;Table_03[[#This Row],[b/t]]),"Non-Compact","Slender"))</f>
        <v>Compact</v>
      </c>
      <c r="AJ155" s="195">
        <f>IF(Table_03[[#This Row],[Controlling LBx]]="Compact",Table_03[[#This Row],[Mp (k-in)]],IF(Table_03[[#This Row],[Controlling LBx]]="Non-Compact",Table_03[[#This Row],[Mnlb,Non-Compact (k-in)]],IF(Table_03[[#This Row],[Controlling LBx]]="Slender",Table_03[[#This Row],[Mnlb,slender (k-in)]],"ERROR")))</f>
        <v>3154.8388875000001</v>
      </c>
      <c r="AK155" s="192">
        <f>Table_03[[#This Row],[Mp (k-in)]]-(Table_03[[#This Row],[Mp (k-in)]]-0.7*Table_03[[#This Row],[Strength (ksi)]]*Table_03[[#This Row],[Static Parameters Elastic Section Modulus Sx (in3)2]])*(($B$5-Table_03[[#This Row],[Lp (ft)]])/(Table_03[[#This Row],[Lr]]-Table_03[[#This Row],[Lp (ft)]]))</f>
        <v>3136.0553228970734</v>
      </c>
      <c r="AL155" s="196">
        <f>Table_03[[#This Row],[Fcrx]]*Table_03[[#This Row],[Static Parameters Elastic Section Modulus Sx (in3)2]]</f>
        <v>11256.702434206423</v>
      </c>
      <c r="AM155" s="197" t="str">
        <f>IF($B$5&lt;Table_03[[#This Row],[Lp (ft)]],"Yielding Controls",IF(AND($B$5&gt;Table_03[[#This Row],[Lp (ft)]],Table_03[[#This Row],[Lr]]&gt;$B$5),"Mltb,p Controls","Mltb,r Controls"))</f>
        <v>Mltb,p Controls</v>
      </c>
      <c r="AN155" s="198">
        <f>IF(Table_03[[#This Row],[Controlling LTB]]="Yielding Controls",Table_03[[#This Row],[Mp (k-in)]],IF(Table_03[[#This Row],[Controlling LTB]]="Mltb,p Controls",Table_03[[#This Row],[Mnltbp (k-in)]],IF(Table_03[[#This Row],[Controlling LTB]]="Mltb,r Controls",Table_03[[#This Row],[Mnltbr (k-in)]],"ERROR")))</f>
        <v>3136.0553228970734</v>
      </c>
      <c r="AO155" s="199">
        <f>MIN(Table_03[[#This Row],[Strength (ksi)]]*Table_03[[#This Row],[Static Parameters Plastic Section Modulus Zy (in3)]],1.6*Table_03[[#This Row],[Strength (ksi)]]*Table_03[[#This Row],[Static Parameters Elastic Section Modulus Sy (in3)3]])</f>
        <v>945.68379374999995</v>
      </c>
      <c r="AP155" s="169">
        <f>MIN(Table_03[[#This Row],[Mny (k-in)]],Table_03[[#This Row],[Mny (k-in)]]-(Table_03[[#This Row],[Mny (k-in)]]-0.7*Table_03[[#This Row],[Static Parameters Elastic Section Modulus Sy (in3)3]]*Table_03[[#This Row],[Strength (ksi)]])*((Table_03[[#This Row],[b/t]]-Table_03[[#This Row],[λpf]])/(Table_03[[#This Row],[λrf]]-Table_03[[#This Row],[λpf]])))</f>
        <v>945.68379374999995</v>
      </c>
      <c r="AQ155" s="196">
        <f>MIN(Table_03[[#This Row],[Mny (k-in)]],Table_03[[#This Row],[Fcry]]*Table_03[[#This Row],[Static Parameters Elastic Section Modulus Sy (in3)3]])</f>
        <v>945.68379374999995</v>
      </c>
      <c r="AR155" s="197" t="str">
        <f>IF(Table_03[[#This Row],[b/t]]&lt;Table_03[[#This Row],[λpf]],"Compact",IF(AND(Table_03[[#This Row],[b/t]]&gt;Table_03[[#This Row],[λpf]],Table_03[[#This Row],[λrf]]&gt;Table_03[[#This Row],[b/t]]),"Non-Compact","Slender"))</f>
        <v>Compact</v>
      </c>
      <c r="AS155" s="198">
        <f>IF(Table_03[[#This Row],[Controlling Lby]]="Compact",Table_03[[#This Row],[Mny (k-in)]],IF(Table_03[[#This Row],[Controlling Lby]]="Non-Compact",Table_03[[#This Row],[Mlby,Non-Compact (k-in)]],IF(Table_03[[#This Row],[Controlling Lby]]="Slender",Table_03[[#This Row],[Mlby,Slender (k-in)]],"ERROR")))</f>
        <v>945.68379374999995</v>
      </c>
      <c r="AT155" s="199">
        <f>MIN(Table_03[[#This Row],[LBx]],Table_03[[#This Row],[LTB]],Table_03[[#This Row],[Mp (k-in)]])</f>
        <v>3136.0553228970734</v>
      </c>
      <c r="AU155" s="169">
        <f>Table_03[[#This Row],[Mp (k-in)]]</f>
        <v>3154.8388875000001</v>
      </c>
      <c r="AV155" s="169">
        <f>MIN(Table_03[[#This Row],[LBy]],Table_03[[#This Row],[Mny (k-in)]])</f>
        <v>945.68379374999995</v>
      </c>
      <c r="AW155" s="200">
        <f>Table_03[[#This Row],[Mny (k-in)]]</f>
        <v>945.68379374999995</v>
      </c>
      <c r="AX155" s="165">
        <f>SQRT(((Table_03[[#This Row],[Sectional Area (in2)]]-(Table_03[[#This Row],[Flange Thickness tf (in)]]*Table_03[[#This Row],[Width w (in)]]*2+Table_03[[#This Row],[Web Thickness tw (in)]]*((Table_03[[#This Row],[Depth h (in)]]-2*Table_03[[#This Row],[Flange Thickness tf (in)]]))))/4)/(1-PI()/4))</f>
        <v>0.58463302170675802</v>
      </c>
      <c r="AY155" s="165">
        <f>IF(4/SQRT((Table_03[[#This Row],[Depth h (in)]]-Table_03[[#This Row],[Flange Thickness tf (in)]]*2)/Table_03[[#This Row],[Web Thickness tw (in)]])&lt;0.35,0.35,IF(4/SQRT(Table_03[[#This Row],[Depth h (in)]]/Table_03[[#This Row],[Web Thickness tw (in)]])&gt;0.76,0.76,4/SQRT(Table_03[[#This Row],[Depth h (in)]]/Table_03[[#This Row],[Web Thickness tw (in)]])))</f>
        <v>0.66666666666666663</v>
      </c>
      <c r="AZ155" s="165"/>
    </row>
    <row r="156" spans="1:52" ht="14.4" thickBot="1" x14ac:dyDescent="0.35">
      <c r="A156" s="201" t="s">
        <v>248</v>
      </c>
      <c r="B156" s="202">
        <v>12.12</v>
      </c>
      <c r="C156" s="202">
        <v>12</v>
      </c>
      <c r="D156" s="202">
        <v>0.39</v>
      </c>
      <c r="E156" s="202">
        <v>0.60499999999999998</v>
      </c>
      <c r="F156" s="203">
        <v>19.100000000000001</v>
      </c>
      <c r="G156" s="204">
        <v>65</v>
      </c>
      <c r="H156" s="203">
        <v>533</v>
      </c>
      <c r="I156" s="203">
        <v>174</v>
      </c>
      <c r="J156" s="203">
        <f>Table_03[[#This Row],[Width w (in)]]*Table_03[[#This Row],[Flange Thickness tf (in)]]*(Table_03[[#This Row],[Depth h (in)]]-Table_03[[#This Row],[Flange Thickness tf (in)]])+0.25*Table_03[[#This Row],[Web Thickness tw (in)]]*(Table_03[[#This Row],[Depth h (in)]]-2*Table_03[[#This Row],[Flange Thickness tf (in)]])^2</f>
        <v>95.204139749999982</v>
      </c>
      <c r="K156" s="203">
        <f>(Table_03[[#This Row],[Width w (in)]]^2*Table_03[[#This Row],[Flange Thickness tf (in)]])/2+0.25*Table_03[[#This Row],[Web Thickness tw (in)]]^2*(Table_03[[#This Row],[Depth h (in)]]-2*Table_03[[#This Row],[Flange Thickness tf (in)]])</f>
        <v>43.974852750000004</v>
      </c>
      <c r="L156" s="203">
        <v>87.9</v>
      </c>
      <c r="M156" s="203">
        <v>29.1</v>
      </c>
      <c r="N156" s="205">
        <v>50</v>
      </c>
      <c r="O156" s="206">
        <f>SQRT(Table_03[[#This Row],[Static Parameters Moment of Inertia Ix (in4)]]/Table_03[[#This Row],[Sectional Area (in2)]])</f>
        <v>5.2825901944314841</v>
      </c>
      <c r="P156" s="203">
        <f>SQRT(Table_03[[#This Row],[Static Parameters Moment of Inertia Iy (in4)]]/Table_03[[#This Row],[Sectional Area (in2)]])</f>
        <v>3.0182689813830472</v>
      </c>
      <c r="Q156" s="203">
        <f>($B$6*$B$5*12)/Table_03[[#This Row],[ry (in)2]]</f>
        <v>59.487739862643274</v>
      </c>
      <c r="R156" s="203">
        <f>(PI()^2*$B$4)/(Table_03[[#This Row],[KL/ry]]^2)</f>
        <v>80.880309671749544</v>
      </c>
      <c r="S156" s="203">
        <f>IF(Table_03[[#This Row],[Strength (ksi)]]/Table_03[[#This Row],[Fe,y]]&lt;2.25,(0.658^(Table_03[[#This Row],[Strength (ksi)]]/Table_03[[#This Row],[Fe,y]])*Table_03[[#This Row],[Strength (ksi)]]),0.877*Table_03[[#This Row],[Fe,y]])</f>
        <v>38.600925543354691</v>
      </c>
      <c r="T156" s="203">
        <f>Table_03[[#This Row],[Fcr,y]]*Table_03[[#This Row],[Sectional Area (in2)]]</f>
        <v>737.27767787807466</v>
      </c>
      <c r="U156" s="203">
        <f>1.76*Table_03[[#This Row],[ry (in)2]]*SQRT($B$4/Table_03[[#This Row],[Strength (ksi)]])/12</f>
        <v>10.661132945043986</v>
      </c>
      <c r="V15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34.212003472621262</v>
      </c>
      <c r="W156" s="203">
        <f>Table_03[[#This Row],[Depth h (in)]]-Table_03[[#This Row],[Flange Thickness tf (in)]]</f>
        <v>11.514999999999999</v>
      </c>
      <c r="X156" s="203">
        <f>(Table_03[[#This Row],[Static Parameters Moment of Inertia Iy (in4)]]*Table_03[[#This Row],[ho]]^2)/4</f>
        <v>5767.8922874999989</v>
      </c>
      <c r="Y156" s="203">
        <f>SQRT((SQRT(Table_03[[#This Row],[Static Parameters Moment of Inertia Iy (in4)]]*Table_03[[#This Row],[Cw*]])/Table_03[[#This Row],[Static Parameters Elastic Section Modulus Sx (in3)2]]))</f>
        <v>3.3759589713308444</v>
      </c>
      <c r="Z156" s="203">
        <f>(2*Table_03[[#This Row],[Width w (in)]]*Table_03[[#This Row],[Flange Thickness tf (in)]]^3/3)+((Table_03[[#This Row],[Depth h (in)]]-Table_03[[#This Row],[Flange Thickness tf (in)]]*2)*Table_03[[#This Row],[Web Thickness tw (in)]]^3)/3</f>
        <v>1.9872844299999999</v>
      </c>
      <c r="AA156" s="203">
        <f>Table_03[[#This Row],[Width w (in)]]*0.5/Table_03[[#This Row],[Flange Thickness tf (in)]]</f>
        <v>9.9173553719008272</v>
      </c>
      <c r="AB156" s="203">
        <f>0.38*SQRT($B$4/Table_03[[#This Row],[Strength (ksi)]])</f>
        <v>9.1516118798821449</v>
      </c>
      <c r="AC156" s="203">
        <f>1*SQRT($B$4/Table_03[[#This Row],[Strength (ksi)]])</f>
        <v>24.083189157584592</v>
      </c>
      <c r="AD156" s="203">
        <f>(PI()^2*$B$4/(12*$B$5/Table_03[[#This Row],[rts]])^2)*SQRT(1+0.078*(Table_03[[#This Row],[J*]]/(Table_03[[#This Row],[Static Parameters Elastic Section Modulus Sx (in3)2]]*Table_03[[#This Row],[ho]])*$B$4/(12*$B$5/Table_03[[#This Row],[rts]])^2))</f>
        <v>447.77330287032419</v>
      </c>
      <c r="AE156" s="203">
        <f>0.69*$B$4/Table_03[[#This Row],[b/t]]^2</f>
        <v>203.44889583333332</v>
      </c>
      <c r="AF156" s="207">
        <f>Table_03[[#This Row],[Strength (ksi)]]*Table_03[[#This Row],[Static Parameters Plastic Section Modulus Zx (in3)]]</f>
        <v>4760.2069874999988</v>
      </c>
      <c r="AG156" s="203">
        <f>Table_03[[#This Row],[Mp (k-in)]]-(Table_03[[#This Row],[Mp (k-in)]]-0.7*Table_03[[#This Row],[Strength (ksi)]]*Table_03[[#This Row],[Static Parameters Elastic Section Modulus Sx (in3)2]])*((Table_03[[#This Row],[b/t]]-Table_03[[#This Row],[λpf]])/(Table_03[[#This Row],[λrf]]-Table_03[[#This Row],[λpf]]))</f>
        <v>4673.8606059914746</v>
      </c>
      <c r="AH156" s="208">
        <f>0.9*$B$4*Table_03[[#This Row],[kc]]*Table_03[[#This Row],[Static Parameters Elastic Section Modulus Sx (in3)2]]/Table_03[[#This Row],[b/t]]^2</f>
        <v>16737.038528612669</v>
      </c>
      <c r="AI156" s="209" t="str">
        <f>IF(Table_03[[#This Row],[b/t]]&lt;Table_03[[#This Row],[λpf]],"Compact",IF(AND(Table_03[[#This Row],[b/t]]&gt;Table_03[[#This Row],[λpf]],Table_03[[#This Row],[λrf]]&gt;Table_03[[#This Row],[b/t]]),"Non-Compact","Slender"))</f>
        <v>Non-Compact</v>
      </c>
      <c r="AJ156" s="210">
        <f>IF(Table_03[[#This Row],[Controlling LBx]]="Compact",Table_03[[#This Row],[Mp (k-in)]],IF(Table_03[[#This Row],[Controlling LBx]]="Non-Compact",Table_03[[#This Row],[Mnlb,Non-Compact (k-in)]],IF(Table_03[[#This Row],[Controlling LBx]]="Slender",Table_03[[#This Row],[Mnlb,slender (k-in)]],"ERROR")))</f>
        <v>4673.8606059914746</v>
      </c>
      <c r="AK156" s="207">
        <f>Table_03[[#This Row],[Mp (k-in)]]-(Table_03[[#This Row],[Mp (k-in)]]-0.7*Table_03[[#This Row],[Strength (ksi)]]*Table_03[[#This Row],[Static Parameters Elastic Section Modulus Sx (in3)2]])*(($B$5-Table_03[[#This Row],[Lp (ft)]])/(Table_03[[#This Row],[Lr]]-Table_03[[#This Row],[Lp (ft)]]))</f>
        <v>5013.0134279807362</v>
      </c>
      <c r="AL156" s="211">
        <f>Table_03[[#This Row],[Fcrx]]*Table_03[[#This Row],[Static Parameters Elastic Section Modulus Sx (in3)2]]</f>
        <v>39359.273322301502</v>
      </c>
      <c r="AM156" s="212" t="str">
        <f>IF($B$5&lt;Table_03[[#This Row],[Lp (ft)]],"Yielding Controls",IF(AND($B$5&gt;Table_03[[#This Row],[Lp (ft)]],Table_03[[#This Row],[Lr]]&gt;$B$5),"Mltb,p Controls","Mltb,r Controls"))</f>
        <v>Yielding Controls</v>
      </c>
      <c r="AN156" s="213">
        <f>IF(Table_03[[#This Row],[Controlling LTB]]="Yielding Controls",Table_03[[#This Row],[Mp (k-in)]],IF(Table_03[[#This Row],[Controlling LTB]]="Mltb,p Controls",Table_03[[#This Row],[Mnltbp (k-in)]],IF(Table_03[[#This Row],[Controlling LTB]]="Mltb,r Controls",Table_03[[#This Row],[Mnltbr (k-in)]],"ERROR")))</f>
        <v>4760.2069874999988</v>
      </c>
      <c r="AO156" s="214">
        <f>MIN(Table_03[[#This Row],[Strength (ksi)]]*Table_03[[#This Row],[Static Parameters Plastic Section Modulus Zy (in3)]],1.6*Table_03[[#This Row],[Strength (ksi)]]*Table_03[[#This Row],[Static Parameters Elastic Section Modulus Sy (in3)3]])</f>
        <v>2198.7426375</v>
      </c>
      <c r="AP156" s="206">
        <f>MIN(Table_03[[#This Row],[Mny (k-in)]],Table_03[[#This Row],[Mny (k-in)]]-(Table_03[[#This Row],[Mny (k-in)]]-0.7*Table_03[[#This Row],[Static Parameters Elastic Section Modulus Sy (in3)3]]*Table_03[[#This Row],[Strength (ksi)]])*((Table_03[[#This Row],[b/t]]-Table_03[[#This Row],[λpf]])/(Table_03[[#This Row],[λrf]]-Table_03[[#This Row],[λpf]])))</f>
        <v>2138.2156682548825</v>
      </c>
      <c r="AQ156" s="211">
        <f>MIN(Table_03[[#This Row],[Mny (k-in)]],Table_03[[#This Row],[Fcry]]*Table_03[[#This Row],[Static Parameters Elastic Section Modulus Sy (in3)3]])</f>
        <v>2198.7426375</v>
      </c>
      <c r="AR156" s="212" t="str">
        <f>IF(Table_03[[#This Row],[b/t]]&lt;Table_03[[#This Row],[λpf]],"Compact",IF(AND(Table_03[[#This Row],[b/t]]&gt;Table_03[[#This Row],[λpf]],Table_03[[#This Row],[λrf]]&gt;Table_03[[#This Row],[b/t]]),"Non-Compact","Slender"))</f>
        <v>Non-Compact</v>
      </c>
      <c r="AS156" s="213">
        <f>IF(Table_03[[#This Row],[Controlling Lby]]="Compact",Table_03[[#This Row],[Mny (k-in)]],IF(Table_03[[#This Row],[Controlling Lby]]="Non-Compact",Table_03[[#This Row],[Mlby,Non-Compact (k-in)]],IF(Table_03[[#This Row],[Controlling Lby]]="Slender",Table_03[[#This Row],[Mlby,Slender (k-in)]],"ERROR")))</f>
        <v>2138.2156682548825</v>
      </c>
      <c r="AT156" s="214">
        <f>MIN(Table_03[[#This Row],[LBx]],Table_03[[#This Row],[LTB]],Table_03[[#This Row],[Mp (k-in)]])</f>
        <v>4673.8606059914746</v>
      </c>
      <c r="AU156" s="206">
        <f>Table_03[[#This Row],[Mp (k-in)]]</f>
        <v>4760.2069874999988</v>
      </c>
      <c r="AV156" s="206">
        <f>MIN(Table_03[[#This Row],[LBy]],Table_03[[#This Row],[Mny (k-in)]])</f>
        <v>2138.2156682548825</v>
      </c>
      <c r="AW156" s="215">
        <f>Table_03[[#This Row],[Mny (k-in)]]</f>
        <v>2198.7426375</v>
      </c>
      <c r="AX156" s="165">
        <f>SQRT(((Table_03[[#This Row],[Sectional Area (in2)]]-(Table_03[[#This Row],[Flange Thickness tf (in)]]*Table_03[[#This Row],[Width w (in)]]*2+Table_03[[#This Row],[Web Thickness tw (in)]]*((Table_03[[#This Row],[Depth h (in)]]-2*Table_03[[#This Row],[Flange Thickness tf (in)]]))))/4)/(1-PI()/4))</f>
        <v>0.61540606478414484</v>
      </c>
      <c r="AY156" s="165">
        <f>IF(4/SQRT((Table_03[[#This Row],[Depth h (in)]]-Table_03[[#This Row],[Flange Thickness tf (in)]]*2)/Table_03[[#This Row],[Web Thickness tw (in)]])&lt;0.35,0.35,IF(4/SQRT(Table_03[[#This Row],[Depth h (in)]]/Table_03[[#This Row],[Web Thickness tw (in)]])&gt;0.76,0.76,4/SQRT(Table_03[[#This Row],[Depth h (in)]]/Table_03[[#This Row],[Web Thickness tw (in)]])))</f>
        <v>0.71753152205914617</v>
      </c>
      <c r="AZ156" s="165"/>
    </row>
    <row r="157" spans="1:52" x14ac:dyDescent="0.3">
      <c r="A157" s="179" t="s">
        <v>249</v>
      </c>
      <c r="B157" s="180">
        <v>12.16</v>
      </c>
      <c r="C157" s="180">
        <v>4.0049999999999999</v>
      </c>
      <c r="D157" s="180">
        <v>0.23499999999999999</v>
      </c>
      <c r="E157" s="180">
        <v>0.35</v>
      </c>
      <c r="F157" s="181">
        <v>5.6</v>
      </c>
      <c r="G157" s="180">
        <v>19</v>
      </c>
      <c r="H157" s="180">
        <v>130</v>
      </c>
      <c r="I157" s="180">
        <v>3.8</v>
      </c>
      <c r="J157" s="181">
        <f>Table_03[[#This Row],[Width w (in)]]*Table_03[[#This Row],[Flange Thickness tf (in)]]*(Table_03[[#This Row],[Depth h (in)]]-Table_03[[#This Row],[Flange Thickness tf (in)]])+0.25*Table_03[[#This Row],[Web Thickness tw (in)]]*(Table_03[[#This Row],[Depth h (in)]]-2*Table_03[[#This Row],[Flange Thickness tf (in)]])^2</f>
        <v>24.270398999999998</v>
      </c>
      <c r="K157" s="181">
        <f>(Table_03[[#This Row],[Width w (in)]]^2*Table_03[[#This Row],[Flange Thickness tf (in)]])/2+0.25*Table_03[[#This Row],[Web Thickness tw (in)]]^2*(Table_03[[#This Row],[Depth h (in)]]-2*Table_03[[#This Row],[Flange Thickness tf (in)]])</f>
        <v>2.9652240000000001</v>
      </c>
      <c r="L157" s="181">
        <v>21.3</v>
      </c>
      <c r="M157" s="181">
        <v>1.9</v>
      </c>
      <c r="N157" s="182">
        <v>50</v>
      </c>
      <c r="O157" s="181">
        <f>SQRT(Table_03[[#This Row],[Static Parameters Moment of Inertia Ix (in4)]]/Table_03[[#This Row],[Sectional Area (in2)]])</f>
        <v>4.8181205582971574</v>
      </c>
      <c r="P157" s="181">
        <f>SQRT(Table_03[[#This Row],[Static Parameters Moment of Inertia Iy (in4)]]/Table_03[[#This Row],[Sectional Area (in2)]])</f>
        <v>0.82375447104791399</v>
      </c>
      <c r="Q157" s="181">
        <f>($B$6*$B$5*12)/Table_03[[#This Row],[ry (in)2]]</f>
        <v>217.96543303927805</v>
      </c>
      <c r="R157" s="181">
        <f>(PI()^2*$B$4)/(Table_03[[#This Row],[KL/ry]]^2)</f>
        <v>6.0245206034232162</v>
      </c>
      <c r="S157" s="181">
        <f>IF(Table_03[[#This Row],[Strength (ksi)]]/Table_03[[#This Row],[Fe,y]]&lt;2.25,(0.658^(Table_03[[#This Row],[Strength (ksi)]]/Table_03[[#This Row],[Fe,y]])*Table_03[[#This Row],[Strength (ksi)]]),0.877*Table_03[[#This Row],[Fe,y]])</f>
        <v>5.2835045692021607</v>
      </c>
      <c r="T157" s="181">
        <f>Table_03[[#This Row],[Fcr,y]]*Table_03[[#This Row],[Sectional Area (in2)]]</f>
        <v>29.587625587532099</v>
      </c>
      <c r="U157" s="181">
        <f>1.76*Table_03[[#This Row],[ry (in)2]]*SQRT($B$4/Table_03[[#This Row],[Strength (ksi)]])/12</f>
        <v>2.9096664293624328</v>
      </c>
      <c r="V15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8.582778733480076</v>
      </c>
      <c r="W157" s="181">
        <f>Table_03[[#This Row],[Depth h (in)]]-Table_03[[#This Row],[Flange Thickness tf (in)]]</f>
        <v>11.81</v>
      </c>
      <c r="X157" s="181">
        <f>(Table_03[[#This Row],[Static Parameters Moment of Inertia Iy (in4)]]*Table_03[[#This Row],[ho]]^2)/4</f>
        <v>132.502295</v>
      </c>
      <c r="Y157" s="181">
        <f>SQRT((SQRT(Table_03[[#This Row],[Static Parameters Moment of Inertia Iy (in4)]]*Table_03[[#This Row],[Cw*]])/Table_03[[#This Row],[Static Parameters Elastic Section Modulus Sx (in3)2]]))</f>
        <v>1.0263889021242172</v>
      </c>
      <c r="Z157" s="181">
        <f>(2*Table_03[[#This Row],[Width w (in)]]*Table_03[[#This Row],[Flange Thickness tf (in)]]^3/3)+((Table_03[[#This Row],[Depth h (in)]]-Table_03[[#This Row],[Flange Thickness tf (in)]]*2)*Table_03[[#This Row],[Web Thickness tw (in)]]^3)/3</f>
        <v>0.16405173249999996</v>
      </c>
      <c r="AA157" s="181">
        <f>Table_03[[#This Row],[Width w (in)]]*0.5/Table_03[[#This Row],[Flange Thickness tf (in)]]</f>
        <v>5.7214285714285715</v>
      </c>
      <c r="AB157" s="181">
        <f>0.38*SQRT($B$4/Table_03[[#This Row],[Strength (ksi)]])</f>
        <v>9.1516118798821449</v>
      </c>
      <c r="AC157" s="181">
        <f>1*SQRT($B$4/Table_03[[#This Row],[Strength (ksi)]])</f>
        <v>24.083189157584592</v>
      </c>
      <c r="AD157" s="181">
        <f>(PI()^2*$B$4/(12*$B$5/Table_03[[#This Row],[rts]])^2)*SQRT(1+0.078*(Table_03[[#This Row],[J*]]/(Table_03[[#This Row],[Static Parameters Elastic Section Modulus Sx (in3)2]]*Table_03[[#This Row],[ho]])*$B$4/(12*$B$5/Table_03[[#This Row],[rts]])^2))</f>
        <v>41.25110310564942</v>
      </c>
      <c r="AE157" s="181">
        <f>0.69*$B$4/Table_03[[#This Row],[b/t]]^2</f>
        <v>611.27710212421744</v>
      </c>
      <c r="AF157" s="183">
        <f>Table_03[[#This Row],[Strength (ksi)]]*Table_03[[#This Row],[Static Parameters Plastic Section Modulus Zx (in3)]]</f>
        <v>1213.5199499999999</v>
      </c>
      <c r="AG157" s="181">
        <f>Table_03[[#This Row],[Mp (k-in)]]-(Table_03[[#This Row],[Mp (k-in)]]-0.7*Table_03[[#This Row],[Strength (ksi)]]*Table_03[[#This Row],[Static Parameters Elastic Section Modulus Sx (in3)2]])*((Table_03[[#This Row],[b/t]]-Table_03[[#This Row],[λpf]])/(Table_03[[#This Row],[λrf]]-Table_03[[#This Row],[λpf]]))</f>
        <v>1321.0366704814078</v>
      </c>
      <c r="AH157" s="184">
        <f>0.9*$B$4*Table_03[[#This Row],[kc]]*Table_03[[#This Row],[Static Parameters Elastic Section Modulus Sx (in3)2]]/Table_03[[#This Row],[b/t]]^2</f>
        <v>9443.6152529928913</v>
      </c>
      <c r="AI157" s="185" t="str">
        <f>IF(Table_03[[#This Row],[b/t]]&lt;Table_03[[#This Row],[λpf]],"Compact",IF(AND(Table_03[[#This Row],[b/t]]&gt;Table_03[[#This Row],[λpf]],Table_03[[#This Row],[λrf]]&gt;Table_03[[#This Row],[b/t]]),"Non-Compact","Slender"))</f>
        <v>Compact</v>
      </c>
      <c r="AJ157" s="186">
        <f>IF(Table_03[[#This Row],[Controlling LBx]]="Compact",Table_03[[#This Row],[Mp (k-in)]],IF(Table_03[[#This Row],[Controlling LBx]]="Non-Compact",Table_03[[#This Row],[Mnlb,Non-Compact (k-in)]],IF(Table_03[[#This Row],[Controlling LBx]]="Slender",Table_03[[#This Row],[Mnlb,slender (k-in)]],"ERROR")))</f>
        <v>1213.5199499999999</v>
      </c>
      <c r="AK157" s="183">
        <f>Table_03[[#This Row],[Mp (k-in)]]-(Table_03[[#This Row],[Mp (k-in)]]-0.7*Table_03[[#This Row],[Strength (ksi)]]*Table_03[[#This Row],[Static Parameters Elastic Section Modulus Sx (in3)2]])*(($B$5-Table_03[[#This Row],[Lp (ft)]])/(Table_03[[#This Row],[Lr]]-Table_03[[#This Row],[Lp (ft)]]))</f>
        <v>865.76370947375835</v>
      </c>
      <c r="AL157" s="184">
        <f>Table_03[[#This Row],[Fcrx]]*Table_03[[#This Row],[Static Parameters Elastic Section Modulus Sx (in3)2]]</f>
        <v>878.64849615033268</v>
      </c>
      <c r="AM157" s="185" t="str">
        <f>IF($B$5&lt;Table_03[[#This Row],[Lp (ft)]],"Yielding Controls",IF(AND($B$5&gt;Table_03[[#This Row],[Lp (ft)]],Table_03[[#This Row],[Lr]]&gt;$B$5),"Mltb,p Controls","Mltb,r Controls"))</f>
        <v>Mltb,p Controls</v>
      </c>
      <c r="AN157" s="186">
        <f>IF(Table_03[[#This Row],[Controlling LTB]]="Yielding Controls",Table_03[[#This Row],[Mp (k-in)]],IF(Table_03[[#This Row],[Controlling LTB]]="Mltb,p Controls",Table_03[[#This Row],[Mnltbp (k-in)]],IF(Table_03[[#This Row],[Controlling LTB]]="Mltb,r Controls",Table_03[[#This Row],[Mnltbr (k-in)]],"ERROR")))</f>
        <v>865.76370947375835</v>
      </c>
      <c r="AO157" s="183">
        <f>MIN(Table_03[[#This Row],[Strength (ksi)]]*Table_03[[#This Row],[Static Parameters Plastic Section Modulus Zy (in3)]],1.6*Table_03[[#This Row],[Strength (ksi)]]*Table_03[[#This Row],[Static Parameters Elastic Section Modulus Sy (in3)3]])</f>
        <v>148.2612</v>
      </c>
      <c r="AP157" s="181">
        <f>MIN(Table_03[[#This Row],[Mny (k-in)]],Table_03[[#This Row],[Mny (k-in)]]-(Table_03[[#This Row],[Mny (k-in)]]-0.7*Table_03[[#This Row],[Static Parameters Elastic Section Modulus Sy (in3)3]]*Table_03[[#This Row],[Strength (ksi)]])*((Table_03[[#This Row],[b/t]]-Table_03[[#This Row],[λpf]])/(Table_03[[#This Row],[λrf]]-Table_03[[#This Row],[λpf]])))</f>
        <v>148.2612</v>
      </c>
      <c r="AQ157" s="184">
        <f>MIN(Table_03[[#This Row],[Mny (k-in)]],Table_03[[#This Row],[Fcry]]*Table_03[[#This Row],[Static Parameters Elastic Section Modulus Sy (in3)3]])</f>
        <v>148.2612</v>
      </c>
      <c r="AR157" s="185" t="str">
        <f>IF(Table_03[[#This Row],[b/t]]&lt;Table_03[[#This Row],[λpf]],"Compact",IF(AND(Table_03[[#This Row],[b/t]]&gt;Table_03[[#This Row],[λpf]],Table_03[[#This Row],[λrf]]&gt;Table_03[[#This Row],[b/t]]),"Non-Compact","Slender"))</f>
        <v>Compact</v>
      </c>
      <c r="AS157" s="186">
        <f>IF(Table_03[[#This Row],[Controlling Lby]]="Compact",Table_03[[#This Row],[Mny (k-in)]],IF(Table_03[[#This Row],[Controlling Lby]]="Non-Compact",Table_03[[#This Row],[Mlby,Non-Compact (k-in)]],IF(Table_03[[#This Row],[Controlling Lby]]="Slender",Table_03[[#This Row],[Mlby,Slender (k-in)]],"ERROR")))</f>
        <v>148.2612</v>
      </c>
      <c r="AT157" s="183">
        <f>MIN(Table_03[[#This Row],[LBx]],Table_03[[#This Row],[LTB]],Table_03[[#This Row],[Mp (k-in)]])</f>
        <v>865.76370947375835</v>
      </c>
      <c r="AU157" s="181">
        <f>Table_03[[#This Row],[Mp (k-in)]]</f>
        <v>1213.5199499999999</v>
      </c>
      <c r="AV157" s="181">
        <f>MIN(Table_03[[#This Row],[LBy]],Table_03[[#This Row],[Mny (k-in)]])</f>
        <v>148.2612</v>
      </c>
      <c r="AW157" s="187">
        <f>Table_03[[#This Row],[Mny (k-in)]]</f>
        <v>148.2612</v>
      </c>
      <c r="AX157" s="165">
        <f>SQRT(((Table_03[[#This Row],[Sectional Area (in2)]]-(Table_03[[#This Row],[Flange Thickness tf (in)]]*Table_03[[#This Row],[Width w (in)]]*2+Table_03[[#This Row],[Web Thickness tw (in)]]*((Table_03[[#This Row],[Depth h (in)]]-2*Table_03[[#This Row],[Flange Thickness tf (in)]]))))/4)/(1-PI()/4))</f>
        <v>0.34706718754372984</v>
      </c>
      <c r="AY157" s="165">
        <f>IF(4/SQRT((Table_03[[#This Row],[Depth h (in)]]-Table_03[[#This Row],[Flange Thickness tf (in)]]*2)/Table_03[[#This Row],[Web Thickness tw (in)]])&lt;0.35,0.35,IF(4/SQRT(Table_03[[#This Row],[Depth h (in)]]/Table_03[[#This Row],[Web Thickness tw (in)]])&gt;0.76,0.76,4/SQRT(Table_03[[#This Row],[Depth h (in)]]/Table_03[[#This Row],[Web Thickness tw (in)]])))</f>
        <v>0.5560670160293536</v>
      </c>
      <c r="AZ157" s="165"/>
    </row>
    <row r="158" spans="1:52" x14ac:dyDescent="0.3">
      <c r="A158" s="188" t="s">
        <v>250</v>
      </c>
      <c r="B158" s="189">
        <v>12.19</v>
      </c>
      <c r="C158" s="189">
        <v>10.01</v>
      </c>
      <c r="D158" s="189">
        <v>0.36</v>
      </c>
      <c r="E158" s="189">
        <v>0.64</v>
      </c>
      <c r="F158" s="190">
        <v>17</v>
      </c>
      <c r="G158" s="189">
        <v>58</v>
      </c>
      <c r="H158" s="190">
        <v>475</v>
      </c>
      <c r="I158" s="190">
        <v>107</v>
      </c>
      <c r="J158" s="190">
        <f>Table_03[[#This Row],[Width w (in)]]*Table_03[[#This Row],[Flange Thickness tf (in)]]*(Table_03[[#This Row],[Depth h (in)]]-Table_03[[#This Row],[Flange Thickness tf (in)]])+0.25*Table_03[[#This Row],[Web Thickness tw (in)]]*(Table_03[[#This Row],[Depth h (in)]]-2*Table_03[[#This Row],[Flange Thickness tf (in)]])^2</f>
        <v>84.706448999999992</v>
      </c>
      <c r="K158" s="190">
        <f>(Table_03[[#This Row],[Width w (in)]]^2*Table_03[[#This Row],[Flange Thickness tf (in)]])/2+0.25*Table_03[[#This Row],[Web Thickness tw (in)]]^2*(Table_03[[#This Row],[Depth h (in)]]-2*Table_03[[#This Row],[Flange Thickness tf (in)]])</f>
        <v>32.417515999999999</v>
      </c>
      <c r="L158" s="190">
        <v>78</v>
      </c>
      <c r="M158" s="190">
        <v>21.4</v>
      </c>
      <c r="N158" s="191">
        <v>50</v>
      </c>
      <c r="O158" s="169">
        <f>SQRT(Table_03[[#This Row],[Static Parameters Moment of Inertia Ix (in4)]]/Table_03[[#This Row],[Sectional Area (in2)]])</f>
        <v>5.2859413987092436</v>
      </c>
      <c r="P158" s="190">
        <f>SQRT(Table_03[[#This Row],[Static Parameters Moment of Inertia Iy (in4)]]/Table_03[[#This Row],[Sectional Area (in2)]])</f>
        <v>2.508808013192485</v>
      </c>
      <c r="Q158" s="190">
        <f>($B$6*$B$5*12)/Table_03[[#This Row],[ry (in)2]]</f>
        <v>71.56785176699141</v>
      </c>
      <c r="R158" s="190">
        <f>(PI()^2*$B$4)/(Table_03[[#This Row],[KL/ry]]^2)</f>
        <v>55.880692655900802</v>
      </c>
      <c r="S158" s="190">
        <f>IF(Table_03[[#This Row],[Strength (ksi)]]/Table_03[[#This Row],[Fe,y]]&lt;2.25,(0.658^(Table_03[[#This Row],[Strength (ksi)]]/Table_03[[#This Row],[Fe,y]])*Table_03[[#This Row],[Strength (ksi)]]),0.877*Table_03[[#This Row],[Fe,y]])</f>
        <v>34.381528655105221</v>
      </c>
      <c r="T158" s="190">
        <f>Table_03[[#This Row],[Fcr,y]]*Table_03[[#This Row],[Sectional Area (in2)]]</f>
        <v>584.48598713678871</v>
      </c>
      <c r="U158" s="190">
        <f>1.76*Table_03[[#This Row],[ry (in)2]]*SQRT($B$4/Table_03[[#This Row],[Strength (ksi)]])/12</f>
        <v>8.8616143647941943</v>
      </c>
      <c r="V15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29.165328456522474</v>
      </c>
      <c r="W158" s="190">
        <f>Table_03[[#This Row],[Depth h (in)]]-Table_03[[#This Row],[Flange Thickness tf (in)]]</f>
        <v>11.549999999999999</v>
      </c>
      <c r="X158" s="190">
        <f>(Table_03[[#This Row],[Static Parameters Moment of Inertia Iy (in4)]]*Table_03[[#This Row],[ho]]^2)/4</f>
        <v>3568.5168749999993</v>
      </c>
      <c r="Y158" s="190">
        <f>SQRT((SQRT(Table_03[[#This Row],[Static Parameters Moment of Inertia Iy (in4)]]*Table_03[[#This Row],[Cw*]])/Table_03[[#This Row],[Static Parameters Elastic Section Modulus Sx (in3)2]]))</f>
        <v>2.8146252653977553</v>
      </c>
      <c r="Z158" s="190">
        <f>(2*Table_03[[#This Row],[Width w (in)]]*Table_03[[#This Row],[Flange Thickness tf (in)]]^3/3)+((Table_03[[#This Row],[Depth h (in)]]-Table_03[[#This Row],[Flange Thickness tf (in)]]*2)*Table_03[[#This Row],[Web Thickness tw (in)]]^3)/3</f>
        <v>1.9190466133333333</v>
      </c>
      <c r="AA158" s="190">
        <f>Table_03[[#This Row],[Width w (in)]]*0.5/Table_03[[#This Row],[Flange Thickness tf (in)]]</f>
        <v>7.8203125</v>
      </c>
      <c r="AB158" s="190">
        <f>0.38*SQRT($B$4/Table_03[[#This Row],[Strength (ksi)]])</f>
        <v>9.1516118798821449</v>
      </c>
      <c r="AC158" s="190">
        <f>1*SQRT($B$4/Table_03[[#This Row],[Strength (ksi)]])</f>
        <v>24.083189157584592</v>
      </c>
      <c r="AD158" s="190">
        <f>(PI()^2*$B$4/(12*$B$5/Table_03[[#This Row],[rts]])^2)*SQRT(1+0.078*(Table_03[[#This Row],[J*]]/(Table_03[[#This Row],[Static Parameters Elastic Section Modulus Sx (in3)2]]*Table_03[[#This Row],[ho]])*$B$4/(12*$B$5/Table_03[[#This Row],[rts]])^2))</f>
        <v>310.98368202124919</v>
      </c>
      <c r="AE158" s="190">
        <f>0.69*$B$4/Table_03[[#This Row],[b/t]]^2</f>
        <v>327.18913454178187</v>
      </c>
      <c r="AF158" s="192">
        <f>Table_03[[#This Row],[Strength (ksi)]]*Table_03[[#This Row],[Static Parameters Plastic Section Modulus Zx (in3)]]</f>
        <v>4235.3224499999997</v>
      </c>
      <c r="AG158" s="190">
        <f>Table_03[[#This Row],[Mp (k-in)]]-(Table_03[[#This Row],[Mp (k-in)]]-0.7*Table_03[[#This Row],[Strength (ksi)]]*Table_03[[#This Row],[Static Parameters Elastic Section Modulus Sx (in3)2]])*((Table_03[[#This Row],[b/t]]-Table_03[[#This Row],[λpf]])/(Table_03[[#This Row],[λrf]]-Table_03[[#This Row],[λpf]]))</f>
        <v>4369.5369945813227</v>
      </c>
      <c r="AH158" s="193">
        <f>0.9*$B$4*Table_03[[#This Row],[kc]]*Table_03[[#This Row],[Static Parameters Elastic Section Modulus Sx (in3)2]]/Table_03[[#This Row],[b/t]]^2</f>
        <v>22882.121287634462</v>
      </c>
      <c r="AI158" s="194" t="str">
        <f>IF(Table_03[[#This Row],[b/t]]&lt;Table_03[[#This Row],[λpf]],"Compact",IF(AND(Table_03[[#This Row],[b/t]]&gt;Table_03[[#This Row],[λpf]],Table_03[[#This Row],[λrf]]&gt;Table_03[[#This Row],[b/t]]),"Non-Compact","Slender"))</f>
        <v>Compact</v>
      </c>
      <c r="AJ158" s="195">
        <f>IF(Table_03[[#This Row],[Controlling LBx]]="Compact",Table_03[[#This Row],[Mp (k-in)]],IF(Table_03[[#This Row],[Controlling LBx]]="Non-Compact",Table_03[[#This Row],[Mnlb,Non-Compact (k-in)]],IF(Table_03[[#This Row],[Controlling LBx]]="Slender",Table_03[[#This Row],[Mnlb,slender (k-in)]],"ERROR")))</f>
        <v>4235.3224499999997</v>
      </c>
      <c r="AK158" s="192">
        <f>Table_03[[#This Row],[Mp (k-in)]]-(Table_03[[#This Row],[Mp (k-in)]]-0.7*Table_03[[#This Row],[Strength (ksi)]]*Table_03[[#This Row],[Static Parameters Elastic Section Modulus Sx (in3)2]])*(($B$5-Table_03[[#This Row],[Lp (ft)]])/(Table_03[[#This Row],[Lr]]-Table_03[[#This Row],[Lp (ft)]]))</f>
        <v>4364.0754741268611</v>
      </c>
      <c r="AL158" s="196">
        <f>Table_03[[#This Row],[Fcrx]]*Table_03[[#This Row],[Static Parameters Elastic Section Modulus Sx (in3)2]]</f>
        <v>24256.727197657438</v>
      </c>
      <c r="AM158" s="197" t="str">
        <f>IF($B$5&lt;Table_03[[#This Row],[Lp (ft)]],"Yielding Controls",IF(AND($B$5&gt;Table_03[[#This Row],[Lp (ft)]],Table_03[[#This Row],[Lr]]&gt;$B$5),"Mltb,p Controls","Mltb,r Controls"))</f>
        <v>Yielding Controls</v>
      </c>
      <c r="AN158" s="198">
        <f>IF(Table_03[[#This Row],[Controlling LTB]]="Yielding Controls",Table_03[[#This Row],[Mp (k-in)]],IF(Table_03[[#This Row],[Controlling LTB]]="Mltb,p Controls",Table_03[[#This Row],[Mnltbp (k-in)]],IF(Table_03[[#This Row],[Controlling LTB]]="Mltb,r Controls",Table_03[[#This Row],[Mnltbr (k-in)]],"ERROR")))</f>
        <v>4235.3224499999997</v>
      </c>
      <c r="AO158" s="199">
        <f>MIN(Table_03[[#This Row],[Strength (ksi)]]*Table_03[[#This Row],[Static Parameters Plastic Section Modulus Zy (in3)]],1.6*Table_03[[#This Row],[Strength (ksi)]]*Table_03[[#This Row],[Static Parameters Elastic Section Modulus Sy (in3)3]])</f>
        <v>1620.8758</v>
      </c>
      <c r="AP158" s="169">
        <f>MIN(Table_03[[#This Row],[Mny (k-in)]],Table_03[[#This Row],[Mny (k-in)]]-(Table_03[[#This Row],[Mny (k-in)]]-0.7*Table_03[[#This Row],[Static Parameters Elastic Section Modulus Sy (in3)3]]*Table_03[[#This Row],[Strength (ksi)]])*((Table_03[[#This Row],[b/t]]-Table_03[[#This Row],[λpf]])/(Table_03[[#This Row],[λrf]]-Table_03[[#This Row],[λpf]])))</f>
        <v>1620.8758</v>
      </c>
      <c r="AQ158" s="196">
        <f>MIN(Table_03[[#This Row],[Mny (k-in)]],Table_03[[#This Row],[Fcry]]*Table_03[[#This Row],[Static Parameters Elastic Section Modulus Sy (in3)3]])</f>
        <v>1620.8758</v>
      </c>
      <c r="AR158" s="197" t="str">
        <f>IF(Table_03[[#This Row],[b/t]]&lt;Table_03[[#This Row],[λpf]],"Compact",IF(AND(Table_03[[#This Row],[b/t]]&gt;Table_03[[#This Row],[λpf]],Table_03[[#This Row],[λrf]]&gt;Table_03[[#This Row],[b/t]]),"Non-Compact","Slender"))</f>
        <v>Compact</v>
      </c>
      <c r="AS158" s="198">
        <f>IF(Table_03[[#This Row],[Controlling Lby]]="Compact",Table_03[[#This Row],[Mny (k-in)]],IF(Table_03[[#This Row],[Controlling Lby]]="Non-Compact",Table_03[[#This Row],[Mlby,Non-Compact (k-in)]],IF(Table_03[[#This Row],[Controlling Lby]]="Slender",Table_03[[#This Row],[Mlby,Slender (k-in)]],"ERROR")))</f>
        <v>1620.8758</v>
      </c>
      <c r="AT158" s="199">
        <f>MIN(Table_03[[#This Row],[LBx]],Table_03[[#This Row],[LTB]],Table_03[[#This Row],[Mp (k-in)]])</f>
        <v>4235.3224499999997</v>
      </c>
      <c r="AU158" s="169">
        <f>Table_03[[#This Row],[Mp (k-in)]]</f>
        <v>4235.3224499999997</v>
      </c>
      <c r="AV158" s="169">
        <f>MIN(Table_03[[#This Row],[LBy]],Table_03[[#This Row],[Mny (k-in)]])</f>
        <v>1620.8758</v>
      </c>
      <c r="AW158" s="200">
        <f>Table_03[[#This Row],[Mny (k-in)]]</f>
        <v>1620.8758</v>
      </c>
      <c r="AX158" s="165">
        <f>SQRT(((Table_03[[#This Row],[Sectional Area (in2)]]-(Table_03[[#This Row],[Flange Thickness tf (in)]]*Table_03[[#This Row],[Width w (in)]]*2+Table_03[[#This Row],[Web Thickness tw (in)]]*((Table_03[[#This Row],[Depth h (in)]]-2*Table_03[[#This Row],[Flange Thickness tf (in)]]))))/4)/(1-PI()/4))</f>
        <v>0.54992774486701701</v>
      </c>
      <c r="AY158" s="165">
        <f>IF(4/SQRT((Table_03[[#This Row],[Depth h (in)]]-Table_03[[#This Row],[Flange Thickness tf (in)]]*2)/Table_03[[#This Row],[Web Thickness tw (in)]])&lt;0.35,0.35,IF(4/SQRT(Table_03[[#This Row],[Depth h (in)]]/Table_03[[#This Row],[Web Thickness tw (in)]])&gt;0.76,0.76,4/SQRT(Table_03[[#This Row],[Depth h (in)]]/Table_03[[#This Row],[Web Thickness tw (in)]])))</f>
        <v>0.68739978015144565</v>
      </c>
      <c r="AZ158" s="165"/>
    </row>
    <row r="159" spans="1:52" ht="14.4" thickBot="1" x14ac:dyDescent="0.35">
      <c r="A159" s="201" t="s">
        <v>251</v>
      </c>
      <c r="B159" s="202">
        <v>12.19</v>
      </c>
      <c r="C159" s="202">
        <v>8.08</v>
      </c>
      <c r="D159" s="202">
        <v>0.37</v>
      </c>
      <c r="E159" s="202">
        <v>0.64</v>
      </c>
      <c r="F159" s="203">
        <v>14.7</v>
      </c>
      <c r="G159" s="204">
        <v>50</v>
      </c>
      <c r="H159" s="203">
        <v>394</v>
      </c>
      <c r="I159" s="203">
        <v>56.3</v>
      </c>
      <c r="J159" s="203">
        <f>Table_03[[#This Row],[Width w (in)]]*Table_03[[#This Row],[Flange Thickness tf (in)]]*(Table_03[[#This Row],[Depth h (in)]]-Table_03[[#This Row],[Flange Thickness tf (in)]])+0.25*Table_03[[#This Row],[Web Thickness tw (in)]]*(Table_03[[#This Row],[Depth h (in)]]-2*Table_03[[#This Row],[Flange Thickness tf (in)]])^2</f>
        <v>70.737459249999986</v>
      </c>
      <c r="K159" s="203">
        <f>(Table_03[[#This Row],[Width w (in)]]^2*Table_03[[#This Row],[Flange Thickness tf (in)]])/2+0.25*Table_03[[#This Row],[Web Thickness tw (in)]]^2*(Table_03[[#This Row],[Depth h (in)]]-2*Table_03[[#This Row],[Flange Thickness tf (in)]])</f>
        <v>21.265042749999999</v>
      </c>
      <c r="L159" s="203">
        <v>64.7</v>
      </c>
      <c r="M159" s="203">
        <v>13.9</v>
      </c>
      <c r="N159" s="205">
        <v>50</v>
      </c>
      <c r="O159" s="206">
        <f>SQRT(Table_03[[#This Row],[Static Parameters Moment of Inertia Ix (in4)]]/Table_03[[#This Row],[Sectional Area (in2)]])</f>
        <v>5.177134447591194</v>
      </c>
      <c r="P159" s="203">
        <f>SQRT(Table_03[[#This Row],[Static Parameters Moment of Inertia Iy (in4)]]/Table_03[[#This Row],[Sectional Area (in2)]])</f>
        <v>1.9570211988604302</v>
      </c>
      <c r="Q159" s="203">
        <f>($B$6*$B$5*12)/Table_03[[#This Row],[ry (in)2]]</f>
        <v>91.746578986753761</v>
      </c>
      <c r="R159" s="203">
        <f>(PI()^2*$B$4)/(Table_03[[#This Row],[KL/ry]]^2)</f>
        <v>34.003058643882412</v>
      </c>
      <c r="S159" s="203">
        <f>IF(Table_03[[#This Row],[Strength (ksi)]]/Table_03[[#This Row],[Fe,y]]&lt;2.25,(0.658^(Table_03[[#This Row],[Strength (ksi)]]/Table_03[[#This Row],[Fe,y]])*Table_03[[#This Row],[Strength (ksi)]]),0.877*Table_03[[#This Row],[Fe,y]])</f>
        <v>27.019616929154651</v>
      </c>
      <c r="T159" s="203">
        <f>Table_03[[#This Row],[Fcr,y]]*Table_03[[#This Row],[Sectional Area (in2)]]</f>
        <v>397.18836885857337</v>
      </c>
      <c r="U159" s="203">
        <f>1.76*Table_03[[#This Row],[ry (in)2]]*SQRT($B$4/Table_03[[#This Row],[Strength (ksi)]])/12</f>
        <v>6.9125923852419442</v>
      </c>
      <c r="V15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23.246969817049223</v>
      </c>
      <c r="W159" s="203">
        <f>Table_03[[#This Row],[Depth h (in)]]-Table_03[[#This Row],[Flange Thickness tf (in)]]</f>
        <v>11.549999999999999</v>
      </c>
      <c r="X159" s="203">
        <f>(Table_03[[#This Row],[Static Parameters Moment of Inertia Iy (in4)]]*Table_03[[#This Row],[ho]]^2)/4</f>
        <v>1877.6401874999995</v>
      </c>
      <c r="Y159" s="203">
        <f>SQRT((SQRT(Table_03[[#This Row],[Static Parameters Moment of Inertia Iy (in4)]]*Table_03[[#This Row],[Cw*]])/Table_03[[#This Row],[Static Parameters Elastic Section Modulus Sx (in3)2]]))</f>
        <v>2.241702888265551</v>
      </c>
      <c r="Z159" s="203">
        <f>(2*Table_03[[#This Row],[Width w (in)]]*Table_03[[#This Row],[Flange Thickness tf (in)]]^3/3)+((Table_03[[#This Row],[Depth h (in)]]-Table_03[[#This Row],[Flange Thickness tf (in)]]*2)*Table_03[[#This Row],[Web Thickness tw (in)]]^3)/3</f>
        <v>1.5962904233333337</v>
      </c>
      <c r="AA159" s="203">
        <f>Table_03[[#This Row],[Width w (in)]]*0.5/Table_03[[#This Row],[Flange Thickness tf (in)]]</f>
        <v>6.3125</v>
      </c>
      <c r="AB159" s="203">
        <f>0.38*SQRT($B$4/Table_03[[#This Row],[Strength (ksi)]])</f>
        <v>9.1516118798821449</v>
      </c>
      <c r="AC159" s="203">
        <f>1*SQRT($B$4/Table_03[[#This Row],[Strength (ksi)]])</f>
        <v>24.083189157584592</v>
      </c>
      <c r="AD159" s="203">
        <f>(PI()^2*$B$4/(12*$B$5/Table_03[[#This Row],[rts]])^2)*SQRT(1+0.078*(Table_03[[#This Row],[J*]]/(Table_03[[#This Row],[Static Parameters Elastic Section Modulus Sx (in3)2]]*Table_03[[#This Row],[ho]])*$B$4/(12*$B$5/Table_03[[#This Row],[rts]])^2))</f>
        <v>197.07960763647409</v>
      </c>
      <c r="AE159" s="203">
        <f>0.69*$B$4/Table_03[[#This Row],[b/t]]^2</f>
        <v>502.16253308499165</v>
      </c>
      <c r="AF159" s="207">
        <f>Table_03[[#This Row],[Strength (ksi)]]*Table_03[[#This Row],[Static Parameters Plastic Section Modulus Zx (in3)]]</f>
        <v>3536.8729624999992</v>
      </c>
      <c r="AG159" s="203">
        <f>Table_03[[#This Row],[Mp (k-in)]]-(Table_03[[#This Row],[Mp (k-in)]]-0.7*Table_03[[#This Row],[Strength (ksi)]]*Table_03[[#This Row],[Static Parameters Elastic Section Modulus Sx (in3)2]])*((Table_03[[#This Row],[b/t]]-Table_03[[#This Row],[λpf]])/(Table_03[[#This Row],[λrf]]-Table_03[[#This Row],[λpf]]))</f>
        <v>3778.8038132259335</v>
      </c>
      <c r="AH159" s="208">
        <f>0.9*$B$4*Table_03[[#This Row],[kc]]*Table_03[[#This Row],[Static Parameters Elastic Section Modulus Sx (in3)2]]/Table_03[[#This Row],[b/t]]^2</f>
        <v>29532.553970497422</v>
      </c>
      <c r="AI159" s="209" t="str">
        <f>IF(Table_03[[#This Row],[b/t]]&lt;Table_03[[#This Row],[λpf]],"Compact",IF(AND(Table_03[[#This Row],[b/t]]&gt;Table_03[[#This Row],[λpf]],Table_03[[#This Row],[λrf]]&gt;Table_03[[#This Row],[b/t]]),"Non-Compact","Slender"))</f>
        <v>Compact</v>
      </c>
      <c r="AJ159" s="210">
        <f>IF(Table_03[[#This Row],[Controlling LBx]]="Compact",Table_03[[#This Row],[Mp (k-in)]],IF(Table_03[[#This Row],[Controlling LBx]]="Non-Compact",Table_03[[#This Row],[Mnlb,Non-Compact (k-in)]],IF(Table_03[[#This Row],[Controlling LBx]]="Slender",Table_03[[#This Row],[Mnlb,slender (k-in)]],"ERROR")))</f>
        <v>3536.8729624999992</v>
      </c>
      <c r="AK159" s="207">
        <f>Table_03[[#This Row],[Mp (k-in)]]-(Table_03[[#This Row],[Mp (k-in)]]-0.7*Table_03[[#This Row],[Strength (ksi)]]*Table_03[[#This Row],[Static Parameters Elastic Section Modulus Sx (in3)2]])*(($B$5-Table_03[[#This Row],[Lp (ft)]])/(Table_03[[#This Row],[Lr]]-Table_03[[#This Row],[Lp (ft)]]))</f>
        <v>3520.3273851019285</v>
      </c>
      <c r="AL159" s="211">
        <f>Table_03[[#This Row],[Fcrx]]*Table_03[[#This Row],[Static Parameters Elastic Section Modulus Sx (in3)2]]</f>
        <v>12751.050614079875</v>
      </c>
      <c r="AM159" s="212" t="str">
        <f>IF($B$5&lt;Table_03[[#This Row],[Lp (ft)]],"Yielding Controls",IF(AND($B$5&gt;Table_03[[#This Row],[Lp (ft)]],Table_03[[#This Row],[Lr]]&gt;$B$5),"Mltb,p Controls","Mltb,r Controls"))</f>
        <v>Mltb,p Controls</v>
      </c>
      <c r="AN159" s="213">
        <f>IF(Table_03[[#This Row],[Controlling LTB]]="Yielding Controls",Table_03[[#This Row],[Mp (k-in)]],IF(Table_03[[#This Row],[Controlling LTB]]="Mltb,p Controls",Table_03[[#This Row],[Mnltbp (k-in)]],IF(Table_03[[#This Row],[Controlling LTB]]="Mltb,r Controls",Table_03[[#This Row],[Mnltbr (k-in)]],"ERROR")))</f>
        <v>3520.3273851019285</v>
      </c>
      <c r="AO159" s="214">
        <f>MIN(Table_03[[#This Row],[Strength (ksi)]]*Table_03[[#This Row],[Static Parameters Plastic Section Modulus Zy (in3)]],1.6*Table_03[[#This Row],[Strength (ksi)]]*Table_03[[#This Row],[Static Parameters Elastic Section Modulus Sy (in3)3]])</f>
        <v>1063.2521374999999</v>
      </c>
      <c r="AP159" s="206">
        <f>MIN(Table_03[[#This Row],[Mny (k-in)]],Table_03[[#This Row],[Mny (k-in)]]-(Table_03[[#This Row],[Mny (k-in)]]-0.7*Table_03[[#This Row],[Static Parameters Elastic Section Modulus Sy (in3)3]]*Table_03[[#This Row],[Strength (ksi)]])*((Table_03[[#This Row],[b/t]]-Table_03[[#This Row],[λpf]])/(Table_03[[#This Row],[λrf]]-Table_03[[#This Row],[λpf]])))</f>
        <v>1063.2521374999999</v>
      </c>
      <c r="AQ159" s="211">
        <f>MIN(Table_03[[#This Row],[Mny (k-in)]],Table_03[[#This Row],[Fcry]]*Table_03[[#This Row],[Static Parameters Elastic Section Modulus Sy (in3)3]])</f>
        <v>1063.2521374999999</v>
      </c>
      <c r="AR159" s="212" t="str">
        <f>IF(Table_03[[#This Row],[b/t]]&lt;Table_03[[#This Row],[λpf]],"Compact",IF(AND(Table_03[[#This Row],[b/t]]&gt;Table_03[[#This Row],[λpf]],Table_03[[#This Row],[λrf]]&gt;Table_03[[#This Row],[b/t]]),"Non-Compact","Slender"))</f>
        <v>Compact</v>
      </c>
      <c r="AS159" s="213">
        <f>IF(Table_03[[#This Row],[Controlling Lby]]="Compact",Table_03[[#This Row],[Mny (k-in)]],IF(Table_03[[#This Row],[Controlling Lby]]="Non-Compact",Table_03[[#This Row],[Mlby,Non-Compact (k-in)]],IF(Table_03[[#This Row],[Controlling Lby]]="Slender",Table_03[[#This Row],[Mlby,Slender (k-in)]],"ERROR")))</f>
        <v>1063.2521374999999</v>
      </c>
      <c r="AT159" s="214">
        <f>MIN(Table_03[[#This Row],[LBx]],Table_03[[#This Row],[LTB]],Table_03[[#This Row],[Mp (k-in)]])</f>
        <v>3520.3273851019285</v>
      </c>
      <c r="AU159" s="206">
        <f>Table_03[[#This Row],[Mp (k-in)]]</f>
        <v>3536.8729624999992</v>
      </c>
      <c r="AV159" s="206">
        <f>MIN(Table_03[[#This Row],[LBy]],Table_03[[#This Row],[Mny (k-in)]])</f>
        <v>1063.2521374999999</v>
      </c>
      <c r="AW159" s="215">
        <f>Table_03[[#This Row],[Mny (k-in)]]</f>
        <v>1063.2521374999999</v>
      </c>
      <c r="AX159" s="165">
        <f>SQRT(((Table_03[[#This Row],[Sectional Area (in2)]]-(Table_03[[#This Row],[Flange Thickness tf (in)]]*Table_03[[#This Row],[Width w (in)]]*2+Table_03[[#This Row],[Web Thickness tw (in)]]*((Table_03[[#This Row],[Depth h (in)]]-2*Table_03[[#This Row],[Flange Thickness tf (in)]]))))/4)/(1-PI()/4))</f>
        <v>0.61141789521444512</v>
      </c>
      <c r="AY159" s="165">
        <f>IF(4/SQRT((Table_03[[#This Row],[Depth h (in)]]-Table_03[[#This Row],[Flange Thickness tf (in)]]*2)/Table_03[[#This Row],[Web Thickness tw (in)]])&lt;0.35,0.35,IF(4/SQRT(Table_03[[#This Row],[Depth h (in)]]/Table_03[[#This Row],[Web Thickness tw (in)]])&gt;0.76,0.76,4/SQRT(Table_03[[#This Row],[Depth h (in)]]/Table_03[[#This Row],[Web Thickness tw (in)]])))</f>
        <v>0.69688160434007462</v>
      </c>
      <c r="AZ159" s="165"/>
    </row>
    <row r="160" spans="1:52" x14ac:dyDescent="0.3">
      <c r="A160" s="179" t="s">
        <v>252</v>
      </c>
      <c r="B160" s="180">
        <v>12.22</v>
      </c>
      <c r="C160" s="180">
        <v>6.49</v>
      </c>
      <c r="D160" s="180">
        <v>0.23</v>
      </c>
      <c r="E160" s="180">
        <v>0.38</v>
      </c>
      <c r="F160" s="181">
        <v>7.7</v>
      </c>
      <c r="G160" s="180">
        <v>26</v>
      </c>
      <c r="H160" s="180">
        <v>204</v>
      </c>
      <c r="I160" s="180">
        <v>17.3</v>
      </c>
      <c r="J160" s="181">
        <f>Table_03[[#This Row],[Width w (in)]]*Table_03[[#This Row],[Flange Thickness tf (in)]]*(Table_03[[#This Row],[Depth h (in)]]-Table_03[[#This Row],[Flange Thickness tf (in)]])+0.25*Table_03[[#This Row],[Web Thickness tw (in)]]*(Table_03[[#This Row],[Depth h (in)]]-2*Table_03[[#This Row],[Flange Thickness tf (in)]])^2</f>
        <v>36.751375000000003</v>
      </c>
      <c r="K160" s="181">
        <f>(Table_03[[#This Row],[Width w (in)]]^2*Table_03[[#This Row],[Flange Thickness tf (in)]])/2+0.25*Table_03[[#This Row],[Web Thickness tw (in)]]^2*(Table_03[[#This Row],[Depth h (in)]]-2*Table_03[[#This Row],[Flange Thickness tf (in)]])</f>
        <v>8.1543775000000007</v>
      </c>
      <c r="L160" s="181">
        <v>33.4</v>
      </c>
      <c r="M160" s="181">
        <v>5.3</v>
      </c>
      <c r="N160" s="182">
        <v>50</v>
      </c>
      <c r="O160" s="181">
        <f>SQRT(Table_03[[#This Row],[Static Parameters Moment of Inertia Ix (in4)]]/Table_03[[#This Row],[Sectional Area (in2)]])</f>
        <v>5.1471843267466628</v>
      </c>
      <c r="P160" s="181">
        <f>SQRT(Table_03[[#This Row],[Static Parameters Moment of Inertia Iy (in4)]]/Table_03[[#This Row],[Sectional Area (in2)]])</f>
        <v>1.4989173582133362</v>
      </c>
      <c r="Q160" s="181">
        <f>($B$6*$B$5*12)/Table_03[[#This Row],[ry (in)2]]</f>
        <v>119.78645721603901</v>
      </c>
      <c r="R160" s="181">
        <f>(PI()^2*$B$4)/(Table_03[[#This Row],[KL/ry]]^2)</f>
        <v>19.947216543391701</v>
      </c>
      <c r="S160" s="181">
        <f>IF(Table_03[[#This Row],[Strength (ksi)]]/Table_03[[#This Row],[Fe,y]]&lt;2.25,(0.658^(Table_03[[#This Row],[Strength (ksi)]]/Table_03[[#This Row],[Fe,y]])*Table_03[[#This Row],[Strength (ksi)]]),0.877*Table_03[[#This Row],[Fe,y]])</f>
        <v>17.49370890855452</v>
      </c>
      <c r="T160" s="181">
        <f>Table_03[[#This Row],[Fcr,y]]*Table_03[[#This Row],[Sectional Area (in2)]]</f>
        <v>134.70155859586981</v>
      </c>
      <c r="U160" s="181">
        <f>1.76*Table_03[[#This Row],[ry (in)2]]*SQRT($B$4/Table_03[[#This Row],[Strength (ksi)]])/12</f>
        <v>5.294477506184351</v>
      </c>
      <c r="V160"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14.793476233839103</v>
      </c>
      <c r="W160" s="181">
        <f>Table_03[[#This Row],[Depth h (in)]]-Table_03[[#This Row],[Flange Thickness tf (in)]]</f>
        <v>11.84</v>
      </c>
      <c r="X160" s="181">
        <f>(Table_03[[#This Row],[Static Parameters Moment of Inertia Iy (in4)]]*Table_03[[#This Row],[ho]]^2)/4</f>
        <v>606.30272000000002</v>
      </c>
      <c r="Y160" s="181">
        <f>SQRT((SQRT(Table_03[[#This Row],[Static Parameters Moment of Inertia Iy (in4)]]*Table_03[[#This Row],[Cw*]])/Table_03[[#This Row],[Static Parameters Elastic Section Modulus Sx (in3)2]]))</f>
        <v>1.7510988850973612</v>
      </c>
      <c r="Z160" s="181">
        <f>(2*Table_03[[#This Row],[Width w (in)]]*Table_03[[#This Row],[Flange Thickness tf (in)]]^3/3)+((Table_03[[#This Row],[Depth h (in)]]-Table_03[[#This Row],[Flange Thickness tf (in)]]*2)*Table_03[[#This Row],[Web Thickness tw (in)]]^3)/3</f>
        <v>0.28389079333333339</v>
      </c>
      <c r="AA160" s="181">
        <f>Table_03[[#This Row],[Width w (in)]]*0.5/Table_03[[#This Row],[Flange Thickness tf (in)]]</f>
        <v>8.5394736842105257</v>
      </c>
      <c r="AB160" s="181">
        <f>0.38*SQRT($B$4/Table_03[[#This Row],[Strength (ksi)]])</f>
        <v>9.1516118798821449</v>
      </c>
      <c r="AC160" s="181">
        <f>1*SQRT($B$4/Table_03[[#This Row],[Strength (ksi)]])</f>
        <v>24.083189157584592</v>
      </c>
      <c r="AD160" s="181">
        <f>(PI()^2*$B$4/(12*$B$5/Table_03[[#This Row],[rts]])^2)*SQRT(1+0.078*(Table_03[[#This Row],[J*]]/(Table_03[[#This Row],[Static Parameters Elastic Section Modulus Sx (in3)2]]*Table_03[[#This Row],[ho]])*$B$4/(12*$B$5/Table_03[[#This Row],[rts]])^2))</f>
        <v>120.09770646949985</v>
      </c>
      <c r="AE160" s="181">
        <f>0.69*$B$4/Table_03[[#This Row],[b/t]]^2</f>
        <v>274.40048812799591</v>
      </c>
      <c r="AF160" s="183">
        <f>Table_03[[#This Row],[Strength (ksi)]]*Table_03[[#This Row],[Static Parameters Plastic Section Modulus Zx (in3)]]</f>
        <v>1837.5687500000001</v>
      </c>
      <c r="AG160" s="181">
        <f>Table_03[[#This Row],[Mp (k-in)]]-(Table_03[[#This Row],[Mp (k-in)]]-0.7*Table_03[[#This Row],[Strength (ksi)]]*Table_03[[#This Row],[Static Parameters Elastic Section Modulus Sx (in3)2]])*((Table_03[[#This Row],[b/t]]-Table_03[[#This Row],[λpf]])/(Table_03[[#This Row],[λrf]]-Table_03[[#This Row],[λpf]]))</f>
        <v>1864.9775401563206</v>
      </c>
      <c r="AH160" s="184">
        <f>0.9*$B$4*Table_03[[#This Row],[kc]]*Table_03[[#This Row],[Static Parameters Elastic Section Modulus Sx (in3)2]]/Table_03[[#This Row],[b/t]]^2</f>
        <v>6560.1394522466589</v>
      </c>
      <c r="AI160" s="185" t="str">
        <f>IF(Table_03[[#This Row],[b/t]]&lt;Table_03[[#This Row],[λpf]],"Compact",IF(AND(Table_03[[#This Row],[b/t]]&gt;Table_03[[#This Row],[λpf]],Table_03[[#This Row],[λrf]]&gt;Table_03[[#This Row],[b/t]]),"Non-Compact","Slender"))</f>
        <v>Compact</v>
      </c>
      <c r="AJ160" s="186">
        <f>IF(Table_03[[#This Row],[Controlling LBx]]="Compact",Table_03[[#This Row],[Mp (k-in)]],IF(Table_03[[#This Row],[Controlling LBx]]="Non-Compact",Table_03[[#This Row],[Mnlb,Non-Compact (k-in)]],IF(Table_03[[#This Row],[Controlling LBx]]="Slender",Table_03[[#This Row],[Mnlb,slender (k-in)]],"ERROR")))</f>
        <v>1837.5687500000001</v>
      </c>
      <c r="AK160" s="183">
        <f>Table_03[[#This Row],[Mp (k-in)]]-(Table_03[[#This Row],[Mp (k-in)]]-0.7*Table_03[[#This Row],[Strength (ksi)]]*Table_03[[#This Row],[Static Parameters Elastic Section Modulus Sx (in3)2]])*(($B$5-Table_03[[#This Row],[Lp (ft)]])/(Table_03[[#This Row],[Lr]]-Table_03[[#This Row],[Lp (ft)]]))</f>
        <v>1708.7309460771262</v>
      </c>
      <c r="AL160" s="184">
        <f>Table_03[[#This Row],[Fcrx]]*Table_03[[#This Row],[Static Parameters Elastic Section Modulus Sx (in3)2]]</f>
        <v>4011.263396081295</v>
      </c>
      <c r="AM160" s="185" t="str">
        <f>IF($B$5&lt;Table_03[[#This Row],[Lp (ft)]],"Yielding Controls",IF(AND($B$5&gt;Table_03[[#This Row],[Lp (ft)]],Table_03[[#This Row],[Lr]]&gt;$B$5),"Mltb,p Controls","Mltb,r Controls"))</f>
        <v>Mltb,p Controls</v>
      </c>
      <c r="AN160" s="186">
        <f>IF(Table_03[[#This Row],[Controlling LTB]]="Yielding Controls",Table_03[[#This Row],[Mp (k-in)]],IF(Table_03[[#This Row],[Controlling LTB]]="Mltb,p Controls",Table_03[[#This Row],[Mnltbp (k-in)]],IF(Table_03[[#This Row],[Controlling LTB]]="Mltb,r Controls",Table_03[[#This Row],[Mnltbr (k-in)]],"ERROR")))</f>
        <v>1708.7309460771262</v>
      </c>
      <c r="AO160" s="183">
        <f>MIN(Table_03[[#This Row],[Strength (ksi)]]*Table_03[[#This Row],[Static Parameters Plastic Section Modulus Zy (in3)]],1.6*Table_03[[#This Row],[Strength (ksi)]]*Table_03[[#This Row],[Static Parameters Elastic Section Modulus Sy (in3)3]])</f>
        <v>407.71887500000003</v>
      </c>
      <c r="AP160" s="181">
        <f>MIN(Table_03[[#This Row],[Mny (k-in)]],Table_03[[#This Row],[Mny (k-in)]]-(Table_03[[#This Row],[Mny (k-in)]]-0.7*Table_03[[#This Row],[Static Parameters Elastic Section Modulus Sy (in3)3]]*Table_03[[#This Row],[Strength (ksi)]])*((Table_03[[#This Row],[b/t]]-Table_03[[#This Row],[λpf]])/(Table_03[[#This Row],[λrf]]-Table_03[[#This Row],[λpf]])))</f>
        <v>407.71887500000003</v>
      </c>
      <c r="AQ160" s="184">
        <f>MIN(Table_03[[#This Row],[Mny (k-in)]],Table_03[[#This Row],[Fcry]]*Table_03[[#This Row],[Static Parameters Elastic Section Modulus Sy (in3)3]])</f>
        <v>407.71887500000003</v>
      </c>
      <c r="AR160" s="185" t="str">
        <f>IF(Table_03[[#This Row],[b/t]]&lt;Table_03[[#This Row],[λpf]],"Compact",IF(AND(Table_03[[#This Row],[b/t]]&gt;Table_03[[#This Row],[λpf]],Table_03[[#This Row],[λrf]]&gt;Table_03[[#This Row],[b/t]]),"Non-Compact","Slender"))</f>
        <v>Compact</v>
      </c>
      <c r="AS160" s="186">
        <f>IF(Table_03[[#This Row],[Controlling Lby]]="Compact",Table_03[[#This Row],[Mny (k-in)]],IF(Table_03[[#This Row],[Controlling Lby]]="Non-Compact",Table_03[[#This Row],[Mlby,Non-Compact (k-in)]],IF(Table_03[[#This Row],[Controlling Lby]]="Slender",Table_03[[#This Row],[Mlby,Slender (k-in)]],"ERROR")))</f>
        <v>407.71887500000003</v>
      </c>
      <c r="AT160" s="183">
        <f>MIN(Table_03[[#This Row],[LBx]],Table_03[[#This Row],[LTB]],Table_03[[#This Row],[Mp (k-in)]])</f>
        <v>1708.7309460771262</v>
      </c>
      <c r="AU160" s="181">
        <f>Table_03[[#This Row],[Mp (k-in)]]</f>
        <v>1837.5687500000001</v>
      </c>
      <c r="AV160" s="181">
        <f>MIN(Table_03[[#This Row],[LBy]],Table_03[[#This Row],[Mny (k-in)]])</f>
        <v>407.71887500000003</v>
      </c>
      <c r="AW160" s="187">
        <f>Table_03[[#This Row],[Mny (k-in)]]</f>
        <v>407.71887500000003</v>
      </c>
      <c r="AX160" s="165">
        <f>SQRT(((Table_03[[#This Row],[Sectional Area (in2)]]-(Table_03[[#This Row],[Flange Thickness tf (in)]]*Table_03[[#This Row],[Width w (in)]]*2+Table_03[[#This Row],[Web Thickness tw (in)]]*((Table_03[[#This Row],[Depth h (in)]]-2*Table_03[[#This Row],[Flange Thickness tf (in)]]))))/4)/(1-PI()/4))</f>
        <v>0.39184200702633187</v>
      </c>
      <c r="AY160" s="165">
        <f>IF(4/SQRT((Table_03[[#This Row],[Depth h (in)]]-Table_03[[#This Row],[Flange Thickness tf (in)]]*2)/Table_03[[#This Row],[Web Thickness tw (in)]])&lt;0.35,0.35,IF(4/SQRT(Table_03[[#This Row],[Depth h (in)]]/Table_03[[#This Row],[Web Thickness tw (in)]])&gt;0.76,0.76,4/SQRT(Table_03[[#This Row],[Depth h (in)]]/Table_03[[#This Row],[Web Thickness tw (in)]])))</f>
        <v>0.54876740322999373</v>
      </c>
      <c r="AZ160" s="165"/>
    </row>
    <row r="161" spans="1:52" x14ac:dyDescent="0.3">
      <c r="A161" s="188" t="s">
        <v>253</v>
      </c>
      <c r="B161" s="189">
        <v>12.25</v>
      </c>
      <c r="C161" s="189">
        <v>12.04</v>
      </c>
      <c r="D161" s="189">
        <v>0.43</v>
      </c>
      <c r="E161" s="189">
        <v>0.67</v>
      </c>
      <c r="F161" s="190">
        <v>21.1</v>
      </c>
      <c r="G161" s="189">
        <v>72</v>
      </c>
      <c r="H161" s="190">
        <v>597</v>
      </c>
      <c r="I161" s="190">
        <v>195</v>
      </c>
      <c r="J161" s="190">
        <f>Table_03[[#This Row],[Width w (in)]]*Table_03[[#This Row],[Flange Thickness tf (in)]]*(Table_03[[#This Row],[Depth h (in)]]-Table_03[[#This Row],[Flange Thickness tf (in)]])+0.25*Table_03[[#This Row],[Web Thickness tw (in)]]*(Table_03[[#This Row],[Depth h (in)]]-2*Table_03[[#This Row],[Flange Thickness tf (in)]])^2</f>
        <v>106.20906475000001</v>
      </c>
      <c r="K161" s="190">
        <f>(Table_03[[#This Row],[Width w (in)]]^2*Table_03[[#This Row],[Flange Thickness tf (in)]])/2+0.25*Table_03[[#This Row],[Web Thickness tw (in)]]^2*(Table_03[[#This Row],[Depth h (in)]]-2*Table_03[[#This Row],[Flange Thickness tf (in)]])</f>
        <v>49.066450749999994</v>
      </c>
      <c r="L161" s="190">
        <v>97.4</v>
      </c>
      <c r="M161" s="190">
        <v>32.4</v>
      </c>
      <c r="N161" s="191">
        <v>50</v>
      </c>
      <c r="O161" s="169">
        <f>SQRT(Table_03[[#This Row],[Static Parameters Moment of Inertia Ix (in4)]]/Table_03[[#This Row],[Sectional Area (in2)]])</f>
        <v>5.3191953209634297</v>
      </c>
      <c r="P161" s="190">
        <f>SQRT(Table_03[[#This Row],[Static Parameters Moment of Inertia Iy (in4)]]/Table_03[[#This Row],[Sectional Area (in2)]])</f>
        <v>3.0400174606632508</v>
      </c>
      <c r="Q161" s="190">
        <f>($B$6*$B$5*12)/Table_03[[#This Row],[ry (in)2]]</f>
        <v>59.062160768256568</v>
      </c>
      <c r="R161" s="190">
        <f>(PI()^2*$B$4)/(Table_03[[#This Row],[KL/ry]]^2)</f>
        <v>82.050093526292741</v>
      </c>
      <c r="S161" s="190">
        <f>IF(Table_03[[#This Row],[Strength (ksi)]]/Table_03[[#This Row],[Fe,y]]&lt;2.25,(0.658^(Table_03[[#This Row],[Strength (ksi)]]/Table_03[[#This Row],[Fe,y]])*Table_03[[#This Row],[Strength (ksi)]]),0.877*Table_03[[#This Row],[Fe,y]])</f>
        <v>38.743584963848974</v>
      </c>
      <c r="T161" s="190">
        <f>Table_03[[#This Row],[Fcr,y]]*Table_03[[#This Row],[Sectional Area (in2)]]</f>
        <v>817.48964273721344</v>
      </c>
      <c r="U161" s="190">
        <f>1.76*Table_03[[#This Row],[ry (in)2]]*SQRT($B$4/Table_03[[#This Row],[Strength (ksi)]])/12</f>
        <v>10.737952946968582</v>
      </c>
      <c r="V16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36.516226607956021</v>
      </c>
      <c r="W161" s="190">
        <f>Table_03[[#This Row],[Depth h (in)]]-Table_03[[#This Row],[Flange Thickness tf (in)]]</f>
        <v>11.58</v>
      </c>
      <c r="X161" s="190">
        <f>(Table_03[[#This Row],[Static Parameters Moment of Inertia Iy (in4)]]*Table_03[[#This Row],[ho]]^2)/4</f>
        <v>6537.1994999999997</v>
      </c>
      <c r="Y161" s="190">
        <f>SQRT((SQRT(Table_03[[#This Row],[Static Parameters Moment of Inertia Iy (in4)]]*Table_03[[#This Row],[Cw*]])/Table_03[[#This Row],[Static Parameters Elastic Section Modulus Sx (in3)2]]))</f>
        <v>3.4046863463530852</v>
      </c>
      <c r="Z161" s="190">
        <f>(2*Table_03[[#This Row],[Width w (in)]]*Table_03[[#This Row],[Flange Thickness tf (in)]]^3/3)+((Table_03[[#This Row],[Depth h (in)]]-Table_03[[#This Row],[Flange Thickness tf (in)]]*2)*Table_03[[#This Row],[Web Thickness tw (in)]]^3)/3</f>
        <v>2.703264803333334</v>
      </c>
      <c r="AA161" s="190">
        <f>Table_03[[#This Row],[Width w (in)]]*0.5/Table_03[[#This Row],[Flange Thickness tf (in)]]</f>
        <v>8.9850746268656696</v>
      </c>
      <c r="AB161" s="190">
        <f>0.38*SQRT($B$4/Table_03[[#This Row],[Strength (ksi)]])</f>
        <v>9.1516118798821449</v>
      </c>
      <c r="AC161" s="190">
        <f>1*SQRT($B$4/Table_03[[#This Row],[Strength (ksi)]])</f>
        <v>24.083189157584592</v>
      </c>
      <c r="AD161" s="190">
        <f>(PI()^2*$B$4/(12*$B$5/Table_03[[#This Row],[rts]])^2)*SQRT(1+0.078*(Table_03[[#This Row],[J*]]/(Table_03[[#This Row],[Static Parameters Elastic Section Modulus Sx (in3)2]]*Table_03[[#This Row],[ho]])*$B$4/(12*$B$5/Table_03[[#This Row],[rts]])^2))</f>
        <v>455.80440717676748</v>
      </c>
      <c r="AE161" s="190">
        <f>0.69*$B$4/Table_03[[#This Row],[b/t]]^2</f>
        <v>247.85843975232072</v>
      </c>
      <c r="AF161" s="192">
        <f>Table_03[[#This Row],[Strength (ksi)]]*Table_03[[#This Row],[Static Parameters Plastic Section Modulus Zx (in3)]]</f>
        <v>5310.4532375000008</v>
      </c>
      <c r="AG161" s="190">
        <f>Table_03[[#This Row],[Mp (k-in)]]-(Table_03[[#This Row],[Mp (k-in)]]-0.7*Table_03[[#This Row],[Strength (ksi)]]*Table_03[[#This Row],[Static Parameters Elastic Section Modulus Sx (in3)2]])*((Table_03[[#This Row],[b/t]]-Table_03[[#This Row],[λpf]])/(Table_03[[#This Row],[λrf]]-Table_03[[#This Row],[λpf]]))</f>
        <v>5331.6608295060651</v>
      </c>
      <c r="AH161" s="193">
        <f>0.9*$B$4*Table_03[[#This Row],[kc]]*Table_03[[#This Row],[Static Parameters Elastic Section Modulus Sx (in3)2]]/Table_03[[#This Row],[b/t]]^2</f>
        <v>23598.383893993308</v>
      </c>
      <c r="AI161" s="194" t="str">
        <f>IF(Table_03[[#This Row],[b/t]]&lt;Table_03[[#This Row],[λpf]],"Compact",IF(AND(Table_03[[#This Row],[b/t]]&gt;Table_03[[#This Row],[λpf]],Table_03[[#This Row],[λrf]]&gt;Table_03[[#This Row],[b/t]]),"Non-Compact","Slender"))</f>
        <v>Compact</v>
      </c>
      <c r="AJ161" s="195">
        <f>IF(Table_03[[#This Row],[Controlling LBx]]="Compact",Table_03[[#This Row],[Mp (k-in)]],IF(Table_03[[#This Row],[Controlling LBx]]="Non-Compact",Table_03[[#This Row],[Mnlb,Non-Compact (k-in)]],IF(Table_03[[#This Row],[Controlling LBx]]="Slender",Table_03[[#This Row],[Mnlb,slender (k-in)]],"ERROR")))</f>
        <v>5310.4532375000008</v>
      </c>
      <c r="AK161" s="192">
        <f>Table_03[[#This Row],[Mp (k-in)]]-(Table_03[[#This Row],[Mp (k-in)]]-0.7*Table_03[[#This Row],[Strength (ksi)]]*Table_03[[#This Row],[Static Parameters Elastic Section Modulus Sx (in3)2]])*(($B$5-Table_03[[#This Row],[Lp (ft)]])/(Table_03[[#This Row],[Lr]]-Table_03[[#This Row],[Lp (ft)]]))</f>
        <v>5576.9513423884346</v>
      </c>
      <c r="AL161" s="196">
        <f>Table_03[[#This Row],[Fcrx]]*Table_03[[#This Row],[Static Parameters Elastic Section Modulus Sx (in3)2]]</f>
        <v>44395.349259017159</v>
      </c>
      <c r="AM161" s="197" t="str">
        <f>IF($B$5&lt;Table_03[[#This Row],[Lp (ft)]],"Yielding Controls",IF(AND($B$5&gt;Table_03[[#This Row],[Lp (ft)]],Table_03[[#This Row],[Lr]]&gt;$B$5),"Mltb,p Controls","Mltb,r Controls"))</f>
        <v>Yielding Controls</v>
      </c>
      <c r="AN161" s="198">
        <f>IF(Table_03[[#This Row],[Controlling LTB]]="Yielding Controls",Table_03[[#This Row],[Mp (k-in)]],IF(Table_03[[#This Row],[Controlling LTB]]="Mltb,p Controls",Table_03[[#This Row],[Mnltbp (k-in)]],IF(Table_03[[#This Row],[Controlling LTB]]="Mltb,r Controls",Table_03[[#This Row],[Mnltbr (k-in)]],"ERROR")))</f>
        <v>5310.4532375000008</v>
      </c>
      <c r="AO161" s="199">
        <f>MIN(Table_03[[#This Row],[Strength (ksi)]]*Table_03[[#This Row],[Static Parameters Plastic Section Modulus Zy (in3)]],1.6*Table_03[[#This Row],[Strength (ksi)]]*Table_03[[#This Row],[Static Parameters Elastic Section Modulus Sy (in3)3]])</f>
        <v>2453.3225374999997</v>
      </c>
      <c r="AP161" s="169">
        <f>MIN(Table_03[[#This Row],[Mny (k-in)]],Table_03[[#This Row],[Mny (k-in)]]-(Table_03[[#This Row],[Mny (k-in)]]-0.7*Table_03[[#This Row],[Static Parameters Elastic Section Modulus Sy (in3)3]]*Table_03[[#This Row],[Strength (ksi)]])*((Table_03[[#This Row],[b/t]]-Table_03[[#This Row],[λpf]])/(Table_03[[#This Row],[λrf]]-Table_03[[#This Row],[λpf]])))</f>
        <v>2453.3225374999997</v>
      </c>
      <c r="AQ161" s="196">
        <f>MIN(Table_03[[#This Row],[Mny (k-in)]],Table_03[[#This Row],[Fcry]]*Table_03[[#This Row],[Static Parameters Elastic Section Modulus Sy (in3)3]])</f>
        <v>2453.3225374999997</v>
      </c>
      <c r="AR161" s="197" t="str">
        <f>IF(Table_03[[#This Row],[b/t]]&lt;Table_03[[#This Row],[λpf]],"Compact",IF(AND(Table_03[[#This Row],[b/t]]&gt;Table_03[[#This Row],[λpf]],Table_03[[#This Row],[λrf]]&gt;Table_03[[#This Row],[b/t]]),"Non-Compact","Slender"))</f>
        <v>Compact</v>
      </c>
      <c r="AS161" s="198">
        <f>IF(Table_03[[#This Row],[Controlling Lby]]="Compact",Table_03[[#This Row],[Mny (k-in)]],IF(Table_03[[#This Row],[Controlling Lby]]="Non-Compact",Table_03[[#This Row],[Mlby,Non-Compact (k-in)]],IF(Table_03[[#This Row],[Controlling Lby]]="Slender",Table_03[[#This Row],[Mlby,Slender (k-in)]],"ERROR")))</f>
        <v>2453.3225374999997</v>
      </c>
      <c r="AT161" s="199">
        <f>MIN(Table_03[[#This Row],[LBx]],Table_03[[#This Row],[LTB]],Table_03[[#This Row],[Mp (k-in)]])</f>
        <v>5310.4532375000008</v>
      </c>
      <c r="AU161" s="169">
        <f>Table_03[[#This Row],[Mp (k-in)]]</f>
        <v>5310.4532375000008</v>
      </c>
      <c r="AV161" s="169">
        <f>MIN(Table_03[[#This Row],[LBy]],Table_03[[#This Row],[Mny (k-in)]])</f>
        <v>2453.3225374999997</v>
      </c>
      <c r="AW161" s="200">
        <f>Table_03[[#This Row],[Mny (k-in)]]</f>
        <v>2453.3225374999997</v>
      </c>
      <c r="AX161" s="165">
        <f>SQRT(((Table_03[[#This Row],[Sectional Area (in2)]]-(Table_03[[#This Row],[Flange Thickness tf (in)]]*Table_03[[#This Row],[Width w (in)]]*2+Table_03[[#This Row],[Web Thickness tw (in)]]*((Table_03[[#This Row],[Depth h (in)]]-2*Table_03[[#This Row],[Flange Thickness tf (in)]]))))/4)/(1-PI()/4))</f>
        <v>0.56610707467230759</v>
      </c>
      <c r="AY161" s="165">
        <f>IF(4/SQRT((Table_03[[#This Row],[Depth h (in)]]-Table_03[[#This Row],[Flange Thickness tf (in)]]*2)/Table_03[[#This Row],[Web Thickness tw (in)]])&lt;0.35,0.35,IF(4/SQRT(Table_03[[#This Row],[Depth h (in)]]/Table_03[[#This Row],[Web Thickness tw (in)]])&gt;0.76,0.76,4/SQRT(Table_03[[#This Row],[Depth h (in)]]/Table_03[[#This Row],[Web Thickness tw (in)]])))</f>
        <v>0.74942154563451435</v>
      </c>
      <c r="AZ161" s="165"/>
    </row>
    <row r="162" spans="1:52" ht="14.4" thickBot="1" x14ac:dyDescent="0.35">
      <c r="A162" s="201" t="s">
        <v>254</v>
      </c>
      <c r="B162" s="202">
        <v>12.31</v>
      </c>
      <c r="C162" s="202">
        <v>4.03</v>
      </c>
      <c r="D162" s="202">
        <v>0.26</v>
      </c>
      <c r="E162" s="202">
        <v>0.42499999999999999</v>
      </c>
      <c r="F162" s="203">
        <v>6.5</v>
      </c>
      <c r="G162" s="204">
        <v>22</v>
      </c>
      <c r="H162" s="203">
        <v>156</v>
      </c>
      <c r="I162" s="203">
        <v>4.7</v>
      </c>
      <c r="J162" s="203">
        <f>Table_03[[#This Row],[Width w (in)]]*Table_03[[#This Row],[Flange Thickness tf (in)]]*(Table_03[[#This Row],[Depth h (in)]]-Table_03[[#This Row],[Flange Thickness tf (in)]])+0.25*Table_03[[#This Row],[Web Thickness tw (in)]]*(Table_03[[#This Row],[Depth h (in)]]-2*Table_03[[#This Row],[Flange Thickness tf (in)]])^2</f>
        <v>28.892587749999997</v>
      </c>
      <c r="K162" s="203">
        <f>(Table_03[[#This Row],[Width w (in)]]^2*Table_03[[#This Row],[Flange Thickness tf (in)]])/2+0.25*Table_03[[#This Row],[Web Thickness tw (in)]]^2*(Table_03[[#This Row],[Depth h (in)]]-2*Table_03[[#This Row],[Flange Thickness tf (in)]])</f>
        <v>3.6448652500000009</v>
      </c>
      <c r="L162" s="203">
        <v>25.4</v>
      </c>
      <c r="M162" s="203">
        <v>2.2999999999999998</v>
      </c>
      <c r="N162" s="205">
        <v>50</v>
      </c>
      <c r="O162" s="206">
        <f>SQRT(Table_03[[#This Row],[Static Parameters Moment of Inertia Ix (in4)]]/Table_03[[#This Row],[Sectional Area (in2)]])</f>
        <v>4.8989794855663558</v>
      </c>
      <c r="P162" s="203">
        <f>SQRT(Table_03[[#This Row],[Static Parameters Moment of Inertia Iy (in4)]]/Table_03[[#This Row],[Sectional Area (in2)]])</f>
        <v>0.85033929879602943</v>
      </c>
      <c r="Q162" s="203">
        <f>($B$6*$B$5*12)/Table_03[[#This Row],[ry (in)2]]</f>
        <v>211.15100790263324</v>
      </c>
      <c r="R162" s="203">
        <f>(PI()^2*$B$4)/(Table_03[[#This Row],[KL/ry]]^2)</f>
        <v>6.4196511045384215</v>
      </c>
      <c r="S162" s="203">
        <f>IF(Table_03[[#This Row],[Strength (ksi)]]/Table_03[[#This Row],[Fe,y]]&lt;2.25,(0.658^(Table_03[[#This Row],[Strength (ksi)]]/Table_03[[#This Row],[Fe,y]])*Table_03[[#This Row],[Strength (ksi)]]),0.877*Table_03[[#This Row],[Fe,y]])</f>
        <v>5.6300340186801954</v>
      </c>
      <c r="T162" s="203">
        <f>Table_03[[#This Row],[Fcr,y]]*Table_03[[#This Row],[Sectional Area (in2)]]</f>
        <v>36.595221121421268</v>
      </c>
      <c r="U162" s="203">
        <f>1.76*Table_03[[#This Row],[ry (in)2]]*SQRT($B$4/Table_03[[#This Row],[Strength (ksi)]])/12</f>
        <v>3.003569386551451</v>
      </c>
      <c r="V16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9.1190912938400732</v>
      </c>
      <c r="W162" s="203">
        <f>Table_03[[#This Row],[Depth h (in)]]-Table_03[[#This Row],[Flange Thickness tf (in)]]</f>
        <v>11.885</v>
      </c>
      <c r="X162" s="203">
        <f>(Table_03[[#This Row],[Static Parameters Moment of Inertia Iy (in4)]]*Table_03[[#This Row],[ho]]^2)/4</f>
        <v>165.972539375</v>
      </c>
      <c r="Y162" s="203">
        <f>SQRT((SQRT(Table_03[[#This Row],[Static Parameters Moment of Inertia Iy (in4)]]*Table_03[[#This Row],[Cw*]])/Table_03[[#This Row],[Static Parameters Elastic Section Modulus Sx (in3)2]]))</f>
        <v>1.0486164487995184</v>
      </c>
      <c r="Z162" s="203">
        <f>(2*Table_03[[#This Row],[Width w (in)]]*Table_03[[#This Row],[Flange Thickness tf (in)]]^3/3)+((Table_03[[#This Row],[Depth h (in)]]-Table_03[[#This Row],[Flange Thickness tf (in)]]*2)*Table_03[[#This Row],[Web Thickness tw (in)]]^3)/3</f>
        <v>0.27338396583333335</v>
      </c>
      <c r="AA162" s="203">
        <f>Table_03[[#This Row],[Width w (in)]]*0.5/Table_03[[#This Row],[Flange Thickness tf (in)]]</f>
        <v>4.7411764705882353</v>
      </c>
      <c r="AB162" s="203">
        <f>0.38*SQRT($B$4/Table_03[[#This Row],[Strength (ksi)]])</f>
        <v>9.1516118798821449</v>
      </c>
      <c r="AC162" s="203">
        <f>1*SQRT($B$4/Table_03[[#This Row],[Strength (ksi)]])</f>
        <v>24.083189157584592</v>
      </c>
      <c r="AD162" s="203">
        <f>(PI()^2*$B$4/(12*$B$5/Table_03[[#This Row],[rts]])^2)*SQRT(1+0.078*(Table_03[[#This Row],[J*]]/(Table_03[[#This Row],[Static Parameters Elastic Section Modulus Sx (in3)2]]*Table_03[[#This Row],[ho]])*$B$4/(12*$B$5/Table_03[[#This Row],[rts]])^2))</f>
        <v>43.059178983113405</v>
      </c>
      <c r="AE162" s="203">
        <f>0.69*$B$4/Table_03[[#This Row],[b/t]]^2</f>
        <v>890.17388198929859</v>
      </c>
      <c r="AF162" s="207">
        <f>Table_03[[#This Row],[Strength (ksi)]]*Table_03[[#This Row],[Static Parameters Plastic Section Modulus Zx (in3)]]</f>
        <v>1444.6293874999999</v>
      </c>
      <c r="AG162" s="203">
        <f>Table_03[[#This Row],[Mp (k-in)]]-(Table_03[[#This Row],[Mp (k-in)]]-0.7*Table_03[[#This Row],[Strength (ksi)]]*Table_03[[#This Row],[Static Parameters Elastic Section Modulus Sx (in3)2]])*((Table_03[[#This Row],[b/t]]-Table_03[[#This Row],[λpf]])/(Table_03[[#This Row],[λrf]]-Table_03[[#This Row],[λpf]]))</f>
        <v>1608.7491907530532</v>
      </c>
      <c r="AH162" s="208">
        <f>0.9*$B$4*Table_03[[#This Row],[kc]]*Table_03[[#This Row],[Static Parameters Elastic Section Modulus Sx (in3)2]]/Table_03[[#This Row],[b/t]]^2</f>
        <v>17144.294644588292</v>
      </c>
      <c r="AI162" s="209" t="str">
        <f>IF(Table_03[[#This Row],[b/t]]&lt;Table_03[[#This Row],[λpf]],"Compact",IF(AND(Table_03[[#This Row],[b/t]]&gt;Table_03[[#This Row],[λpf]],Table_03[[#This Row],[λrf]]&gt;Table_03[[#This Row],[b/t]]),"Non-Compact","Slender"))</f>
        <v>Compact</v>
      </c>
      <c r="AJ162" s="210">
        <f>IF(Table_03[[#This Row],[Controlling LBx]]="Compact",Table_03[[#This Row],[Mp (k-in)]],IF(Table_03[[#This Row],[Controlling LBx]]="Non-Compact",Table_03[[#This Row],[Mnlb,Non-Compact (k-in)]],IF(Table_03[[#This Row],[Controlling LBx]]="Slender",Table_03[[#This Row],[Mnlb,slender (k-in)]],"ERROR")))</f>
        <v>1444.6293874999999</v>
      </c>
      <c r="AK162" s="207">
        <f>Table_03[[#This Row],[Mp (k-in)]]-(Table_03[[#This Row],[Mp (k-in)]]-0.7*Table_03[[#This Row],[Strength (ksi)]]*Table_03[[#This Row],[Static Parameters Elastic Section Modulus Sx (in3)2]])*(($B$5-Table_03[[#This Row],[Lp (ft)]])/(Table_03[[#This Row],[Lr]]-Table_03[[#This Row],[Lp (ft)]]))</f>
        <v>1070.1743529027231</v>
      </c>
      <c r="AL162" s="211">
        <f>Table_03[[#This Row],[Fcrx]]*Table_03[[#This Row],[Static Parameters Elastic Section Modulus Sx (in3)2]]</f>
        <v>1093.7031461710803</v>
      </c>
      <c r="AM162" s="212" t="str">
        <f>IF($B$5&lt;Table_03[[#This Row],[Lp (ft)]],"Yielding Controls",IF(AND($B$5&gt;Table_03[[#This Row],[Lp (ft)]],Table_03[[#This Row],[Lr]]&gt;$B$5),"Mltb,p Controls","Mltb,r Controls"))</f>
        <v>Mltb,p Controls</v>
      </c>
      <c r="AN162" s="213">
        <f>IF(Table_03[[#This Row],[Controlling LTB]]="Yielding Controls",Table_03[[#This Row],[Mp (k-in)]],IF(Table_03[[#This Row],[Controlling LTB]]="Mltb,p Controls",Table_03[[#This Row],[Mnltbp (k-in)]],IF(Table_03[[#This Row],[Controlling LTB]]="Mltb,r Controls",Table_03[[#This Row],[Mnltbr (k-in)]],"ERROR")))</f>
        <v>1070.1743529027231</v>
      </c>
      <c r="AO162" s="214">
        <f>MIN(Table_03[[#This Row],[Strength (ksi)]]*Table_03[[#This Row],[Static Parameters Plastic Section Modulus Zy (in3)]],1.6*Table_03[[#This Row],[Strength (ksi)]]*Table_03[[#This Row],[Static Parameters Elastic Section Modulus Sy (in3)3]])</f>
        <v>182.24326250000004</v>
      </c>
      <c r="AP162" s="206">
        <f>MIN(Table_03[[#This Row],[Mny (k-in)]],Table_03[[#This Row],[Mny (k-in)]]-(Table_03[[#This Row],[Mny (k-in)]]-0.7*Table_03[[#This Row],[Static Parameters Elastic Section Modulus Sy (in3)3]]*Table_03[[#This Row],[Strength (ksi)]])*((Table_03[[#This Row],[b/t]]-Table_03[[#This Row],[λpf]])/(Table_03[[#This Row],[λrf]]-Table_03[[#This Row],[λpf]])))</f>
        <v>182.24326250000004</v>
      </c>
      <c r="AQ162" s="211">
        <f>MIN(Table_03[[#This Row],[Mny (k-in)]],Table_03[[#This Row],[Fcry]]*Table_03[[#This Row],[Static Parameters Elastic Section Modulus Sy (in3)3]])</f>
        <v>182.24326250000004</v>
      </c>
      <c r="AR162" s="212" t="str">
        <f>IF(Table_03[[#This Row],[b/t]]&lt;Table_03[[#This Row],[λpf]],"Compact",IF(AND(Table_03[[#This Row],[b/t]]&gt;Table_03[[#This Row],[λpf]],Table_03[[#This Row],[λrf]]&gt;Table_03[[#This Row],[b/t]]),"Non-Compact","Slender"))</f>
        <v>Compact</v>
      </c>
      <c r="AS162" s="213">
        <f>IF(Table_03[[#This Row],[Controlling Lby]]="Compact",Table_03[[#This Row],[Mny (k-in)]],IF(Table_03[[#This Row],[Controlling Lby]]="Non-Compact",Table_03[[#This Row],[Mlby,Non-Compact (k-in)]],IF(Table_03[[#This Row],[Controlling Lby]]="Slender",Table_03[[#This Row],[Mlby,Slender (k-in)]],"ERROR")))</f>
        <v>182.24326250000004</v>
      </c>
      <c r="AT162" s="214">
        <f>MIN(Table_03[[#This Row],[LBx]],Table_03[[#This Row],[LTB]],Table_03[[#This Row],[Mp (k-in)]])</f>
        <v>1070.1743529027231</v>
      </c>
      <c r="AU162" s="206">
        <f>Table_03[[#This Row],[Mp (k-in)]]</f>
        <v>1444.6293874999999</v>
      </c>
      <c r="AV162" s="206">
        <f>MIN(Table_03[[#This Row],[LBy]],Table_03[[#This Row],[Mny (k-in)]])</f>
        <v>182.24326250000004</v>
      </c>
      <c r="AW162" s="215">
        <f>Table_03[[#This Row],[Mny (k-in)]]</f>
        <v>182.24326250000004</v>
      </c>
      <c r="AX162" s="165">
        <f>SQRT(((Table_03[[#This Row],[Sectional Area (in2)]]-(Table_03[[#This Row],[Flange Thickness tf (in)]]*Table_03[[#This Row],[Width w (in)]]*2+Table_03[[#This Row],[Web Thickness tw (in)]]*((Table_03[[#This Row],[Depth h (in)]]-2*Table_03[[#This Row],[Flange Thickness tf (in)]]))))/4)/(1-PI()/4))</f>
        <v>0.33249597575169404</v>
      </c>
      <c r="AY162" s="165">
        <f>IF(4/SQRT((Table_03[[#This Row],[Depth h (in)]]-Table_03[[#This Row],[Flange Thickness tf (in)]]*2)/Table_03[[#This Row],[Web Thickness tw (in)]])&lt;0.35,0.35,IF(4/SQRT(Table_03[[#This Row],[Depth h (in)]]/Table_03[[#This Row],[Web Thickness tw (in)]])&gt;0.76,0.76,4/SQRT(Table_03[[#This Row],[Depth h (in)]]/Table_03[[#This Row],[Web Thickness tw (in)]])))</f>
        <v>0.58132317765644348</v>
      </c>
      <c r="AZ162" s="165"/>
    </row>
    <row r="163" spans="1:52" x14ac:dyDescent="0.3">
      <c r="A163" s="179" t="s">
        <v>255</v>
      </c>
      <c r="B163" s="180">
        <v>12.34</v>
      </c>
      <c r="C163" s="180">
        <v>6.52</v>
      </c>
      <c r="D163" s="180">
        <v>0.26</v>
      </c>
      <c r="E163" s="180">
        <v>0.44</v>
      </c>
      <c r="F163" s="181">
        <v>8.8000000000000007</v>
      </c>
      <c r="G163" s="180">
        <v>30</v>
      </c>
      <c r="H163" s="180">
        <v>238</v>
      </c>
      <c r="I163" s="180">
        <v>20.3</v>
      </c>
      <c r="J163" s="181">
        <f>Table_03[[#This Row],[Width w (in)]]*Table_03[[#This Row],[Flange Thickness tf (in)]]*(Table_03[[#This Row],[Depth h (in)]]-Table_03[[#This Row],[Flange Thickness tf (in)]])+0.25*Table_03[[#This Row],[Web Thickness tw (in)]]*(Table_03[[#This Row],[Depth h (in)]]-2*Table_03[[#This Row],[Flange Thickness tf (in)]])^2</f>
        <v>42.675274000000002</v>
      </c>
      <c r="K163" s="181">
        <f>(Table_03[[#This Row],[Width w (in)]]^2*Table_03[[#This Row],[Flange Thickness tf (in)]])/2+0.25*Table_03[[#This Row],[Web Thickness tw (in)]]^2*(Table_03[[#This Row],[Depth h (in)]]-2*Table_03[[#This Row],[Flange Thickness tf (in)]])</f>
        <v>9.5459619999999994</v>
      </c>
      <c r="L163" s="181">
        <v>38.6</v>
      </c>
      <c r="M163" s="181">
        <v>6.2</v>
      </c>
      <c r="N163" s="182">
        <v>50</v>
      </c>
      <c r="O163" s="181">
        <f>SQRT(Table_03[[#This Row],[Static Parameters Moment of Inertia Ix (in4)]]/Table_03[[#This Row],[Sectional Area (in2)]])</f>
        <v>5.2005244490776645</v>
      </c>
      <c r="P163" s="181">
        <f>SQRT(Table_03[[#This Row],[Static Parameters Moment of Inertia Iy (in4)]]/Table_03[[#This Row],[Sectional Area (in2)]])</f>
        <v>1.5188213133276021</v>
      </c>
      <c r="Q163" s="181">
        <f>($B$6*$B$5*12)/Table_03[[#This Row],[ry (in)2]]</f>
        <v>118.21667132562287</v>
      </c>
      <c r="R163" s="181">
        <f>(PI()^2*$B$4)/(Table_03[[#This Row],[KL/ry]]^2)</f>
        <v>20.480487505895674</v>
      </c>
      <c r="S163" s="181">
        <f>IF(Table_03[[#This Row],[Strength (ksi)]]/Table_03[[#This Row],[Fe,y]]&lt;2.25,(0.658^(Table_03[[#This Row],[Strength (ksi)]]/Table_03[[#This Row],[Fe,y]])*Table_03[[#This Row],[Strength (ksi)]]),0.877*Table_03[[#This Row],[Fe,y]])</f>
        <v>17.961387542670504</v>
      </c>
      <c r="T163" s="181">
        <f>Table_03[[#This Row],[Fcr,y]]*Table_03[[#This Row],[Sectional Area (in2)]]</f>
        <v>158.06021037550045</v>
      </c>
      <c r="U163" s="181">
        <f>1.76*Table_03[[#This Row],[ry (in)2]]*SQRT($B$4/Table_03[[#This Row],[Strength (ksi)]])/12</f>
        <v>5.3647822778644887</v>
      </c>
      <c r="V163"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15.493255370921352</v>
      </c>
      <c r="W163" s="181">
        <f>Table_03[[#This Row],[Depth h (in)]]-Table_03[[#This Row],[Flange Thickness tf (in)]]</f>
        <v>11.9</v>
      </c>
      <c r="X163" s="181">
        <f>(Table_03[[#This Row],[Static Parameters Moment of Inertia Iy (in4)]]*Table_03[[#This Row],[ho]]^2)/4</f>
        <v>718.67075000000011</v>
      </c>
      <c r="Y163" s="181">
        <f>SQRT((SQRT(Table_03[[#This Row],[Static Parameters Moment of Inertia Iy (in4)]]*Table_03[[#This Row],[Cw*]])/Table_03[[#This Row],[Static Parameters Elastic Section Modulus Sx (in3)2]]))</f>
        <v>1.7689389694730022</v>
      </c>
      <c r="Z163" s="181">
        <f>(2*Table_03[[#This Row],[Width w (in)]]*Table_03[[#This Row],[Flange Thickness tf (in)]]^3/3)+((Table_03[[#This Row],[Depth h (in)]]-Table_03[[#This Row],[Flange Thickness tf (in)]]*2)*Table_03[[#This Row],[Web Thickness tw (in)]]^3)/3</f>
        <v>0.43740677333333333</v>
      </c>
      <c r="AA163" s="181">
        <f>Table_03[[#This Row],[Width w (in)]]*0.5/Table_03[[#This Row],[Flange Thickness tf (in)]]</f>
        <v>7.4090909090909083</v>
      </c>
      <c r="AB163" s="181">
        <f>0.38*SQRT($B$4/Table_03[[#This Row],[Strength (ksi)]])</f>
        <v>9.1516118798821449</v>
      </c>
      <c r="AC163" s="181">
        <f>1*SQRT($B$4/Table_03[[#This Row],[Strength (ksi)]])</f>
        <v>24.083189157584592</v>
      </c>
      <c r="AD163" s="181">
        <f>(PI()^2*$B$4/(12*$B$5/Table_03[[#This Row],[rts]])^2)*SQRT(1+0.078*(Table_03[[#This Row],[J*]]/(Table_03[[#This Row],[Static Parameters Elastic Section Modulus Sx (in3)2]]*Table_03[[#This Row],[ho]])*$B$4/(12*$B$5/Table_03[[#This Row],[rts]])^2))</f>
        <v>122.57201714451394</v>
      </c>
      <c r="AE163" s="181">
        <f>0.69*$B$4/Table_03[[#This Row],[b/t]]^2</f>
        <v>364.5165418344688</v>
      </c>
      <c r="AF163" s="183">
        <f>Table_03[[#This Row],[Strength (ksi)]]*Table_03[[#This Row],[Static Parameters Plastic Section Modulus Zx (in3)]]</f>
        <v>2133.7637</v>
      </c>
      <c r="AG163" s="181">
        <f>Table_03[[#This Row],[Mp (k-in)]]-(Table_03[[#This Row],[Mp (k-in)]]-0.7*Table_03[[#This Row],[Strength (ksi)]]*Table_03[[#This Row],[Static Parameters Elastic Section Modulus Sx (in3)2]])*((Table_03[[#This Row],[b/t]]-Table_03[[#This Row],[λpf]])/(Table_03[[#This Row],[λrf]]-Table_03[[#This Row],[λpf]]))</f>
        <v>2225.1125332181086</v>
      </c>
      <c r="AH163" s="184">
        <f>0.9*$B$4*Table_03[[#This Row],[kc]]*Table_03[[#This Row],[Static Parameters Elastic Section Modulus Sx (in3)2]]/Table_03[[#This Row],[b/t]]^2</f>
        <v>10655.824284035123</v>
      </c>
      <c r="AI163" s="185" t="str">
        <f>IF(Table_03[[#This Row],[b/t]]&lt;Table_03[[#This Row],[λpf]],"Compact",IF(AND(Table_03[[#This Row],[b/t]]&gt;Table_03[[#This Row],[λpf]],Table_03[[#This Row],[λrf]]&gt;Table_03[[#This Row],[b/t]]),"Non-Compact","Slender"))</f>
        <v>Compact</v>
      </c>
      <c r="AJ163" s="186">
        <f>IF(Table_03[[#This Row],[Controlling LBx]]="Compact",Table_03[[#This Row],[Mp (k-in)]],IF(Table_03[[#This Row],[Controlling LBx]]="Non-Compact",Table_03[[#This Row],[Mnlb,Non-Compact (k-in)]],IF(Table_03[[#This Row],[Controlling LBx]]="Slender",Table_03[[#This Row],[Mnlb,slender (k-in)]],"ERROR")))</f>
        <v>2133.7637</v>
      </c>
      <c r="AK163" s="183">
        <f>Table_03[[#This Row],[Mp (k-in)]]-(Table_03[[#This Row],[Mp (k-in)]]-0.7*Table_03[[#This Row],[Strength (ksi)]]*Table_03[[#This Row],[Static Parameters Elastic Section Modulus Sx (in3)2]])*(($B$5-Table_03[[#This Row],[Lp (ft)]])/(Table_03[[#This Row],[Lr]]-Table_03[[#This Row],[Lp (ft)]]))</f>
        <v>1997.7279397896205</v>
      </c>
      <c r="AL163" s="184">
        <f>Table_03[[#This Row],[Fcrx]]*Table_03[[#This Row],[Static Parameters Elastic Section Modulus Sx (in3)2]]</f>
        <v>4731.2798617782382</v>
      </c>
      <c r="AM163" s="185" t="str">
        <f>IF($B$5&lt;Table_03[[#This Row],[Lp (ft)]],"Yielding Controls",IF(AND($B$5&gt;Table_03[[#This Row],[Lp (ft)]],Table_03[[#This Row],[Lr]]&gt;$B$5),"Mltb,p Controls","Mltb,r Controls"))</f>
        <v>Mltb,p Controls</v>
      </c>
      <c r="AN163" s="186">
        <f>IF(Table_03[[#This Row],[Controlling LTB]]="Yielding Controls",Table_03[[#This Row],[Mp (k-in)]],IF(Table_03[[#This Row],[Controlling LTB]]="Mltb,p Controls",Table_03[[#This Row],[Mnltbp (k-in)]],IF(Table_03[[#This Row],[Controlling LTB]]="Mltb,r Controls",Table_03[[#This Row],[Mnltbr (k-in)]],"ERROR")))</f>
        <v>1997.7279397896205</v>
      </c>
      <c r="AO163" s="183">
        <f>MIN(Table_03[[#This Row],[Strength (ksi)]]*Table_03[[#This Row],[Static Parameters Plastic Section Modulus Zy (in3)]],1.6*Table_03[[#This Row],[Strength (ksi)]]*Table_03[[#This Row],[Static Parameters Elastic Section Modulus Sy (in3)3]])</f>
        <v>477.29809999999998</v>
      </c>
      <c r="AP163" s="181">
        <f>MIN(Table_03[[#This Row],[Mny (k-in)]],Table_03[[#This Row],[Mny (k-in)]]-(Table_03[[#This Row],[Mny (k-in)]]-0.7*Table_03[[#This Row],[Static Parameters Elastic Section Modulus Sy (in3)3]]*Table_03[[#This Row],[Strength (ksi)]])*((Table_03[[#This Row],[b/t]]-Table_03[[#This Row],[λpf]])/(Table_03[[#This Row],[λrf]]-Table_03[[#This Row],[λpf]])))</f>
        <v>477.29809999999998</v>
      </c>
      <c r="AQ163" s="184">
        <f>MIN(Table_03[[#This Row],[Mny (k-in)]],Table_03[[#This Row],[Fcry]]*Table_03[[#This Row],[Static Parameters Elastic Section Modulus Sy (in3)3]])</f>
        <v>477.29809999999998</v>
      </c>
      <c r="AR163" s="185" t="str">
        <f>IF(Table_03[[#This Row],[b/t]]&lt;Table_03[[#This Row],[λpf]],"Compact",IF(AND(Table_03[[#This Row],[b/t]]&gt;Table_03[[#This Row],[λpf]],Table_03[[#This Row],[λrf]]&gt;Table_03[[#This Row],[b/t]]),"Non-Compact","Slender"))</f>
        <v>Compact</v>
      </c>
      <c r="AS163" s="186">
        <f>IF(Table_03[[#This Row],[Controlling Lby]]="Compact",Table_03[[#This Row],[Mny (k-in)]],IF(Table_03[[#This Row],[Controlling Lby]]="Non-Compact",Table_03[[#This Row],[Mlby,Non-Compact (k-in)]],IF(Table_03[[#This Row],[Controlling Lby]]="Slender",Table_03[[#This Row],[Mlby,Slender (k-in)]],"ERROR")))</f>
        <v>477.29809999999998</v>
      </c>
      <c r="AT163" s="183">
        <f>MIN(Table_03[[#This Row],[LBx]],Table_03[[#This Row],[LTB]],Table_03[[#This Row],[Mp (k-in)]])</f>
        <v>1997.7279397896205</v>
      </c>
      <c r="AU163" s="181">
        <f>Table_03[[#This Row],[Mp (k-in)]]</f>
        <v>2133.7637</v>
      </c>
      <c r="AV163" s="181">
        <f>MIN(Table_03[[#This Row],[LBy]],Table_03[[#This Row],[Mny (k-in)]])</f>
        <v>477.29809999999998</v>
      </c>
      <c r="AW163" s="187">
        <f>Table_03[[#This Row],[Mny (k-in)]]</f>
        <v>477.29809999999998</v>
      </c>
      <c r="AX163" s="165">
        <f>SQRT(((Table_03[[#This Row],[Sectional Area (in2)]]-(Table_03[[#This Row],[Flange Thickness tf (in)]]*Table_03[[#This Row],[Width w (in)]]*2+Table_03[[#This Row],[Web Thickness tw (in)]]*((Table_03[[#This Row],[Depth h (in)]]-2*Table_03[[#This Row],[Flange Thickness tf (in)]]))))/4)/(1-PI()/4))</f>
        <v>0.31057640281086768</v>
      </c>
      <c r="AY163" s="165">
        <f>IF(4/SQRT((Table_03[[#This Row],[Depth h (in)]]-Table_03[[#This Row],[Flange Thickness tf (in)]]*2)/Table_03[[#This Row],[Web Thickness tw (in)]])&lt;0.35,0.35,IF(4/SQRT(Table_03[[#This Row],[Depth h (in)]]/Table_03[[#This Row],[Web Thickness tw (in)]])&gt;0.76,0.76,4/SQRT(Table_03[[#This Row],[Depth h (in)]]/Table_03[[#This Row],[Web Thickness tw (in)]])))</f>
        <v>0.58061611494476228</v>
      </c>
      <c r="AZ163" s="165"/>
    </row>
    <row r="164" spans="1:52" x14ac:dyDescent="0.3">
      <c r="A164" s="188" t="s">
        <v>256</v>
      </c>
      <c r="B164" s="189">
        <v>12.38</v>
      </c>
      <c r="C164" s="189">
        <v>12.08</v>
      </c>
      <c r="D164" s="189">
        <v>0.47</v>
      </c>
      <c r="E164" s="189">
        <v>0.73499999999999999</v>
      </c>
      <c r="F164" s="190">
        <v>23.2</v>
      </c>
      <c r="G164" s="189">
        <v>79</v>
      </c>
      <c r="H164" s="190">
        <v>662</v>
      </c>
      <c r="I164" s="190">
        <v>216</v>
      </c>
      <c r="J164" s="190">
        <f>Table_03[[#This Row],[Width w (in)]]*Table_03[[#This Row],[Flange Thickness tf (in)]]*(Table_03[[#This Row],[Depth h (in)]]-Table_03[[#This Row],[Flange Thickness tf (in)]])+0.25*Table_03[[#This Row],[Web Thickness tw (in)]]*(Table_03[[#This Row],[Depth h (in)]]-2*Table_03[[#This Row],[Flange Thickness tf (in)]])^2</f>
        <v>117.37942775000002</v>
      </c>
      <c r="K164" s="190">
        <f>(Table_03[[#This Row],[Width w (in)]]^2*Table_03[[#This Row],[Flange Thickness tf (in)]])/2+0.25*Table_03[[#This Row],[Web Thickness tw (in)]]^2*(Table_03[[#This Row],[Depth h (in)]]-2*Table_03[[#This Row],[Flange Thickness tf (in)]])</f>
        <v>54.230456750000002</v>
      </c>
      <c r="L164" s="190">
        <v>107</v>
      </c>
      <c r="M164" s="190">
        <v>35.799999999999997</v>
      </c>
      <c r="N164" s="191">
        <v>50</v>
      </c>
      <c r="O164" s="169">
        <f>SQRT(Table_03[[#This Row],[Static Parameters Moment of Inertia Ix (in4)]]/Table_03[[#This Row],[Sectional Area (in2)]])</f>
        <v>5.3417677559606327</v>
      </c>
      <c r="P164" s="190">
        <f>SQRT(Table_03[[#This Row],[Static Parameters Moment of Inertia Iy (in4)]]/Table_03[[#This Row],[Sectional Area (in2)]])</f>
        <v>3.0512857662936468</v>
      </c>
      <c r="Q164" s="190">
        <f>($B$6*$B$5*12)/Table_03[[#This Row],[ry (in)2]]</f>
        <v>58.844046002972981</v>
      </c>
      <c r="R164" s="190">
        <f>(PI()^2*$B$4)/(Table_03[[#This Row],[KL/ry]]^2)</f>
        <v>82.659484141342134</v>
      </c>
      <c r="S164" s="190">
        <f>IF(Table_03[[#This Row],[Strength (ksi)]]/Table_03[[#This Row],[Fe,y]]&lt;2.25,(0.658^(Table_03[[#This Row],[Strength (ksi)]]/Table_03[[#This Row],[Fe,y]])*Table_03[[#This Row],[Strength (ksi)]]),0.877*Table_03[[#This Row],[Fe,y]])</f>
        <v>38.816505505380569</v>
      </c>
      <c r="T164" s="190">
        <f>Table_03[[#This Row],[Fcr,y]]*Table_03[[#This Row],[Sectional Area (in2)]]</f>
        <v>900.54292772482916</v>
      </c>
      <c r="U164" s="190">
        <f>1.76*Table_03[[#This Row],[ry (in)2]]*SQRT($B$4/Table_03[[#This Row],[Strength (ksi)]])/12</f>
        <v>10.777754868245985</v>
      </c>
      <c r="V16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38.954342687606044</v>
      </c>
      <c r="W164" s="190">
        <f>Table_03[[#This Row],[Depth h (in)]]-Table_03[[#This Row],[Flange Thickness tf (in)]]</f>
        <v>11.645000000000001</v>
      </c>
      <c r="X164" s="190">
        <f>(Table_03[[#This Row],[Static Parameters Moment of Inertia Iy (in4)]]*Table_03[[#This Row],[ho]]^2)/4</f>
        <v>7322.7253500000024</v>
      </c>
      <c r="Y164" s="190">
        <f>SQRT((SQRT(Table_03[[#This Row],[Static Parameters Moment of Inertia Iy (in4)]]*Table_03[[#This Row],[Cw*]])/Table_03[[#This Row],[Static Parameters Elastic Section Modulus Sx (in3)2]]))</f>
        <v>3.4283861765706813</v>
      </c>
      <c r="Z164" s="190">
        <f>(2*Table_03[[#This Row],[Width w (in)]]*Table_03[[#This Row],[Flange Thickness tf (in)]]^3/3)+((Table_03[[#This Row],[Depth h (in)]]-Table_03[[#This Row],[Flange Thickness tf (in)]]*2)*Table_03[[#This Row],[Web Thickness tw (in)]]^3)/3</f>
        <v>3.5752694633333331</v>
      </c>
      <c r="AA164" s="190">
        <f>Table_03[[#This Row],[Width w (in)]]*0.5/Table_03[[#This Row],[Flange Thickness tf (in)]]</f>
        <v>8.2176870748299322</v>
      </c>
      <c r="AB164" s="190">
        <f>0.38*SQRT($B$4/Table_03[[#This Row],[Strength (ksi)]])</f>
        <v>9.1516118798821449</v>
      </c>
      <c r="AC164" s="190">
        <f>1*SQRT($B$4/Table_03[[#This Row],[Strength (ksi)]])</f>
        <v>24.083189157584592</v>
      </c>
      <c r="AD164" s="190">
        <f>(PI()^2*$B$4/(12*$B$5/Table_03[[#This Row],[rts]])^2)*SQRT(1+0.078*(Table_03[[#This Row],[J*]]/(Table_03[[#This Row],[Static Parameters Elastic Section Modulus Sx (in3)2]]*Table_03[[#This Row],[ho]])*$B$4/(12*$B$5/Table_03[[#This Row],[rts]])^2))</f>
        <v>462.59330703031259</v>
      </c>
      <c r="AE164" s="190">
        <f>0.69*$B$4/Table_03[[#This Row],[b/t]]^2</f>
        <v>296.3110787355817</v>
      </c>
      <c r="AF164" s="192">
        <f>Table_03[[#This Row],[Strength (ksi)]]*Table_03[[#This Row],[Static Parameters Plastic Section Modulus Zx (in3)]]</f>
        <v>5868.9713875000007</v>
      </c>
      <c r="AG164" s="190">
        <f>Table_03[[#This Row],[Mp (k-in)]]-(Table_03[[#This Row],[Mp (k-in)]]-0.7*Table_03[[#This Row],[Strength (ksi)]]*Table_03[[#This Row],[Static Parameters Elastic Section Modulus Sx (in3)2]])*((Table_03[[#This Row],[b/t]]-Table_03[[#This Row],[λpf]])/(Table_03[[#This Row],[λrf]]-Table_03[[#This Row],[λpf]]))</f>
        <v>6001.819346366985</v>
      </c>
      <c r="AH164" s="193">
        <f>0.9*$B$4*Table_03[[#This Row],[kc]]*Table_03[[#This Row],[Static Parameters Elastic Section Modulus Sx (in3)2]]/Table_03[[#This Row],[b/t]]^2</f>
        <v>31429.587290579355</v>
      </c>
      <c r="AI164" s="194" t="str">
        <f>IF(Table_03[[#This Row],[b/t]]&lt;Table_03[[#This Row],[λpf]],"Compact",IF(AND(Table_03[[#This Row],[b/t]]&gt;Table_03[[#This Row],[λpf]],Table_03[[#This Row],[λrf]]&gt;Table_03[[#This Row],[b/t]]),"Non-Compact","Slender"))</f>
        <v>Compact</v>
      </c>
      <c r="AJ164" s="195">
        <f>IF(Table_03[[#This Row],[Controlling LBx]]="Compact",Table_03[[#This Row],[Mp (k-in)]],IF(Table_03[[#This Row],[Controlling LBx]]="Non-Compact",Table_03[[#This Row],[Mnlb,Non-Compact (k-in)]],IF(Table_03[[#This Row],[Controlling LBx]]="Slender",Table_03[[#This Row],[Mnlb,slender (k-in)]],"ERROR")))</f>
        <v>5868.9713875000007</v>
      </c>
      <c r="AK164" s="192">
        <f>Table_03[[#This Row],[Mp (k-in)]]-(Table_03[[#This Row],[Mp (k-in)]]-0.7*Table_03[[#This Row],[Strength (ksi)]]*Table_03[[#This Row],[Static Parameters Elastic Section Modulus Sx (in3)2]])*(($B$5-Table_03[[#This Row],[Lp (ft)]])/(Table_03[[#This Row],[Lr]]-Table_03[[#This Row],[Lp (ft)]]))</f>
        <v>6144.3186678536231</v>
      </c>
      <c r="AL164" s="196">
        <f>Table_03[[#This Row],[Fcrx]]*Table_03[[#This Row],[Static Parameters Elastic Section Modulus Sx (in3)2]]</f>
        <v>49497.483852243444</v>
      </c>
      <c r="AM164" s="197" t="str">
        <f>IF($B$5&lt;Table_03[[#This Row],[Lp (ft)]],"Yielding Controls",IF(AND($B$5&gt;Table_03[[#This Row],[Lp (ft)]],Table_03[[#This Row],[Lr]]&gt;$B$5),"Mltb,p Controls","Mltb,r Controls"))</f>
        <v>Yielding Controls</v>
      </c>
      <c r="AN164" s="198">
        <f>IF(Table_03[[#This Row],[Controlling LTB]]="Yielding Controls",Table_03[[#This Row],[Mp (k-in)]],IF(Table_03[[#This Row],[Controlling LTB]]="Mltb,p Controls",Table_03[[#This Row],[Mnltbp (k-in)]],IF(Table_03[[#This Row],[Controlling LTB]]="Mltb,r Controls",Table_03[[#This Row],[Mnltbr (k-in)]],"ERROR")))</f>
        <v>5868.9713875000007</v>
      </c>
      <c r="AO164" s="199">
        <f>MIN(Table_03[[#This Row],[Strength (ksi)]]*Table_03[[#This Row],[Static Parameters Plastic Section Modulus Zy (in3)]],1.6*Table_03[[#This Row],[Strength (ksi)]]*Table_03[[#This Row],[Static Parameters Elastic Section Modulus Sy (in3)3]])</f>
        <v>2711.5228375000002</v>
      </c>
      <c r="AP164" s="169">
        <f>MIN(Table_03[[#This Row],[Mny (k-in)]],Table_03[[#This Row],[Mny (k-in)]]-(Table_03[[#This Row],[Mny (k-in)]]-0.7*Table_03[[#This Row],[Static Parameters Elastic Section Modulus Sy (in3)3]]*Table_03[[#This Row],[Strength (ksi)]])*((Table_03[[#This Row],[b/t]]-Table_03[[#This Row],[λpf]])/(Table_03[[#This Row],[λrf]]-Table_03[[#This Row],[λpf]])))</f>
        <v>2711.5228375000002</v>
      </c>
      <c r="AQ164" s="196">
        <f>MIN(Table_03[[#This Row],[Mny (k-in)]],Table_03[[#This Row],[Fcry]]*Table_03[[#This Row],[Static Parameters Elastic Section Modulus Sy (in3)3]])</f>
        <v>2711.5228375000002</v>
      </c>
      <c r="AR164" s="197" t="str">
        <f>IF(Table_03[[#This Row],[b/t]]&lt;Table_03[[#This Row],[λpf]],"Compact",IF(AND(Table_03[[#This Row],[b/t]]&gt;Table_03[[#This Row],[λpf]],Table_03[[#This Row],[λrf]]&gt;Table_03[[#This Row],[b/t]]),"Non-Compact","Slender"))</f>
        <v>Compact</v>
      </c>
      <c r="AS164" s="198">
        <f>IF(Table_03[[#This Row],[Controlling Lby]]="Compact",Table_03[[#This Row],[Mny (k-in)]],IF(Table_03[[#This Row],[Controlling Lby]]="Non-Compact",Table_03[[#This Row],[Mlby,Non-Compact (k-in)]],IF(Table_03[[#This Row],[Controlling Lby]]="Slender",Table_03[[#This Row],[Mlby,Slender (k-in)]],"ERROR")))</f>
        <v>2711.5228375000002</v>
      </c>
      <c r="AT164" s="199">
        <f>MIN(Table_03[[#This Row],[LBx]],Table_03[[#This Row],[LTB]],Table_03[[#This Row],[Mp (k-in)]])</f>
        <v>5868.9713875000007</v>
      </c>
      <c r="AU164" s="169">
        <f>Table_03[[#This Row],[Mp (k-in)]]</f>
        <v>5868.9713875000007</v>
      </c>
      <c r="AV164" s="169">
        <f>MIN(Table_03[[#This Row],[LBy]],Table_03[[#This Row],[Mny (k-in)]])</f>
        <v>2711.5228375000002</v>
      </c>
      <c r="AW164" s="200">
        <f>Table_03[[#This Row],[Mny (k-in)]]</f>
        <v>2711.5228375000002</v>
      </c>
      <c r="AX164" s="165">
        <f>SQRT(((Table_03[[#This Row],[Sectional Area (in2)]]-(Table_03[[#This Row],[Flange Thickness tf (in)]]*Table_03[[#This Row],[Width w (in)]]*2+Table_03[[#This Row],[Web Thickness tw (in)]]*((Table_03[[#This Row],[Depth h (in)]]-2*Table_03[[#This Row],[Flange Thickness tf (in)]]))))/4)/(1-PI()/4))</f>
        <v>0.60548258804085842</v>
      </c>
      <c r="AY164"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64" s="165"/>
    </row>
    <row r="165" spans="1:52" ht="14.4" thickBot="1" x14ac:dyDescent="0.35">
      <c r="A165" s="201" t="s">
        <v>257</v>
      </c>
      <c r="B165" s="202">
        <v>12.5</v>
      </c>
      <c r="C165" s="202">
        <v>6.56</v>
      </c>
      <c r="D165" s="202">
        <v>0.3</v>
      </c>
      <c r="E165" s="202">
        <v>0.52</v>
      </c>
      <c r="F165" s="203">
        <v>10.3</v>
      </c>
      <c r="G165" s="204">
        <v>35</v>
      </c>
      <c r="H165" s="203">
        <v>285</v>
      </c>
      <c r="I165" s="203">
        <v>24.5</v>
      </c>
      <c r="J165" s="203">
        <f>Table_03[[#This Row],[Width w (in)]]*Table_03[[#This Row],[Flange Thickness tf (in)]]*(Table_03[[#This Row],[Depth h (in)]]-Table_03[[#This Row],[Flange Thickness tf (in)]])+0.25*Table_03[[#This Row],[Web Thickness tw (in)]]*(Table_03[[#This Row],[Depth h (in)]]-2*Table_03[[#This Row],[Flange Thickness tf (in)]])^2</f>
        <v>50.716046000000006</v>
      </c>
      <c r="K165" s="203">
        <f>(Table_03[[#This Row],[Width w (in)]]^2*Table_03[[#This Row],[Flange Thickness tf (in)]])/2+0.25*Table_03[[#This Row],[Web Thickness tw (in)]]^2*(Table_03[[#This Row],[Depth h (in)]]-2*Table_03[[#This Row],[Flange Thickness tf (in)]])</f>
        <v>11.446585999999998</v>
      </c>
      <c r="L165" s="203">
        <v>45.6</v>
      </c>
      <c r="M165" s="203">
        <v>7.5</v>
      </c>
      <c r="N165" s="205">
        <v>50</v>
      </c>
      <c r="O165" s="206">
        <f>SQRT(Table_03[[#This Row],[Static Parameters Moment of Inertia Ix (in4)]]/Table_03[[#This Row],[Sectional Area (in2)]])</f>
        <v>5.260218903488842</v>
      </c>
      <c r="P165" s="203">
        <f>SQRT(Table_03[[#This Row],[Static Parameters Moment of Inertia Iy (in4)]]/Table_03[[#This Row],[Sectional Area (in2)]])</f>
        <v>1.5422842723373109</v>
      </c>
      <c r="Q165" s="203">
        <f>($B$6*$B$5*12)/Table_03[[#This Row],[ry (in)2]]</f>
        <v>116.41822666575885</v>
      </c>
      <c r="R165" s="203">
        <f>(PI()^2*$B$4)/(Table_03[[#This Row],[KL/ry]]^2)</f>
        <v>21.118145804539218</v>
      </c>
      <c r="S165" s="203">
        <f>IF(Table_03[[#This Row],[Strength (ksi)]]/Table_03[[#This Row],[Fe,y]]&lt;2.25,(0.658^(Table_03[[#This Row],[Strength (ksi)]]/Table_03[[#This Row],[Fe,y]])*Table_03[[#This Row],[Strength (ksi)]]),0.877*Table_03[[#This Row],[Fe,y]])</f>
        <v>18.520613870580895</v>
      </c>
      <c r="T165" s="203">
        <f>Table_03[[#This Row],[Fcr,y]]*Table_03[[#This Row],[Sectional Area (in2)]]</f>
        <v>190.76232286698323</v>
      </c>
      <c r="U165" s="203">
        <f>1.76*Table_03[[#This Row],[ry (in)2]]*SQRT($B$4/Table_03[[#This Row],[Strength (ksi)]])/12</f>
        <v>5.4476581669351845</v>
      </c>
      <c r="V16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16.588609422963227</v>
      </c>
      <c r="W165" s="203">
        <f>Table_03[[#This Row],[Depth h (in)]]-Table_03[[#This Row],[Flange Thickness tf (in)]]</f>
        <v>11.98</v>
      </c>
      <c r="X165" s="203">
        <f>(Table_03[[#This Row],[Static Parameters Moment of Inertia Iy (in4)]]*Table_03[[#This Row],[ho]]^2)/4</f>
        <v>879.06245000000013</v>
      </c>
      <c r="Y165" s="203">
        <f>SQRT((SQRT(Table_03[[#This Row],[Static Parameters Moment of Inertia Iy (in4)]]*Table_03[[#This Row],[Cw*]])/Table_03[[#This Row],[Static Parameters Elastic Section Modulus Sx (in3)2]]))</f>
        <v>1.7939652737744878</v>
      </c>
      <c r="Z165" s="203">
        <f>(2*Table_03[[#This Row],[Width w (in)]]*Table_03[[#This Row],[Flange Thickness tf (in)]]^3/3)+((Table_03[[#This Row],[Depth h (in)]]-Table_03[[#This Row],[Flange Thickness tf (in)]]*2)*Table_03[[#This Row],[Web Thickness tw (in)]]^3)/3</f>
        <v>0.71806565333333339</v>
      </c>
      <c r="AA165" s="203">
        <f>Table_03[[#This Row],[Width w (in)]]*0.5/Table_03[[#This Row],[Flange Thickness tf (in)]]</f>
        <v>6.3076923076923075</v>
      </c>
      <c r="AB165" s="203">
        <f>0.38*SQRT($B$4/Table_03[[#This Row],[Strength (ksi)]])</f>
        <v>9.1516118798821449</v>
      </c>
      <c r="AC165" s="203">
        <f>1*SQRT($B$4/Table_03[[#This Row],[Strength (ksi)]])</f>
        <v>24.083189157584592</v>
      </c>
      <c r="AD165" s="203">
        <f>(PI()^2*$B$4/(12*$B$5/Table_03[[#This Row],[rts]])^2)*SQRT(1+0.078*(Table_03[[#This Row],[J*]]/(Table_03[[#This Row],[Static Parameters Elastic Section Modulus Sx (in3)2]]*Table_03[[#This Row],[ho]])*$B$4/(12*$B$5/Table_03[[#This Row],[rts]])^2))</f>
        <v>126.08912533391998</v>
      </c>
      <c r="AE165" s="203">
        <f>0.69*$B$4/Table_03[[#This Row],[b/t]]^2</f>
        <v>502.92831647828677</v>
      </c>
      <c r="AF165" s="207">
        <f>Table_03[[#This Row],[Strength (ksi)]]*Table_03[[#This Row],[Static Parameters Plastic Section Modulus Zx (in3)]]</f>
        <v>2535.8023000000003</v>
      </c>
      <c r="AG165" s="203">
        <f>Table_03[[#This Row],[Mp (k-in)]]-(Table_03[[#This Row],[Mp (k-in)]]-0.7*Table_03[[#This Row],[Strength (ksi)]]*Table_03[[#This Row],[Static Parameters Elastic Section Modulus Sx (in3)2]])*((Table_03[[#This Row],[b/t]]-Table_03[[#This Row],[λpf]])/(Table_03[[#This Row],[λrf]]-Table_03[[#This Row],[λpf]]))</f>
        <v>2714.800278930883</v>
      </c>
      <c r="AH165" s="208">
        <f>0.9*$B$4*Table_03[[#This Row],[kc]]*Table_03[[#This Row],[Static Parameters Elastic Section Modulus Sx (in3)2]]/Table_03[[#This Row],[b/t]]^2</f>
        <v>18536.595032134566</v>
      </c>
      <c r="AI165" s="209" t="str">
        <f>IF(Table_03[[#This Row],[b/t]]&lt;Table_03[[#This Row],[λpf]],"Compact",IF(AND(Table_03[[#This Row],[b/t]]&gt;Table_03[[#This Row],[λpf]],Table_03[[#This Row],[λrf]]&gt;Table_03[[#This Row],[b/t]]),"Non-Compact","Slender"))</f>
        <v>Compact</v>
      </c>
      <c r="AJ165" s="210">
        <f>IF(Table_03[[#This Row],[Controlling LBx]]="Compact",Table_03[[#This Row],[Mp (k-in)]],IF(Table_03[[#This Row],[Controlling LBx]]="Non-Compact",Table_03[[#This Row],[Mnlb,Non-Compact (k-in)]],IF(Table_03[[#This Row],[Controlling LBx]]="Slender",Table_03[[#This Row],[Mnlb,slender (k-in)]],"ERROR")))</f>
        <v>2535.8023000000003</v>
      </c>
      <c r="AK165" s="207">
        <f>Table_03[[#This Row],[Mp (k-in)]]-(Table_03[[#This Row],[Mp (k-in)]]-0.7*Table_03[[#This Row],[Strength (ksi)]]*Table_03[[#This Row],[Static Parameters Elastic Section Modulus Sx (in3)2]])*(($B$5-Table_03[[#This Row],[Lp (ft)]])/(Table_03[[#This Row],[Lr]]-Table_03[[#This Row],[Lp (ft)]]))</f>
        <v>2394.3090220586214</v>
      </c>
      <c r="AL165" s="211">
        <f>Table_03[[#This Row],[Fcrx]]*Table_03[[#This Row],[Static Parameters Elastic Section Modulus Sx (in3)2]]</f>
        <v>5749.6641152267512</v>
      </c>
      <c r="AM165" s="212" t="str">
        <f>IF($B$5&lt;Table_03[[#This Row],[Lp (ft)]],"Yielding Controls",IF(AND($B$5&gt;Table_03[[#This Row],[Lp (ft)]],Table_03[[#This Row],[Lr]]&gt;$B$5),"Mltb,p Controls","Mltb,r Controls"))</f>
        <v>Mltb,p Controls</v>
      </c>
      <c r="AN165" s="213">
        <f>IF(Table_03[[#This Row],[Controlling LTB]]="Yielding Controls",Table_03[[#This Row],[Mp (k-in)]],IF(Table_03[[#This Row],[Controlling LTB]]="Mltb,p Controls",Table_03[[#This Row],[Mnltbp (k-in)]],IF(Table_03[[#This Row],[Controlling LTB]]="Mltb,r Controls",Table_03[[#This Row],[Mnltbr (k-in)]],"ERROR")))</f>
        <v>2394.3090220586214</v>
      </c>
      <c r="AO165" s="214">
        <f>MIN(Table_03[[#This Row],[Strength (ksi)]]*Table_03[[#This Row],[Static Parameters Plastic Section Modulus Zy (in3)]],1.6*Table_03[[#This Row],[Strength (ksi)]]*Table_03[[#This Row],[Static Parameters Elastic Section Modulus Sy (in3)3]])</f>
        <v>572.32929999999988</v>
      </c>
      <c r="AP165" s="206">
        <f>MIN(Table_03[[#This Row],[Mny (k-in)]],Table_03[[#This Row],[Mny (k-in)]]-(Table_03[[#This Row],[Mny (k-in)]]-0.7*Table_03[[#This Row],[Static Parameters Elastic Section Modulus Sy (in3)3]]*Table_03[[#This Row],[Strength (ksi)]])*((Table_03[[#This Row],[b/t]]-Table_03[[#This Row],[λpf]])/(Table_03[[#This Row],[λrf]]-Table_03[[#This Row],[λpf]])))</f>
        <v>572.32929999999988</v>
      </c>
      <c r="AQ165" s="211">
        <f>MIN(Table_03[[#This Row],[Mny (k-in)]],Table_03[[#This Row],[Fcry]]*Table_03[[#This Row],[Static Parameters Elastic Section Modulus Sy (in3)3]])</f>
        <v>572.32929999999988</v>
      </c>
      <c r="AR165" s="212" t="str">
        <f>IF(Table_03[[#This Row],[b/t]]&lt;Table_03[[#This Row],[λpf]],"Compact",IF(AND(Table_03[[#This Row],[b/t]]&gt;Table_03[[#This Row],[λpf]],Table_03[[#This Row],[λrf]]&gt;Table_03[[#This Row],[b/t]]),"Non-Compact","Slender"))</f>
        <v>Compact</v>
      </c>
      <c r="AS165" s="213">
        <f>IF(Table_03[[#This Row],[Controlling Lby]]="Compact",Table_03[[#This Row],[Mny (k-in)]],IF(Table_03[[#This Row],[Controlling Lby]]="Non-Compact",Table_03[[#This Row],[Mlby,Non-Compact (k-in)]],IF(Table_03[[#This Row],[Controlling Lby]]="Slender",Table_03[[#This Row],[Mlby,Slender (k-in)]],"ERROR")))</f>
        <v>572.32929999999988</v>
      </c>
      <c r="AT165" s="214">
        <f>MIN(Table_03[[#This Row],[LBx]],Table_03[[#This Row],[LTB]],Table_03[[#This Row],[Mp (k-in)]])</f>
        <v>2394.3090220586214</v>
      </c>
      <c r="AU165" s="206">
        <f>Table_03[[#This Row],[Mp (k-in)]]</f>
        <v>2535.8023000000003</v>
      </c>
      <c r="AV165" s="206">
        <f>MIN(Table_03[[#This Row],[LBy]],Table_03[[#This Row],[Mny (k-in)]])</f>
        <v>572.32929999999988</v>
      </c>
      <c r="AW165" s="215">
        <f>Table_03[[#This Row],[Mny (k-in)]]</f>
        <v>572.32929999999988</v>
      </c>
      <c r="AX165" s="165">
        <f>SQRT(((Table_03[[#This Row],[Sectional Area (in2)]]-(Table_03[[#This Row],[Flange Thickness tf (in)]]*Table_03[[#This Row],[Width w (in)]]*2+Table_03[[#This Row],[Web Thickness tw (in)]]*((Table_03[[#This Row],[Depth h (in)]]-2*Table_03[[#This Row],[Flange Thickness tf (in)]]))))/4)/(1-PI()/4))</f>
        <v>0.21478348266713251</v>
      </c>
      <c r="AY165" s="165">
        <f>IF(4/SQRT((Table_03[[#This Row],[Depth h (in)]]-Table_03[[#This Row],[Flange Thickness tf (in)]]*2)/Table_03[[#This Row],[Web Thickness tw (in)]])&lt;0.35,0.35,IF(4/SQRT(Table_03[[#This Row],[Depth h (in)]]/Table_03[[#This Row],[Web Thickness tw (in)]])&gt;0.76,0.76,4/SQRT(Table_03[[#This Row],[Depth h (in)]]/Table_03[[#This Row],[Web Thickness tw (in)]])))</f>
        <v>0.6196773353931867</v>
      </c>
      <c r="AZ165" s="165"/>
    </row>
    <row r="166" spans="1:52" x14ac:dyDescent="0.3">
      <c r="A166" s="179" t="s">
        <v>258</v>
      </c>
      <c r="B166" s="180">
        <v>12.53</v>
      </c>
      <c r="C166" s="180">
        <v>12.125</v>
      </c>
      <c r="D166" s="180">
        <v>0.51500000000000001</v>
      </c>
      <c r="E166" s="180">
        <v>0.81</v>
      </c>
      <c r="F166" s="181">
        <v>25.6</v>
      </c>
      <c r="G166" s="180">
        <v>87</v>
      </c>
      <c r="H166" s="180">
        <v>740</v>
      </c>
      <c r="I166" s="180">
        <v>241</v>
      </c>
      <c r="J166" s="181">
        <f>Table_03[[#This Row],[Width w (in)]]*Table_03[[#This Row],[Flange Thickness tf (in)]]*(Table_03[[#This Row],[Depth h (in)]]-Table_03[[#This Row],[Flange Thickness tf (in)]])+0.25*Table_03[[#This Row],[Web Thickness tw (in)]]*(Table_03[[#This Row],[Depth h (in)]]-2*Table_03[[#This Row],[Flange Thickness tf (in)]])^2</f>
        <v>130.429917875</v>
      </c>
      <c r="K166" s="181">
        <f>(Table_03[[#This Row],[Width w (in)]]^2*Table_03[[#This Row],[Flange Thickness tf (in)]])/2+0.25*Table_03[[#This Row],[Web Thickness tw (in)]]^2*(Table_03[[#This Row],[Depth h (in)]]-2*Table_03[[#This Row],[Flange Thickness tf (in)]])</f>
        <v>60.264729312500009</v>
      </c>
      <c r="L166" s="181">
        <v>118</v>
      </c>
      <c r="M166" s="181">
        <v>39.700000000000003</v>
      </c>
      <c r="N166" s="182">
        <v>50</v>
      </c>
      <c r="O166" s="181">
        <f>SQRT(Table_03[[#This Row],[Static Parameters Moment of Inertia Ix (in4)]]/Table_03[[#This Row],[Sectional Area (in2)]])</f>
        <v>5.3764532919016421</v>
      </c>
      <c r="P166" s="181">
        <f>SQRT(Table_03[[#This Row],[Static Parameters Moment of Inertia Iy (in4)]]/Table_03[[#This Row],[Sectional Area (in2)]])</f>
        <v>3.0682344271583943</v>
      </c>
      <c r="Q166" s="181">
        <f>($B$6*$B$5*12)/Table_03[[#This Row],[ry (in)2]]</f>
        <v>58.518996596452354</v>
      </c>
      <c r="R166" s="181">
        <f>(PI()^2*$B$4)/(Table_03[[#This Row],[KL/ry]]^2)</f>
        <v>83.580314621504641</v>
      </c>
      <c r="S166" s="181">
        <f>IF(Table_03[[#This Row],[Strength (ksi)]]/Table_03[[#This Row],[Fe,y]]&lt;2.25,(0.658^(Table_03[[#This Row],[Strength (ksi)]]/Table_03[[#This Row],[Fe,y]])*Table_03[[#This Row],[Strength (ksi)]]),0.877*Table_03[[#This Row],[Fe,y]])</f>
        <v>38.924928894310661</v>
      </c>
      <c r="T166" s="181">
        <f>Table_03[[#This Row],[Fcr,y]]*Table_03[[#This Row],[Sectional Area (in2)]]</f>
        <v>996.478179694353</v>
      </c>
      <c r="U166" s="181">
        <f>1.76*Table_03[[#This Row],[ry (in)2]]*SQRT($B$4/Table_03[[#This Row],[Strength (ksi)]])/12</f>
        <v>10.837620946396759</v>
      </c>
      <c r="V166"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42.026559210529285</v>
      </c>
      <c r="W166" s="181">
        <f>Table_03[[#This Row],[Depth h (in)]]-Table_03[[#This Row],[Flange Thickness tf (in)]]</f>
        <v>11.719999999999999</v>
      </c>
      <c r="X166" s="181">
        <f>(Table_03[[#This Row],[Static Parameters Moment of Inertia Iy (in4)]]*Table_03[[#This Row],[ho]]^2)/4</f>
        <v>8275.8435999999983</v>
      </c>
      <c r="Y166" s="181">
        <f>SQRT((SQRT(Table_03[[#This Row],[Static Parameters Moment of Inertia Iy (in4)]]*Table_03[[#This Row],[Cw*]])/Table_03[[#This Row],[Static Parameters Elastic Section Modulus Sx (in3)2]]))</f>
        <v>3.4595238234106387</v>
      </c>
      <c r="Z166" s="181">
        <f>(2*Table_03[[#This Row],[Width w (in)]]*Table_03[[#This Row],[Flange Thickness tf (in)]]^3/3)+((Table_03[[#This Row],[Depth h (in)]]-Table_03[[#This Row],[Flange Thickness tf (in)]]*2)*Table_03[[#This Row],[Web Thickness tw (in)]]^3)/3</f>
        <v>4.7925502320833342</v>
      </c>
      <c r="AA166" s="181">
        <f>Table_03[[#This Row],[Width w (in)]]*0.5/Table_03[[#This Row],[Flange Thickness tf (in)]]</f>
        <v>7.4845679012345672</v>
      </c>
      <c r="AB166" s="181">
        <f>0.38*SQRT($B$4/Table_03[[#This Row],[Strength (ksi)]])</f>
        <v>9.1516118798821449</v>
      </c>
      <c r="AC166" s="181">
        <f>1*SQRT($B$4/Table_03[[#This Row],[Strength (ksi)]])</f>
        <v>24.083189157584592</v>
      </c>
      <c r="AD166" s="181">
        <f>(PI()^2*$B$4/(12*$B$5/Table_03[[#This Row],[rts]])^2)*SQRT(1+0.078*(Table_03[[#This Row],[J*]]/(Table_03[[#This Row],[Static Parameters Elastic Section Modulus Sx (in3)2]]*Table_03[[#This Row],[ho]])*$B$4/(12*$B$5/Table_03[[#This Row],[rts]])^2))</f>
        <v>471.59286444353938</v>
      </c>
      <c r="AE166" s="181">
        <f>0.69*$B$4/Table_03[[#This Row],[b/t]]^2</f>
        <v>357.20178722499742</v>
      </c>
      <c r="AF166" s="183">
        <f>Table_03[[#This Row],[Strength (ksi)]]*Table_03[[#This Row],[Static Parameters Plastic Section Modulus Zx (in3)]]</f>
        <v>6521.4958937499996</v>
      </c>
      <c r="AG166" s="181">
        <f>Table_03[[#This Row],[Mp (k-in)]]-(Table_03[[#This Row],[Mp (k-in)]]-0.7*Table_03[[#This Row],[Strength (ksi)]]*Table_03[[#This Row],[Static Parameters Elastic Section Modulus Sx (in3)2]])*((Table_03[[#This Row],[b/t]]-Table_03[[#This Row],[λpf]])/(Table_03[[#This Row],[λrf]]-Table_03[[#This Row],[λpf]]))</f>
        <v>6788.4957394789426</v>
      </c>
      <c r="AH166" s="184">
        <f>0.9*$B$4*Table_03[[#This Row],[kc]]*Table_03[[#This Row],[Static Parameters Elastic Section Modulus Sx (in3)2]]/Table_03[[#This Row],[b/t]]^2</f>
        <v>41783.290797831876</v>
      </c>
      <c r="AI166" s="185" t="str">
        <f>IF(Table_03[[#This Row],[b/t]]&lt;Table_03[[#This Row],[λpf]],"Compact",IF(AND(Table_03[[#This Row],[b/t]]&gt;Table_03[[#This Row],[λpf]],Table_03[[#This Row],[λrf]]&gt;Table_03[[#This Row],[b/t]]),"Non-Compact","Slender"))</f>
        <v>Compact</v>
      </c>
      <c r="AJ166" s="186">
        <f>IF(Table_03[[#This Row],[Controlling LBx]]="Compact",Table_03[[#This Row],[Mp (k-in)]],IF(Table_03[[#This Row],[Controlling LBx]]="Non-Compact",Table_03[[#This Row],[Mnlb,Non-Compact (k-in)]],IF(Table_03[[#This Row],[Controlling LBx]]="Slender",Table_03[[#This Row],[Mnlb,slender (k-in)]],"ERROR")))</f>
        <v>6521.4958937499996</v>
      </c>
      <c r="AK166" s="183">
        <f>Table_03[[#This Row],[Mp (k-in)]]-(Table_03[[#This Row],[Mp (k-in)]]-0.7*Table_03[[#This Row],[Strength (ksi)]]*Table_03[[#This Row],[Static Parameters Elastic Section Modulus Sx (in3)2]])*(($B$5-Table_03[[#This Row],[Lp (ft)]])/(Table_03[[#This Row],[Lr]]-Table_03[[#This Row],[Lp (ft)]]))</f>
        <v>6806.1711101092778</v>
      </c>
      <c r="AL166" s="184">
        <f>Table_03[[#This Row],[Fcrx]]*Table_03[[#This Row],[Static Parameters Elastic Section Modulus Sx (in3)2]]</f>
        <v>55647.958004337648</v>
      </c>
      <c r="AM166" s="185" t="str">
        <f>IF($B$5&lt;Table_03[[#This Row],[Lp (ft)]],"Yielding Controls",IF(AND($B$5&gt;Table_03[[#This Row],[Lp (ft)]],Table_03[[#This Row],[Lr]]&gt;$B$5),"Mltb,p Controls","Mltb,r Controls"))</f>
        <v>Yielding Controls</v>
      </c>
      <c r="AN166" s="186">
        <f>IF(Table_03[[#This Row],[Controlling LTB]]="Yielding Controls",Table_03[[#This Row],[Mp (k-in)]],IF(Table_03[[#This Row],[Controlling LTB]]="Mltb,p Controls",Table_03[[#This Row],[Mnltbp (k-in)]],IF(Table_03[[#This Row],[Controlling LTB]]="Mltb,r Controls",Table_03[[#This Row],[Mnltbr (k-in)]],"ERROR")))</f>
        <v>6521.4958937499996</v>
      </c>
      <c r="AO166" s="183">
        <f>MIN(Table_03[[#This Row],[Strength (ksi)]]*Table_03[[#This Row],[Static Parameters Plastic Section Modulus Zy (in3)]],1.6*Table_03[[#This Row],[Strength (ksi)]]*Table_03[[#This Row],[Static Parameters Elastic Section Modulus Sy (in3)3]])</f>
        <v>3013.2364656250006</v>
      </c>
      <c r="AP166" s="181">
        <f>MIN(Table_03[[#This Row],[Mny (k-in)]],Table_03[[#This Row],[Mny (k-in)]]-(Table_03[[#This Row],[Mny (k-in)]]-0.7*Table_03[[#This Row],[Static Parameters Elastic Section Modulus Sy (in3)3]]*Table_03[[#This Row],[Strength (ksi)]])*((Table_03[[#This Row],[b/t]]-Table_03[[#This Row],[λpf]])/(Table_03[[#This Row],[λrf]]-Table_03[[#This Row],[λpf]])))</f>
        <v>3013.2364656250006</v>
      </c>
      <c r="AQ166" s="184">
        <f>MIN(Table_03[[#This Row],[Mny (k-in)]],Table_03[[#This Row],[Fcry]]*Table_03[[#This Row],[Static Parameters Elastic Section Modulus Sy (in3)3]])</f>
        <v>3013.2364656250006</v>
      </c>
      <c r="AR166" s="185" t="str">
        <f>IF(Table_03[[#This Row],[b/t]]&lt;Table_03[[#This Row],[λpf]],"Compact",IF(AND(Table_03[[#This Row],[b/t]]&gt;Table_03[[#This Row],[λpf]],Table_03[[#This Row],[λrf]]&gt;Table_03[[#This Row],[b/t]]),"Non-Compact","Slender"))</f>
        <v>Compact</v>
      </c>
      <c r="AS166" s="186">
        <f>IF(Table_03[[#This Row],[Controlling Lby]]="Compact",Table_03[[#This Row],[Mny (k-in)]],IF(Table_03[[#This Row],[Controlling Lby]]="Non-Compact",Table_03[[#This Row],[Mlby,Non-Compact (k-in)]],IF(Table_03[[#This Row],[Controlling Lby]]="Slender",Table_03[[#This Row],[Mlby,Slender (k-in)]],"ERROR")))</f>
        <v>3013.2364656250006</v>
      </c>
      <c r="AT166" s="183">
        <f>MIN(Table_03[[#This Row],[LBx]],Table_03[[#This Row],[LTB]],Table_03[[#This Row],[Mp (k-in)]])</f>
        <v>6521.4958937499996</v>
      </c>
      <c r="AU166" s="181">
        <f>Table_03[[#This Row],[Mp (k-in)]]</f>
        <v>6521.4958937499996</v>
      </c>
      <c r="AV166" s="181">
        <f>MIN(Table_03[[#This Row],[LBy]],Table_03[[#This Row],[Mny (k-in)]])</f>
        <v>3013.2364656250006</v>
      </c>
      <c r="AW166" s="187">
        <f>Table_03[[#This Row],[Mny (k-in)]]</f>
        <v>3013.2364656250006</v>
      </c>
      <c r="AX166" s="165">
        <f>SQRT(((Table_03[[#This Row],[Sectional Area (in2)]]-(Table_03[[#This Row],[Flange Thickness tf (in)]]*Table_03[[#This Row],[Width w (in)]]*2+Table_03[[#This Row],[Web Thickness tw (in)]]*((Table_03[[#This Row],[Depth h (in)]]-2*Table_03[[#This Row],[Flange Thickness tf (in)]]))))/4)/(1-PI()/4))</f>
        <v>0.62828549309398252</v>
      </c>
      <c r="AY166"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66" s="165"/>
    </row>
    <row r="167" spans="1:52" x14ac:dyDescent="0.3">
      <c r="A167" s="188" t="s">
        <v>259</v>
      </c>
      <c r="B167" s="189">
        <v>12.71</v>
      </c>
      <c r="C167" s="189">
        <v>12.16</v>
      </c>
      <c r="D167" s="189">
        <v>0.55000000000000004</v>
      </c>
      <c r="E167" s="189">
        <v>0.9</v>
      </c>
      <c r="F167" s="190">
        <v>28.2</v>
      </c>
      <c r="G167" s="189">
        <v>96</v>
      </c>
      <c r="H167" s="190">
        <v>833</v>
      </c>
      <c r="I167" s="190">
        <v>270</v>
      </c>
      <c r="J167" s="190">
        <f>Table_03[[#This Row],[Width w (in)]]*Table_03[[#This Row],[Flange Thickness tf (in)]]*(Table_03[[#This Row],[Depth h (in)]]-Table_03[[#This Row],[Flange Thickness tf (in)]])+0.25*Table_03[[#This Row],[Web Thickness tw (in)]]*(Table_03[[#This Row],[Depth h (in)]]-2*Table_03[[#This Row],[Flange Thickness tf (in)]])^2</f>
        <v>145.61500375000003</v>
      </c>
      <c r="K167" s="190">
        <f>(Table_03[[#This Row],[Width w (in)]]^2*Table_03[[#This Row],[Flange Thickness tf (in)]])/2+0.25*Table_03[[#This Row],[Web Thickness tw (in)]]^2*(Table_03[[#This Row],[Depth h (in)]]-2*Table_03[[#This Row],[Flange Thickness tf (in)]])</f>
        <v>67.364588749999996</v>
      </c>
      <c r="L167" s="190">
        <v>131</v>
      </c>
      <c r="M167" s="190">
        <v>44.4</v>
      </c>
      <c r="N167" s="191">
        <v>50</v>
      </c>
      <c r="O167" s="169">
        <f>SQRT(Table_03[[#This Row],[Static Parameters Moment of Inertia Ix (in4)]]/Table_03[[#This Row],[Sectional Area (in2)]])</f>
        <v>5.4349799532471676</v>
      </c>
      <c r="P167" s="190">
        <f>SQRT(Table_03[[#This Row],[Static Parameters Moment of Inertia Iy (in4)]]/Table_03[[#This Row],[Sectional Area (in2)]])</f>
        <v>3.0942637387763803</v>
      </c>
      <c r="Q167" s="190">
        <f>($B$6*$B$5*12)/Table_03[[#This Row],[ry (in)2]]</f>
        <v>58.02672789327346</v>
      </c>
      <c r="R167" s="190">
        <f>(PI()^2*$B$4)/(Table_03[[#This Row],[KL/ry]]^2)</f>
        <v>85.004434046061064</v>
      </c>
      <c r="S167" s="190">
        <f>IF(Table_03[[#This Row],[Strength (ksi)]]/Table_03[[#This Row],[Fe,y]]&lt;2.25,(0.658^(Table_03[[#This Row],[Strength (ksi)]]/Table_03[[#This Row],[Fe,y]])*Table_03[[#This Row],[Strength (ksi)]]),0.877*Table_03[[#This Row],[Fe,y]])</f>
        <v>39.088556882392361</v>
      </c>
      <c r="T167" s="190">
        <f>Table_03[[#This Row],[Fcr,y]]*Table_03[[#This Row],[Sectional Area (in2)]]</f>
        <v>1102.2973040834645</v>
      </c>
      <c r="U167" s="190">
        <f>1.76*Table_03[[#This Row],[ry (in)2]]*SQRT($B$4/Table_03[[#This Row],[Strength (ksi)]])/12</f>
        <v>10.929561708912949</v>
      </c>
      <c r="V16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45.692246130892592</v>
      </c>
      <c r="W167" s="190">
        <f>Table_03[[#This Row],[Depth h (in)]]-Table_03[[#This Row],[Flange Thickness tf (in)]]</f>
        <v>11.81</v>
      </c>
      <c r="X167" s="190">
        <f>(Table_03[[#This Row],[Static Parameters Moment of Inertia Iy (in4)]]*Table_03[[#This Row],[ho]]^2)/4</f>
        <v>9414.6367499999997</v>
      </c>
      <c r="Y167" s="190">
        <f>SQRT((SQRT(Table_03[[#This Row],[Static Parameters Moment of Inertia Iy (in4)]]*Table_03[[#This Row],[Cw*]])/Table_03[[#This Row],[Static Parameters Elastic Section Modulus Sx (in3)2]]))</f>
        <v>3.4886402346792513</v>
      </c>
      <c r="Z167" s="190">
        <f>(2*Table_03[[#This Row],[Width w (in)]]*Table_03[[#This Row],[Flange Thickness tf (in)]]^3/3)+((Table_03[[#This Row],[Depth h (in)]]-Table_03[[#This Row],[Flange Thickness tf (in)]]*2)*Table_03[[#This Row],[Web Thickness tw (in)]]^3)/3</f>
        <v>6.514810416666668</v>
      </c>
      <c r="AA167" s="190">
        <f>Table_03[[#This Row],[Width w (in)]]*0.5/Table_03[[#This Row],[Flange Thickness tf (in)]]</f>
        <v>6.7555555555555555</v>
      </c>
      <c r="AB167" s="190">
        <f>0.38*SQRT($B$4/Table_03[[#This Row],[Strength (ksi)]])</f>
        <v>9.1516118798821449</v>
      </c>
      <c r="AC167" s="190">
        <f>1*SQRT($B$4/Table_03[[#This Row],[Strength (ksi)]])</f>
        <v>24.083189157584592</v>
      </c>
      <c r="AD167" s="190">
        <f>(PI()^2*$B$4/(12*$B$5/Table_03[[#This Row],[rts]])^2)*SQRT(1+0.078*(Table_03[[#This Row],[J*]]/(Table_03[[#This Row],[Static Parameters Elastic Section Modulus Sx (in3)2]]*Table_03[[#This Row],[ho]])*$B$4/(12*$B$5/Table_03[[#This Row],[rts]])^2))</f>
        <v>480.27991510502886</v>
      </c>
      <c r="AE167" s="190">
        <f>0.69*$B$4/Table_03[[#This Row],[b/t]]^2</f>
        <v>438.45492122576178</v>
      </c>
      <c r="AF167" s="192">
        <f>Table_03[[#This Row],[Strength (ksi)]]*Table_03[[#This Row],[Static Parameters Plastic Section Modulus Zx (in3)]]</f>
        <v>7280.7501875000016</v>
      </c>
      <c r="AG167" s="190">
        <f>Table_03[[#This Row],[Mp (k-in)]]-(Table_03[[#This Row],[Mp (k-in)]]-0.7*Table_03[[#This Row],[Strength (ksi)]]*Table_03[[#This Row],[Static Parameters Elastic Section Modulus Sx (in3)2]])*((Table_03[[#This Row],[b/t]]-Table_03[[#This Row],[λpf]])/(Table_03[[#This Row],[λrf]]-Table_03[[#This Row],[λpf]]))</f>
        <v>7713.3347139324196</v>
      </c>
      <c r="AH167" s="193">
        <f>0.9*$B$4*Table_03[[#This Row],[kc]]*Table_03[[#This Row],[Static Parameters Elastic Section Modulus Sx (in3)2]]/Table_03[[#This Row],[b/t]]^2</f>
        <v>56938.13733552632</v>
      </c>
      <c r="AI167" s="194" t="str">
        <f>IF(Table_03[[#This Row],[b/t]]&lt;Table_03[[#This Row],[λpf]],"Compact",IF(AND(Table_03[[#This Row],[b/t]]&gt;Table_03[[#This Row],[λpf]],Table_03[[#This Row],[λrf]]&gt;Table_03[[#This Row],[b/t]]),"Non-Compact","Slender"))</f>
        <v>Compact</v>
      </c>
      <c r="AJ167" s="195">
        <f>IF(Table_03[[#This Row],[Controlling LBx]]="Compact",Table_03[[#This Row],[Mp (k-in)]],IF(Table_03[[#This Row],[Controlling LBx]]="Non-Compact",Table_03[[#This Row],[Mnlb,Non-Compact (k-in)]],IF(Table_03[[#This Row],[Controlling LBx]]="Slender",Table_03[[#This Row],[Mnlb,slender (k-in)]],"ERROR")))</f>
        <v>7280.7501875000016</v>
      </c>
      <c r="AK167" s="192">
        <f>Table_03[[#This Row],[Mp (k-in)]]-(Table_03[[#This Row],[Mp (k-in)]]-0.7*Table_03[[#This Row],[Strength (ksi)]]*Table_03[[#This Row],[Static Parameters Elastic Section Modulus Sx (in3)2]])*(($B$5-Table_03[[#This Row],[Lp (ft)]])/(Table_03[[#This Row],[Lr]]-Table_03[[#This Row],[Lp (ft)]]))</f>
        <v>7575.7834425748797</v>
      </c>
      <c r="AL167" s="196">
        <f>Table_03[[#This Row],[Fcrx]]*Table_03[[#This Row],[Static Parameters Elastic Section Modulus Sx (in3)2]]</f>
        <v>62916.668878758785</v>
      </c>
      <c r="AM167" s="197" t="str">
        <f>IF($B$5&lt;Table_03[[#This Row],[Lp (ft)]],"Yielding Controls",IF(AND($B$5&gt;Table_03[[#This Row],[Lp (ft)]],Table_03[[#This Row],[Lr]]&gt;$B$5),"Mltb,p Controls","Mltb,r Controls"))</f>
        <v>Yielding Controls</v>
      </c>
      <c r="AN167" s="198">
        <f>IF(Table_03[[#This Row],[Controlling LTB]]="Yielding Controls",Table_03[[#This Row],[Mp (k-in)]],IF(Table_03[[#This Row],[Controlling LTB]]="Mltb,p Controls",Table_03[[#This Row],[Mnltbp (k-in)]],IF(Table_03[[#This Row],[Controlling LTB]]="Mltb,r Controls",Table_03[[#This Row],[Mnltbr (k-in)]],"ERROR")))</f>
        <v>7280.7501875000016</v>
      </c>
      <c r="AO167" s="199">
        <f>MIN(Table_03[[#This Row],[Strength (ksi)]]*Table_03[[#This Row],[Static Parameters Plastic Section Modulus Zy (in3)]],1.6*Table_03[[#This Row],[Strength (ksi)]]*Table_03[[#This Row],[Static Parameters Elastic Section Modulus Sy (in3)3]])</f>
        <v>3368.2294374999997</v>
      </c>
      <c r="AP167" s="169">
        <f>MIN(Table_03[[#This Row],[Mny (k-in)]],Table_03[[#This Row],[Mny (k-in)]]-(Table_03[[#This Row],[Mny (k-in)]]-0.7*Table_03[[#This Row],[Static Parameters Elastic Section Modulus Sy (in3)3]]*Table_03[[#This Row],[Strength (ksi)]])*((Table_03[[#This Row],[b/t]]-Table_03[[#This Row],[λpf]])/(Table_03[[#This Row],[λrf]]-Table_03[[#This Row],[λpf]])))</f>
        <v>3368.2294374999997</v>
      </c>
      <c r="AQ167" s="196">
        <f>MIN(Table_03[[#This Row],[Mny (k-in)]],Table_03[[#This Row],[Fcry]]*Table_03[[#This Row],[Static Parameters Elastic Section Modulus Sy (in3)3]])</f>
        <v>3368.2294374999997</v>
      </c>
      <c r="AR167" s="197" t="str">
        <f>IF(Table_03[[#This Row],[b/t]]&lt;Table_03[[#This Row],[λpf]],"Compact",IF(AND(Table_03[[#This Row],[b/t]]&gt;Table_03[[#This Row],[λpf]],Table_03[[#This Row],[λrf]]&gt;Table_03[[#This Row],[b/t]]),"Non-Compact","Slender"))</f>
        <v>Compact</v>
      </c>
      <c r="AS167" s="198">
        <f>IF(Table_03[[#This Row],[Controlling Lby]]="Compact",Table_03[[#This Row],[Mny (k-in)]],IF(Table_03[[#This Row],[Controlling Lby]]="Non-Compact",Table_03[[#This Row],[Mlby,Non-Compact (k-in)]],IF(Table_03[[#This Row],[Controlling Lby]]="Slender",Table_03[[#This Row],[Mlby,Slender (k-in)]],"ERROR")))</f>
        <v>3368.2294374999997</v>
      </c>
      <c r="AT167" s="199">
        <f>MIN(Table_03[[#This Row],[LBx]],Table_03[[#This Row],[LTB]],Table_03[[#This Row],[Mp (k-in)]])</f>
        <v>7280.7501875000016</v>
      </c>
      <c r="AU167" s="169">
        <f>Table_03[[#This Row],[Mp (k-in)]]</f>
        <v>7280.7501875000016</v>
      </c>
      <c r="AV167" s="169">
        <f>MIN(Table_03[[#This Row],[LBy]],Table_03[[#This Row],[Mny (k-in)]])</f>
        <v>3368.2294374999997</v>
      </c>
      <c r="AW167" s="200">
        <f>Table_03[[#This Row],[Mny (k-in)]]</f>
        <v>3368.2294374999997</v>
      </c>
      <c r="AX167" s="165">
        <f>SQRT(((Table_03[[#This Row],[Sectional Area (in2)]]-(Table_03[[#This Row],[Flange Thickness tf (in)]]*Table_03[[#This Row],[Width w (in)]]*2+Table_03[[#This Row],[Web Thickness tw (in)]]*((Table_03[[#This Row],[Depth h (in)]]-2*Table_03[[#This Row],[Flange Thickness tf (in)]]))))/4)/(1-PI()/4))</f>
        <v>0.60239632346786098</v>
      </c>
      <c r="AY167"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67" s="165"/>
    </row>
    <row r="168" spans="1:52" ht="14.4" thickBot="1" x14ac:dyDescent="0.35">
      <c r="A168" s="201" t="s">
        <v>260</v>
      </c>
      <c r="B168" s="202">
        <v>12.89</v>
      </c>
      <c r="C168" s="202">
        <v>12.22</v>
      </c>
      <c r="D168" s="202">
        <v>0.61</v>
      </c>
      <c r="E168" s="202">
        <v>0.99</v>
      </c>
      <c r="F168" s="203">
        <v>31.2</v>
      </c>
      <c r="G168" s="204">
        <v>106</v>
      </c>
      <c r="H168" s="203">
        <v>933</v>
      </c>
      <c r="I168" s="203">
        <v>301</v>
      </c>
      <c r="J168" s="203">
        <f>Table_03[[#This Row],[Width w (in)]]*Table_03[[#This Row],[Flange Thickness tf (in)]]*(Table_03[[#This Row],[Depth h (in)]]-Table_03[[#This Row],[Flange Thickness tf (in)]])+0.25*Table_03[[#This Row],[Web Thickness tw (in)]]*(Table_03[[#This Row],[Depth h (in)]]-2*Table_03[[#This Row],[Flange Thickness tf (in)]])^2</f>
        <v>162.11560525000002</v>
      </c>
      <c r="K168" s="203">
        <f>(Table_03[[#This Row],[Width w (in)]]^2*Table_03[[#This Row],[Flange Thickness tf (in)]])/2+0.25*Table_03[[#This Row],[Web Thickness tw (in)]]^2*(Table_03[[#This Row],[Depth h (in)]]-2*Table_03[[#This Row],[Flange Thickness tf (in)]])</f>
        <v>74.932460750000018</v>
      </c>
      <c r="L168" s="203">
        <v>145</v>
      </c>
      <c r="M168" s="203">
        <v>49.3</v>
      </c>
      <c r="N168" s="205">
        <v>50</v>
      </c>
      <c r="O168" s="206">
        <f>SQRT(Table_03[[#This Row],[Static Parameters Moment of Inertia Ix (in4)]]/Table_03[[#This Row],[Sectional Area (in2)]])</f>
        <v>5.4684409253320228</v>
      </c>
      <c r="P168" s="203">
        <f>SQRT(Table_03[[#This Row],[Static Parameters Moment of Inertia Iy (in4)]]/Table_03[[#This Row],[Sectional Area (in2)]])</f>
        <v>3.1060321790728276</v>
      </c>
      <c r="Q168" s="203">
        <f>($B$6*$B$5*12)/Table_03[[#This Row],[ry (in)2]]</f>
        <v>57.806870517869825</v>
      </c>
      <c r="R168" s="203">
        <f>(PI()^2*$B$4)/(Table_03[[#This Row],[KL/ry]]^2)</f>
        <v>85.65225986108446</v>
      </c>
      <c r="S168" s="203">
        <f>IF(Table_03[[#This Row],[Strength (ksi)]]/Table_03[[#This Row],[Fe,y]]&lt;2.25,(0.658^(Table_03[[#This Row],[Strength (ksi)]]/Table_03[[#This Row],[Fe,y]])*Table_03[[#This Row],[Strength (ksi)]]),0.877*Table_03[[#This Row],[Fe,y]])</f>
        <v>39.161410244348332</v>
      </c>
      <c r="T168" s="203">
        <f>Table_03[[#This Row],[Fcr,y]]*Table_03[[#This Row],[Sectional Area (in2)]]</f>
        <v>1221.8359996236679</v>
      </c>
      <c r="U168" s="203">
        <f>1.76*Table_03[[#This Row],[ry (in)2]]*SQRT($B$4/Table_03[[#This Row],[Strength (ksi)]])/12</f>
        <v>10.971130206396149</v>
      </c>
      <c r="V16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49.658692923877339</v>
      </c>
      <c r="W168" s="203">
        <f>Table_03[[#This Row],[Depth h (in)]]-Table_03[[#This Row],[Flange Thickness tf (in)]]</f>
        <v>11.9</v>
      </c>
      <c r="X168" s="203">
        <f>(Table_03[[#This Row],[Static Parameters Moment of Inertia Iy (in4)]]*Table_03[[#This Row],[ho]]^2)/4</f>
        <v>10656.1525</v>
      </c>
      <c r="Y168" s="203">
        <f>SQRT((SQRT(Table_03[[#This Row],[Static Parameters Moment of Inertia Iy (in4)]]*Table_03[[#This Row],[Cw*]])/Table_03[[#This Row],[Static Parameters Elastic Section Modulus Sx (in3)2]]))</f>
        <v>3.5144529176451957</v>
      </c>
      <c r="Z168" s="203">
        <f>(2*Table_03[[#This Row],[Width w (in)]]*Table_03[[#This Row],[Flange Thickness tf (in)]]^3/3)+((Table_03[[#This Row],[Depth h (in)]]-Table_03[[#This Row],[Flange Thickness tf (in)]]*2)*Table_03[[#This Row],[Web Thickness tw (in)]]^3)/3</f>
        <v>8.7301567566666662</v>
      </c>
      <c r="AA168" s="203">
        <f>Table_03[[#This Row],[Width w (in)]]*0.5/Table_03[[#This Row],[Flange Thickness tf (in)]]</f>
        <v>6.1717171717171722</v>
      </c>
      <c r="AB168" s="203">
        <f>0.38*SQRT($B$4/Table_03[[#This Row],[Strength (ksi)]])</f>
        <v>9.1516118798821449</v>
      </c>
      <c r="AC168" s="203">
        <f>1*SQRT($B$4/Table_03[[#This Row],[Strength (ksi)]])</f>
        <v>24.083189157584592</v>
      </c>
      <c r="AD168" s="203">
        <f>(PI()^2*$B$4/(12*$B$5/Table_03[[#This Row],[rts]])^2)*SQRT(1+0.078*(Table_03[[#This Row],[J*]]/(Table_03[[#This Row],[Static Parameters Elastic Section Modulus Sx (in3)2]]*Table_03[[#This Row],[ho]])*$B$4/(12*$B$5/Table_03[[#This Row],[rts]])^2))</f>
        <v>488.24725297905593</v>
      </c>
      <c r="AE168" s="203">
        <f>0.69*$B$4/Table_03[[#This Row],[b/t]]^2</f>
        <v>525.33345298014308</v>
      </c>
      <c r="AF168" s="207">
        <f>Table_03[[#This Row],[Strength (ksi)]]*Table_03[[#This Row],[Static Parameters Plastic Section Modulus Zx (in3)]]</f>
        <v>8105.7802625000004</v>
      </c>
      <c r="AG168" s="203">
        <f>Table_03[[#This Row],[Mp (k-in)]]-(Table_03[[#This Row],[Mp (k-in)]]-0.7*Table_03[[#This Row],[Strength (ksi)]]*Table_03[[#This Row],[Static Parameters Elastic Section Modulus Sx (in3)2]])*((Table_03[[#This Row],[b/t]]-Table_03[[#This Row],[λpf]])/(Table_03[[#This Row],[λrf]]-Table_03[[#This Row],[λpf]]))</f>
        <v>8710.6330451542035</v>
      </c>
      <c r="AH168" s="208">
        <f>0.9*$B$4*Table_03[[#This Row],[kc]]*Table_03[[#This Row],[Static Parameters Elastic Section Modulus Sx (in3)2]]/Table_03[[#This Row],[b/t]]^2</f>
        <v>75510.973719667527</v>
      </c>
      <c r="AI168" s="209" t="str">
        <f>IF(Table_03[[#This Row],[b/t]]&lt;Table_03[[#This Row],[λpf]],"Compact",IF(AND(Table_03[[#This Row],[b/t]]&gt;Table_03[[#This Row],[λpf]],Table_03[[#This Row],[λrf]]&gt;Table_03[[#This Row],[b/t]]),"Non-Compact","Slender"))</f>
        <v>Compact</v>
      </c>
      <c r="AJ168" s="210">
        <f>IF(Table_03[[#This Row],[Controlling LBx]]="Compact",Table_03[[#This Row],[Mp (k-in)]],IF(Table_03[[#This Row],[Controlling LBx]]="Non-Compact",Table_03[[#This Row],[Mnlb,Non-Compact (k-in)]],IF(Table_03[[#This Row],[Controlling LBx]]="Slender",Table_03[[#This Row],[Mnlb,slender (k-in)]],"ERROR")))</f>
        <v>8105.7802625000004</v>
      </c>
      <c r="AK168" s="207">
        <f>Table_03[[#This Row],[Mp (k-in)]]-(Table_03[[#This Row],[Mp (k-in)]]-0.7*Table_03[[#This Row],[Strength (ksi)]]*Table_03[[#This Row],[Static Parameters Elastic Section Modulus Sx (in3)2]])*(($B$5-Table_03[[#This Row],[Lp (ft)]])/(Table_03[[#This Row],[Lr]]-Table_03[[#This Row],[Lp (ft)]]))</f>
        <v>8407.0857647792473</v>
      </c>
      <c r="AL168" s="211">
        <f>Table_03[[#This Row],[Fcrx]]*Table_03[[#This Row],[Static Parameters Elastic Section Modulus Sx (in3)2]]</f>
        <v>70795.851681963104</v>
      </c>
      <c r="AM168" s="212" t="str">
        <f>IF($B$5&lt;Table_03[[#This Row],[Lp (ft)]],"Yielding Controls",IF(AND($B$5&gt;Table_03[[#This Row],[Lp (ft)]],Table_03[[#This Row],[Lr]]&gt;$B$5),"Mltb,p Controls","Mltb,r Controls"))</f>
        <v>Yielding Controls</v>
      </c>
      <c r="AN168" s="213">
        <f>IF(Table_03[[#This Row],[Controlling LTB]]="Yielding Controls",Table_03[[#This Row],[Mp (k-in)]],IF(Table_03[[#This Row],[Controlling LTB]]="Mltb,p Controls",Table_03[[#This Row],[Mnltbp (k-in)]],IF(Table_03[[#This Row],[Controlling LTB]]="Mltb,r Controls",Table_03[[#This Row],[Mnltbr (k-in)]],"ERROR")))</f>
        <v>8105.7802625000004</v>
      </c>
      <c r="AO168" s="214">
        <f>MIN(Table_03[[#This Row],[Strength (ksi)]]*Table_03[[#This Row],[Static Parameters Plastic Section Modulus Zy (in3)]],1.6*Table_03[[#This Row],[Strength (ksi)]]*Table_03[[#This Row],[Static Parameters Elastic Section Modulus Sy (in3)3]])</f>
        <v>3746.6230375000009</v>
      </c>
      <c r="AP168" s="206">
        <f>MIN(Table_03[[#This Row],[Mny (k-in)]],Table_03[[#This Row],[Mny (k-in)]]-(Table_03[[#This Row],[Mny (k-in)]]-0.7*Table_03[[#This Row],[Static Parameters Elastic Section Modulus Sy (in3)3]]*Table_03[[#This Row],[Strength (ksi)]])*((Table_03[[#This Row],[b/t]]-Table_03[[#This Row],[λpf]])/(Table_03[[#This Row],[λrf]]-Table_03[[#This Row],[λpf]])))</f>
        <v>3746.6230375000009</v>
      </c>
      <c r="AQ168" s="211">
        <f>MIN(Table_03[[#This Row],[Mny (k-in)]],Table_03[[#This Row],[Fcry]]*Table_03[[#This Row],[Static Parameters Elastic Section Modulus Sy (in3)3]])</f>
        <v>3746.6230375000009</v>
      </c>
      <c r="AR168" s="212" t="str">
        <f>IF(Table_03[[#This Row],[b/t]]&lt;Table_03[[#This Row],[λpf]],"Compact",IF(AND(Table_03[[#This Row],[b/t]]&gt;Table_03[[#This Row],[λpf]],Table_03[[#This Row],[λrf]]&gt;Table_03[[#This Row],[b/t]]),"Non-Compact","Slender"))</f>
        <v>Compact</v>
      </c>
      <c r="AS168" s="213">
        <f>IF(Table_03[[#This Row],[Controlling Lby]]="Compact",Table_03[[#This Row],[Mny (k-in)]],IF(Table_03[[#This Row],[Controlling Lby]]="Non-Compact",Table_03[[#This Row],[Mlby,Non-Compact (k-in)]],IF(Table_03[[#This Row],[Controlling Lby]]="Slender",Table_03[[#This Row],[Mlby,Slender (k-in)]],"ERROR")))</f>
        <v>3746.6230375000009</v>
      </c>
      <c r="AT168" s="214">
        <f>MIN(Table_03[[#This Row],[LBx]],Table_03[[#This Row],[LTB]],Table_03[[#This Row],[Mp (k-in)]])</f>
        <v>8105.7802625000004</v>
      </c>
      <c r="AU168" s="206">
        <f>Table_03[[#This Row],[Mp (k-in)]]</f>
        <v>8105.7802625000004</v>
      </c>
      <c r="AV168" s="206">
        <f>MIN(Table_03[[#This Row],[LBy]],Table_03[[#This Row],[Mny (k-in)]])</f>
        <v>3746.6230375000009</v>
      </c>
      <c r="AW168" s="215">
        <f>Table_03[[#This Row],[Mny (k-in)]]</f>
        <v>3746.6230375000009</v>
      </c>
      <c r="AX168" s="165">
        <f>SQRT(((Table_03[[#This Row],[Sectional Area (in2)]]-(Table_03[[#This Row],[Flange Thickness tf (in)]]*Table_03[[#This Row],[Width w (in)]]*2+Table_03[[#This Row],[Web Thickness tw (in)]]*((Table_03[[#This Row],[Depth h (in)]]-2*Table_03[[#This Row],[Flange Thickness tf (in)]]))))/4)/(1-PI()/4))</f>
        <v>0.63789996738467425</v>
      </c>
      <c r="AY168"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68" s="165"/>
    </row>
    <row r="169" spans="1:52" x14ac:dyDescent="0.3">
      <c r="A169" s="179" t="s">
        <v>261</v>
      </c>
      <c r="B169" s="180">
        <v>13.12</v>
      </c>
      <c r="C169" s="180">
        <v>12.32</v>
      </c>
      <c r="D169" s="180">
        <v>0.71</v>
      </c>
      <c r="E169" s="180">
        <v>1.105</v>
      </c>
      <c r="F169" s="181">
        <v>35.299999999999997</v>
      </c>
      <c r="G169" s="180">
        <v>120</v>
      </c>
      <c r="H169" s="180">
        <v>1070</v>
      </c>
      <c r="I169" s="180">
        <v>345</v>
      </c>
      <c r="J169" s="181">
        <f>Table_03[[#This Row],[Width w (in)]]*Table_03[[#This Row],[Flange Thickness tf (in)]]*(Table_03[[#This Row],[Depth h (in)]]-Table_03[[#This Row],[Flange Thickness tf (in)]])+0.25*Table_03[[#This Row],[Web Thickness tw (in)]]*(Table_03[[#This Row],[Depth h (in)]]-2*Table_03[[#This Row],[Flange Thickness tf (in)]])^2</f>
        <v>184.69489174999998</v>
      </c>
      <c r="K169" s="181">
        <f>(Table_03[[#This Row],[Width w (in)]]^2*Table_03[[#This Row],[Flange Thickness tf (in)]])/2+0.25*Table_03[[#This Row],[Web Thickness tw (in)]]^2*(Table_03[[#This Row],[Depth h (in)]]-2*Table_03[[#This Row],[Flange Thickness tf (in)]])</f>
        <v>85.234708749999996</v>
      </c>
      <c r="L169" s="181">
        <v>163</v>
      </c>
      <c r="M169" s="181">
        <v>56</v>
      </c>
      <c r="N169" s="182">
        <v>50</v>
      </c>
      <c r="O169" s="181">
        <f>SQRT(Table_03[[#This Row],[Static Parameters Moment of Inertia Ix (in4)]]/Table_03[[#This Row],[Sectional Area (in2)]])</f>
        <v>5.5055984897991053</v>
      </c>
      <c r="P169" s="181">
        <f>SQRT(Table_03[[#This Row],[Static Parameters Moment of Inertia Iy (in4)]]/Table_03[[#This Row],[Sectional Area (in2)]])</f>
        <v>3.1262391310991977</v>
      </c>
      <c r="Q169" s="181">
        <f>($B$6*$B$5*12)/Table_03[[#This Row],[ry (in)2]]</f>
        <v>57.433226464947211</v>
      </c>
      <c r="R169" s="181">
        <f>(PI()^2*$B$4)/(Table_03[[#This Row],[KL/ry]]^2)</f>
        <v>86.770342968642126</v>
      </c>
      <c r="S169" s="181">
        <f>IF(Table_03[[#This Row],[Strength (ksi)]]/Table_03[[#This Row],[Fe,y]]&lt;2.25,(0.658^(Table_03[[#This Row],[Strength (ksi)]]/Table_03[[#This Row],[Fe,y]])*Table_03[[#This Row],[Strength (ksi)]]),0.877*Table_03[[#This Row],[Fe,y]])</f>
        <v>39.284897975948894</v>
      </c>
      <c r="T169" s="181">
        <f>Table_03[[#This Row],[Fcr,y]]*Table_03[[#This Row],[Sectional Area (in2)]]</f>
        <v>1386.7568985509959</v>
      </c>
      <c r="U169" s="181">
        <f>1.76*Table_03[[#This Row],[ry (in)2]]*SQRT($B$4/Table_03[[#This Row],[Strength (ksi)]])/12</f>
        <v>11.042505224095381</v>
      </c>
      <c r="V16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55.53980772534976</v>
      </c>
      <c r="W169" s="181">
        <f>Table_03[[#This Row],[Depth h (in)]]-Table_03[[#This Row],[Flange Thickness tf (in)]]</f>
        <v>12.014999999999999</v>
      </c>
      <c r="X169" s="181">
        <f>(Table_03[[#This Row],[Static Parameters Moment of Inertia Iy (in4)]]*Table_03[[#This Row],[ho]]^2)/4</f>
        <v>12451.069406249997</v>
      </c>
      <c r="Y169" s="181">
        <f>SQRT((SQRT(Table_03[[#This Row],[Static Parameters Moment of Inertia Iy (in4)]]*Table_03[[#This Row],[Cw*]])/Table_03[[#This Row],[Static Parameters Elastic Section Modulus Sx (in3)2]]))</f>
        <v>3.5658464263336294</v>
      </c>
      <c r="Z169" s="181">
        <f>(2*Table_03[[#This Row],[Width w (in)]]*Table_03[[#This Row],[Flange Thickness tf (in)]]^3/3)+((Table_03[[#This Row],[Depth h (in)]]-Table_03[[#This Row],[Flange Thickness tf (in)]]*2)*Table_03[[#This Row],[Web Thickness tw (in)]]^3)/3</f>
        <v>12.383300296666667</v>
      </c>
      <c r="AA169" s="181">
        <f>Table_03[[#This Row],[Width w (in)]]*0.5/Table_03[[#This Row],[Flange Thickness tf (in)]]</f>
        <v>5.5746606334841635</v>
      </c>
      <c r="AB169" s="181">
        <f>0.38*SQRT($B$4/Table_03[[#This Row],[Strength (ksi)]])</f>
        <v>9.1516118798821449</v>
      </c>
      <c r="AC169" s="181">
        <f>1*SQRT($B$4/Table_03[[#This Row],[Strength (ksi)]])</f>
        <v>24.083189157584592</v>
      </c>
      <c r="AD169" s="181">
        <f>(PI()^2*$B$4/(12*$B$5/Table_03[[#This Row],[rts]])^2)*SQRT(1+0.078*(Table_03[[#This Row],[J*]]/(Table_03[[#This Row],[Static Parameters Elastic Section Modulus Sx (in3)2]]*Table_03[[#This Row],[ho]])*$B$4/(12*$B$5/Table_03[[#This Row],[rts]])^2))</f>
        <v>503.99567673813823</v>
      </c>
      <c r="AE169" s="181">
        <f>0.69*$B$4/Table_03[[#This Row],[b/t]]^2</f>
        <v>643.88783548026629</v>
      </c>
      <c r="AF169" s="183">
        <f>Table_03[[#This Row],[Strength (ksi)]]*Table_03[[#This Row],[Static Parameters Plastic Section Modulus Zx (in3)]]</f>
        <v>9234.7445874999994</v>
      </c>
      <c r="AG169" s="181">
        <f>Table_03[[#This Row],[Mp (k-in)]]-(Table_03[[#This Row],[Mp (k-in)]]-0.7*Table_03[[#This Row],[Strength (ksi)]]*Table_03[[#This Row],[Static Parameters Elastic Section Modulus Sx (in3)2]])*((Table_03[[#This Row],[b/t]]-Table_03[[#This Row],[λpf]])/(Table_03[[#This Row],[λrf]]-Table_03[[#This Row],[λpf]]))</f>
        <v>10080.316630353023</v>
      </c>
      <c r="AH169" s="184">
        <f>0.9*$B$4*Table_03[[#This Row],[kc]]*Table_03[[#This Row],[Static Parameters Elastic Section Modulus Sx (in3)2]]/Table_03[[#This Row],[b/t]]^2</f>
        <v>104041.07616429834</v>
      </c>
      <c r="AI169" s="185" t="str">
        <f>IF(Table_03[[#This Row],[b/t]]&lt;Table_03[[#This Row],[λpf]],"Compact",IF(AND(Table_03[[#This Row],[b/t]]&gt;Table_03[[#This Row],[λpf]],Table_03[[#This Row],[λrf]]&gt;Table_03[[#This Row],[b/t]]),"Non-Compact","Slender"))</f>
        <v>Compact</v>
      </c>
      <c r="AJ169" s="186">
        <f>IF(Table_03[[#This Row],[Controlling LBx]]="Compact",Table_03[[#This Row],[Mp (k-in)]],IF(Table_03[[#This Row],[Controlling LBx]]="Non-Compact",Table_03[[#This Row],[Mnlb,Non-Compact (k-in)]],IF(Table_03[[#This Row],[Controlling LBx]]="Slender",Table_03[[#This Row],[Mnlb,slender (k-in)]],"ERROR")))</f>
        <v>9234.7445874999994</v>
      </c>
      <c r="AK169" s="183">
        <f>Table_03[[#This Row],[Mp (k-in)]]-(Table_03[[#This Row],[Mp (k-in)]]-0.7*Table_03[[#This Row],[Strength (ksi)]]*Table_03[[#This Row],[Static Parameters Elastic Section Modulus Sx (in3)2]])*(($B$5-Table_03[[#This Row],[Lp (ft)]])/(Table_03[[#This Row],[Lr]]-Table_03[[#This Row],[Lp (ft)]]))</f>
        <v>9545.5003431070691</v>
      </c>
      <c r="AL169" s="184">
        <f>Table_03[[#This Row],[Fcrx]]*Table_03[[#This Row],[Static Parameters Elastic Section Modulus Sx (in3)2]]</f>
        <v>82151.295308316534</v>
      </c>
      <c r="AM169" s="185" t="str">
        <f>IF($B$5&lt;Table_03[[#This Row],[Lp (ft)]],"Yielding Controls",IF(AND($B$5&gt;Table_03[[#This Row],[Lp (ft)]],Table_03[[#This Row],[Lr]]&gt;$B$5),"Mltb,p Controls","Mltb,r Controls"))</f>
        <v>Yielding Controls</v>
      </c>
      <c r="AN169" s="186">
        <f>IF(Table_03[[#This Row],[Controlling LTB]]="Yielding Controls",Table_03[[#This Row],[Mp (k-in)]],IF(Table_03[[#This Row],[Controlling LTB]]="Mltb,p Controls",Table_03[[#This Row],[Mnltbp (k-in)]],IF(Table_03[[#This Row],[Controlling LTB]]="Mltb,r Controls",Table_03[[#This Row],[Mnltbr (k-in)]],"ERROR")))</f>
        <v>9234.7445874999994</v>
      </c>
      <c r="AO169" s="183">
        <f>MIN(Table_03[[#This Row],[Strength (ksi)]]*Table_03[[#This Row],[Static Parameters Plastic Section Modulus Zy (in3)]],1.6*Table_03[[#This Row],[Strength (ksi)]]*Table_03[[#This Row],[Static Parameters Elastic Section Modulus Sy (in3)3]])</f>
        <v>4261.7354374999995</v>
      </c>
      <c r="AP169" s="181">
        <f>MIN(Table_03[[#This Row],[Mny (k-in)]],Table_03[[#This Row],[Mny (k-in)]]-(Table_03[[#This Row],[Mny (k-in)]]-0.7*Table_03[[#This Row],[Static Parameters Elastic Section Modulus Sy (in3)3]]*Table_03[[#This Row],[Strength (ksi)]])*((Table_03[[#This Row],[b/t]]-Table_03[[#This Row],[λpf]])/(Table_03[[#This Row],[λrf]]-Table_03[[#This Row],[λpf]])))</f>
        <v>4261.7354374999995</v>
      </c>
      <c r="AQ169" s="184">
        <f>MIN(Table_03[[#This Row],[Mny (k-in)]],Table_03[[#This Row],[Fcry]]*Table_03[[#This Row],[Static Parameters Elastic Section Modulus Sy (in3)3]])</f>
        <v>4261.7354374999995</v>
      </c>
      <c r="AR169" s="185" t="str">
        <f>IF(Table_03[[#This Row],[b/t]]&lt;Table_03[[#This Row],[λpf]],"Compact",IF(AND(Table_03[[#This Row],[b/t]]&gt;Table_03[[#This Row],[λpf]],Table_03[[#This Row],[λrf]]&gt;Table_03[[#This Row],[b/t]]),"Non-Compact","Slender"))</f>
        <v>Compact</v>
      </c>
      <c r="AS169" s="186">
        <f>IF(Table_03[[#This Row],[Controlling Lby]]="Compact",Table_03[[#This Row],[Mny (k-in)]],IF(Table_03[[#This Row],[Controlling Lby]]="Non-Compact",Table_03[[#This Row],[Mlby,Non-Compact (k-in)]],IF(Table_03[[#This Row],[Controlling Lby]]="Slender",Table_03[[#This Row],[Mlby,Slender (k-in)]],"ERROR")))</f>
        <v>4261.7354374999995</v>
      </c>
      <c r="AT169" s="183">
        <f>MIN(Table_03[[#This Row],[LBx]],Table_03[[#This Row],[LTB]],Table_03[[#This Row],[Mp (k-in)]])</f>
        <v>9234.7445874999994</v>
      </c>
      <c r="AU169" s="181">
        <f>Table_03[[#This Row],[Mp (k-in)]]</f>
        <v>9234.7445874999994</v>
      </c>
      <c r="AV169" s="181">
        <f>MIN(Table_03[[#This Row],[LBy]],Table_03[[#This Row],[Mny (k-in)]])</f>
        <v>4261.7354374999995</v>
      </c>
      <c r="AW169" s="187">
        <f>Table_03[[#This Row],[Mny (k-in)]]</f>
        <v>4261.7354374999995</v>
      </c>
      <c r="AX169" s="165">
        <f>SQRT(((Table_03[[#This Row],[Sectional Area (in2)]]-(Table_03[[#This Row],[Flange Thickness tf (in)]]*Table_03[[#This Row],[Width w (in)]]*2+Table_03[[#This Row],[Web Thickness tw (in)]]*((Table_03[[#This Row],[Depth h (in)]]-2*Table_03[[#This Row],[Flange Thickness tf (in)]]))))/4)/(1-PI()/4))</f>
        <v>0.61691858581147374</v>
      </c>
      <c r="AY169"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69" s="165"/>
    </row>
    <row r="170" spans="1:52" x14ac:dyDescent="0.3">
      <c r="A170" s="188" t="s">
        <v>262</v>
      </c>
      <c r="B170" s="189">
        <v>13.41</v>
      </c>
      <c r="C170" s="189">
        <v>12.4</v>
      </c>
      <c r="D170" s="189">
        <v>0.79</v>
      </c>
      <c r="E170" s="189">
        <v>1.25</v>
      </c>
      <c r="F170" s="190">
        <v>39.9</v>
      </c>
      <c r="G170" s="189">
        <v>136</v>
      </c>
      <c r="H170" s="190">
        <v>1240</v>
      </c>
      <c r="I170" s="190">
        <v>398</v>
      </c>
      <c r="J170" s="190">
        <f>Table_03[[#This Row],[Width w (in)]]*Table_03[[#This Row],[Flange Thickness tf (in)]]*(Table_03[[#This Row],[Depth h (in)]]-Table_03[[#This Row],[Flange Thickness tf (in)]])+0.25*Table_03[[#This Row],[Web Thickness tw (in)]]*(Table_03[[#This Row],[Depth h (in)]]-2*Table_03[[#This Row],[Flange Thickness tf (in)]])^2</f>
        <v>211.98804974999999</v>
      </c>
      <c r="K170" s="190">
        <f>(Table_03[[#This Row],[Width w (in)]]^2*Table_03[[#This Row],[Flange Thickness tf (in)]])/2+0.25*Table_03[[#This Row],[Web Thickness tw (in)]]^2*(Table_03[[#This Row],[Depth h (in)]]-2*Table_03[[#This Row],[Flange Thickness tf (in)]])</f>
        <v>97.802232750000002</v>
      </c>
      <c r="L170" s="190">
        <v>186</v>
      </c>
      <c r="M170" s="190">
        <v>64.2</v>
      </c>
      <c r="N170" s="191">
        <v>50</v>
      </c>
      <c r="O170" s="169">
        <f>SQRT(Table_03[[#This Row],[Static Parameters Moment of Inertia Ix (in4)]]/Table_03[[#This Row],[Sectional Area (in2)]])</f>
        <v>5.5747371449772389</v>
      </c>
      <c r="P170" s="190">
        <f>SQRT(Table_03[[#This Row],[Static Parameters Moment of Inertia Iy (in4)]]/Table_03[[#This Row],[Sectional Area (in2)]])</f>
        <v>3.1583124201634005</v>
      </c>
      <c r="Q170" s="190">
        <f>($B$6*$B$5*12)/Table_03[[#This Row],[ry (in)2]]</f>
        <v>56.849980658566608</v>
      </c>
      <c r="R170" s="190">
        <f>(PI()^2*$B$4)/(Table_03[[#This Row],[KL/ry]]^2)</f>
        <v>88.559896589563806</v>
      </c>
      <c r="S170" s="190">
        <f>IF(Table_03[[#This Row],[Strength (ksi)]]/Table_03[[#This Row],[Fe,y]]&lt;2.25,(0.658^(Table_03[[#This Row],[Strength (ksi)]]/Table_03[[#This Row],[Fe,y]])*Table_03[[#This Row],[Strength (ksi)]]),0.877*Table_03[[#This Row],[Fe,y]])</f>
        <v>39.476825990489537</v>
      </c>
      <c r="T170" s="190">
        <f>Table_03[[#This Row],[Fcr,y]]*Table_03[[#This Row],[Sectional Area (in2)]]</f>
        <v>1575.1253570205324</v>
      </c>
      <c r="U170" s="190">
        <f>1.76*Table_03[[#This Row],[ry (in)2]]*SQRT($B$4/Table_03[[#This Row],[Strength (ksi)]])/12</f>
        <v>11.155794530253113</v>
      </c>
      <c r="V17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62.30848592903299</v>
      </c>
      <c r="W170" s="190">
        <f>Table_03[[#This Row],[Depth h (in)]]-Table_03[[#This Row],[Flange Thickness tf (in)]]</f>
        <v>12.16</v>
      </c>
      <c r="X170" s="190">
        <f>(Table_03[[#This Row],[Static Parameters Moment of Inertia Iy (in4)]]*Table_03[[#This Row],[ho]]^2)/4</f>
        <v>14712.627200000001</v>
      </c>
      <c r="Y170" s="190">
        <f>SQRT((SQRT(Table_03[[#This Row],[Static Parameters Moment of Inertia Iy (in4)]]*Table_03[[#This Row],[Cw*]])/Table_03[[#This Row],[Static Parameters Elastic Section Modulus Sx (in3)2]]))</f>
        <v>3.606922853779698</v>
      </c>
      <c r="Z170" s="190">
        <f>(2*Table_03[[#This Row],[Width w (in)]]*Table_03[[#This Row],[Flange Thickness tf (in)]]^3/3)+((Table_03[[#This Row],[Depth h (in)]]-Table_03[[#This Row],[Flange Thickness tf (in)]]*2)*Table_03[[#This Row],[Web Thickness tw (in)]]^3)/3</f>
        <v>17.938851830000001</v>
      </c>
      <c r="AA170" s="190">
        <f>Table_03[[#This Row],[Width w (in)]]*0.5/Table_03[[#This Row],[Flange Thickness tf (in)]]</f>
        <v>4.96</v>
      </c>
      <c r="AB170" s="190">
        <f>0.38*SQRT($B$4/Table_03[[#This Row],[Strength (ksi)]])</f>
        <v>9.1516118798821449</v>
      </c>
      <c r="AC170" s="190">
        <f>1*SQRT($B$4/Table_03[[#This Row],[Strength (ksi)]])</f>
        <v>24.083189157584592</v>
      </c>
      <c r="AD170" s="190">
        <f>(PI()^2*$B$4/(12*$B$5/Table_03[[#This Row],[rts]])^2)*SQRT(1+0.078*(Table_03[[#This Row],[J*]]/(Table_03[[#This Row],[Static Parameters Elastic Section Modulus Sx (in3)2]]*Table_03[[#This Row],[ho]])*$B$4/(12*$B$5/Table_03[[#This Row],[rts]])^2))</f>
        <v>517.44486504548104</v>
      </c>
      <c r="AE170" s="190">
        <f>0.69*$B$4/Table_03[[#This Row],[b/t]]^2</f>
        <v>813.36173257023927</v>
      </c>
      <c r="AF170" s="192">
        <f>Table_03[[#This Row],[Strength (ksi)]]*Table_03[[#This Row],[Static Parameters Plastic Section Modulus Zx (in3)]]</f>
        <v>10599.4024875</v>
      </c>
      <c r="AG170" s="190">
        <f>Table_03[[#This Row],[Mp (k-in)]]-(Table_03[[#This Row],[Mp (k-in)]]-0.7*Table_03[[#This Row],[Strength (ksi)]]*Table_03[[#This Row],[Static Parameters Elastic Section Modulus Sx (in3)2]])*((Table_03[[#This Row],[b/t]]-Table_03[[#This Row],[λpf]])/(Table_03[[#This Row],[λrf]]-Table_03[[#This Row],[λpf]]))</f>
        <v>11747.384896151616</v>
      </c>
      <c r="AH170" s="193">
        <f>0.9*$B$4*Table_03[[#This Row],[kc]]*Table_03[[#This Row],[Static Parameters Elastic Section Modulus Sx (in3)2]]/Table_03[[#This Row],[b/t]]^2</f>
        <v>149969.75806451612</v>
      </c>
      <c r="AI170" s="194" t="str">
        <f>IF(Table_03[[#This Row],[b/t]]&lt;Table_03[[#This Row],[λpf]],"Compact",IF(AND(Table_03[[#This Row],[b/t]]&gt;Table_03[[#This Row],[λpf]],Table_03[[#This Row],[λrf]]&gt;Table_03[[#This Row],[b/t]]),"Non-Compact","Slender"))</f>
        <v>Compact</v>
      </c>
      <c r="AJ170" s="195">
        <f>IF(Table_03[[#This Row],[Controlling LBx]]="Compact",Table_03[[#This Row],[Mp (k-in)]],IF(Table_03[[#This Row],[Controlling LBx]]="Non-Compact",Table_03[[#This Row],[Mnlb,Non-Compact (k-in)]],IF(Table_03[[#This Row],[Controlling LBx]]="Slender",Table_03[[#This Row],[Mnlb,slender (k-in)]],"ERROR")))</f>
        <v>10599.4024875</v>
      </c>
      <c r="AK170" s="192">
        <f>Table_03[[#This Row],[Mp (k-in)]]-(Table_03[[#This Row],[Mp (k-in)]]-0.7*Table_03[[#This Row],[Strength (ksi)]]*Table_03[[#This Row],[Static Parameters Elastic Section Modulus Sx (in3)2]])*(($B$5-Table_03[[#This Row],[Lp (ft)]])/(Table_03[[#This Row],[Lr]]-Table_03[[#This Row],[Lp (ft)]]))</f>
        <v>10921.644401422278</v>
      </c>
      <c r="AL170" s="196">
        <f>Table_03[[#This Row],[Fcrx]]*Table_03[[#This Row],[Static Parameters Elastic Section Modulus Sx (in3)2]]</f>
        <v>96244.744898459467</v>
      </c>
      <c r="AM170" s="197" t="str">
        <f>IF($B$5&lt;Table_03[[#This Row],[Lp (ft)]],"Yielding Controls",IF(AND($B$5&gt;Table_03[[#This Row],[Lp (ft)]],Table_03[[#This Row],[Lr]]&gt;$B$5),"Mltb,p Controls","Mltb,r Controls"))</f>
        <v>Yielding Controls</v>
      </c>
      <c r="AN170" s="198">
        <f>IF(Table_03[[#This Row],[Controlling LTB]]="Yielding Controls",Table_03[[#This Row],[Mp (k-in)]],IF(Table_03[[#This Row],[Controlling LTB]]="Mltb,p Controls",Table_03[[#This Row],[Mnltbp (k-in)]],IF(Table_03[[#This Row],[Controlling LTB]]="Mltb,r Controls",Table_03[[#This Row],[Mnltbr (k-in)]],"ERROR")))</f>
        <v>10599.4024875</v>
      </c>
      <c r="AO170" s="199">
        <f>MIN(Table_03[[#This Row],[Strength (ksi)]]*Table_03[[#This Row],[Static Parameters Plastic Section Modulus Zy (in3)]],1.6*Table_03[[#This Row],[Strength (ksi)]]*Table_03[[#This Row],[Static Parameters Elastic Section Modulus Sy (in3)3]])</f>
        <v>4890.1116375000001</v>
      </c>
      <c r="AP170" s="169">
        <f>MIN(Table_03[[#This Row],[Mny (k-in)]],Table_03[[#This Row],[Mny (k-in)]]-(Table_03[[#This Row],[Mny (k-in)]]-0.7*Table_03[[#This Row],[Static Parameters Elastic Section Modulus Sy (in3)3]]*Table_03[[#This Row],[Strength (ksi)]])*((Table_03[[#This Row],[b/t]]-Table_03[[#This Row],[λpf]])/(Table_03[[#This Row],[λrf]]-Table_03[[#This Row],[λpf]])))</f>
        <v>4890.1116375000001</v>
      </c>
      <c r="AQ170" s="196">
        <f>MIN(Table_03[[#This Row],[Mny (k-in)]],Table_03[[#This Row],[Fcry]]*Table_03[[#This Row],[Static Parameters Elastic Section Modulus Sy (in3)3]])</f>
        <v>4890.1116375000001</v>
      </c>
      <c r="AR170" s="197" t="str">
        <f>IF(Table_03[[#This Row],[b/t]]&lt;Table_03[[#This Row],[λpf]],"Compact",IF(AND(Table_03[[#This Row],[b/t]]&gt;Table_03[[#This Row],[λpf]],Table_03[[#This Row],[λrf]]&gt;Table_03[[#This Row],[b/t]]),"Non-Compact","Slender"))</f>
        <v>Compact</v>
      </c>
      <c r="AS170" s="198">
        <f>IF(Table_03[[#This Row],[Controlling Lby]]="Compact",Table_03[[#This Row],[Mny (k-in)]],IF(Table_03[[#This Row],[Controlling Lby]]="Non-Compact",Table_03[[#This Row],[Mlby,Non-Compact (k-in)]],IF(Table_03[[#This Row],[Controlling Lby]]="Slender",Table_03[[#This Row],[Mlby,Slender (k-in)]],"ERROR")))</f>
        <v>4890.1116375000001</v>
      </c>
      <c r="AT170" s="199">
        <f>MIN(Table_03[[#This Row],[LBx]],Table_03[[#This Row],[LTB]],Table_03[[#This Row],[Mp (k-in)]])</f>
        <v>10599.4024875</v>
      </c>
      <c r="AU170" s="169">
        <f>Table_03[[#This Row],[Mp (k-in)]]</f>
        <v>10599.4024875</v>
      </c>
      <c r="AV170" s="169">
        <f>MIN(Table_03[[#This Row],[LBy]],Table_03[[#This Row],[Mny (k-in)]])</f>
        <v>4890.1116375000001</v>
      </c>
      <c r="AW170" s="200">
        <f>Table_03[[#This Row],[Mny (k-in)]]</f>
        <v>4890.1116375000001</v>
      </c>
      <c r="AX170" s="165">
        <f>SQRT(((Table_03[[#This Row],[Sectional Area (in2)]]-(Table_03[[#This Row],[Flange Thickness tf (in)]]*Table_03[[#This Row],[Width w (in)]]*2+Table_03[[#This Row],[Web Thickness tw (in)]]*((Table_03[[#This Row],[Depth h (in)]]-2*Table_03[[#This Row],[Flange Thickness tf (in)]]))))/4)/(1-PI()/4))</f>
        <v>0.57224724424284135</v>
      </c>
      <c r="AY170"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70" s="165"/>
    </row>
    <row r="171" spans="1:52" ht="14.4" thickBot="1" x14ac:dyDescent="0.35">
      <c r="A171" s="201" t="s">
        <v>263</v>
      </c>
      <c r="B171" s="202">
        <v>13.66</v>
      </c>
      <c r="C171" s="202">
        <v>7.9950000000000001</v>
      </c>
      <c r="D171" s="202">
        <v>0.30499999999999999</v>
      </c>
      <c r="E171" s="202">
        <v>0.53</v>
      </c>
      <c r="F171" s="203">
        <v>12.6</v>
      </c>
      <c r="G171" s="204">
        <v>43</v>
      </c>
      <c r="H171" s="203">
        <v>428</v>
      </c>
      <c r="I171" s="203">
        <v>45.2</v>
      </c>
      <c r="J171" s="203">
        <f>Table_03[[#This Row],[Width w (in)]]*Table_03[[#This Row],[Flange Thickness tf (in)]]*(Table_03[[#This Row],[Depth h (in)]]-Table_03[[#This Row],[Flange Thickness tf (in)]])+0.25*Table_03[[#This Row],[Web Thickness tw (in)]]*(Table_03[[#This Row],[Depth h (in)]]-2*Table_03[[#This Row],[Flange Thickness tf (in)]])^2</f>
        <v>67.7418555</v>
      </c>
      <c r="K171" s="203">
        <f>(Table_03[[#This Row],[Width w (in)]]^2*Table_03[[#This Row],[Flange Thickness tf (in)]])/2+0.25*Table_03[[#This Row],[Web Thickness tw (in)]]^2*(Table_03[[#This Row],[Depth h (in)]]-2*Table_03[[#This Row],[Flange Thickness tf (in)]])</f>
        <v>17.231835375000003</v>
      </c>
      <c r="L171" s="203">
        <v>62.7</v>
      </c>
      <c r="M171" s="203">
        <v>11.3</v>
      </c>
      <c r="N171" s="205">
        <v>50</v>
      </c>
      <c r="O171" s="206">
        <f>SQRT(Table_03[[#This Row],[Static Parameters Moment of Inertia Ix (in4)]]/Table_03[[#This Row],[Sectional Area (in2)]])</f>
        <v>5.8282290593501873</v>
      </c>
      <c r="P171" s="203">
        <f>SQRT(Table_03[[#This Row],[Static Parameters Moment of Inertia Iy (in4)]]/Table_03[[#This Row],[Sectional Area (in2)]])</f>
        <v>1.8940173144144135</v>
      </c>
      <c r="Q171" s="203">
        <f>($B$6*$B$5*12)/Table_03[[#This Row],[ry (in)2]]</f>
        <v>94.798499799096476</v>
      </c>
      <c r="R171" s="203">
        <f>(PI()^2*$B$4)/(Table_03[[#This Row],[KL/ry]]^2)</f>
        <v>31.848927634471263</v>
      </c>
      <c r="S171" s="203">
        <f>IF(Table_03[[#This Row],[Strength (ksi)]]/Table_03[[#This Row],[Fe,y]]&lt;2.25,(0.658^(Table_03[[#This Row],[Strength (ksi)]]/Table_03[[#This Row],[Fe,y]])*Table_03[[#This Row],[Strength (ksi)]]),0.877*Table_03[[#This Row],[Fe,y]])</f>
        <v>25.917955001459809</v>
      </c>
      <c r="T171" s="203">
        <f>Table_03[[#This Row],[Fcr,y]]*Table_03[[#This Row],[Sectional Area (in2)]]</f>
        <v>326.56623301839358</v>
      </c>
      <c r="U171" s="203">
        <f>1.76*Table_03[[#This Row],[ry (in)2]]*SQRT($B$4/Table_03[[#This Row],[Strength (ksi)]])/12</f>
        <v>6.6900499967814611</v>
      </c>
      <c r="V17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19.51026986955976</v>
      </c>
      <c r="W171" s="203">
        <f>Table_03[[#This Row],[Depth h (in)]]-Table_03[[#This Row],[Flange Thickness tf (in)]]</f>
        <v>13.13</v>
      </c>
      <c r="X171" s="203">
        <f>(Table_03[[#This Row],[Static Parameters Moment of Inertia Iy (in4)]]*Table_03[[#This Row],[ho]]^2)/4</f>
        <v>1948.0849700000003</v>
      </c>
      <c r="Y171" s="203">
        <f>SQRT((SQRT(Table_03[[#This Row],[Static Parameters Moment of Inertia Iy (in4)]]*Table_03[[#This Row],[Cw*]])/Table_03[[#This Row],[Static Parameters Elastic Section Modulus Sx (in3)2]]))</f>
        <v>2.1754685649013648</v>
      </c>
      <c r="Z171" s="203">
        <f>(2*Table_03[[#This Row],[Width w (in)]]*Table_03[[#This Row],[Flange Thickness tf (in)]]^3/3)+((Table_03[[#This Row],[Depth h (in)]]-Table_03[[#This Row],[Flange Thickness tf (in)]]*2)*Table_03[[#This Row],[Web Thickness tw (in)]]^3)/3</f>
        <v>0.91267943500000026</v>
      </c>
      <c r="AA171" s="203">
        <f>Table_03[[#This Row],[Width w (in)]]*0.5/Table_03[[#This Row],[Flange Thickness tf (in)]]</f>
        <v>7.5424528301886786</v>
      </c>
      <c r="AB171" s="203">
        <f>0.38*SQRT($B$4/Table_03[[#This Row],[Strength (ksi)]])</f>
        <v>9.1516118798821449</v>
      </c>
      <c r="AC171" s="203">
        <f>1*SQRT($B$4/Table_03[[#This Row],[Strength (ksi)]])</f>
        <v>24.083189157584592</v>
      </c>
      <c r="AD171" s="203">
        <f>(PI()^2*$B$4/(12*$B$5/Table_03[[#This Row],[rts]])^2)*SQRT(1+0.078*(Table_03[[#This Row],[J*]]/(Table_03[[#This Row],[Static Parameters Elastic Section Modulus Sx (in3)2]]*Table_03[[#This Row],[ho]])*$B$4/(12*$B$5/Table_03[[#This Row],[rts]])^2))</f>
        <v>185.44852809213617</v>
      </c>
      <c r="AE171" s="203">
        <f>0.69*$B$4/Table_03[[#This Row],[b/t]]^2</f>
        <v>351.74010022680693</v>
      </c>
      <c r="AF171" s="207">
        <f>Table_03[[#This Row],[Strength (ksi)]]*Table_03[[#This Row],[Static Parameters Plastic Section Modulus Zx (in3)]]</f>
        <v>3387.0927750000001</v>
      </c>
      <c r="AG171" s="203">
        <f>Table_03[[#This Row],[Mp (k-in)]]-(Table_03[[#This Row],[Mp (k-in)]]-0.7*Table_03[[#This Row],[Strength (ksi)]]*Table_03[[#This Row],[Static Parameters Elastic Section Modulus Sx (in3)2]])*((Table_03[[#This Row],[b/t]]-Table_03[[#This Row],[λpf]])/(Table_03[[#This Row],[λrf]]-Table_03[[#This Row],[λpf]]))</f>
        <v>3515.6171378853646</v>
      </c>
      <c r="AH171" s="208">
        <f>0.9*$B$4*Table_03[[#This Row],[kc]]*Table_03[[#This Row],[Static Parameters Elastic Section Modulus Sx (in3)2]]/Table_03[[#This Row],[b/t]]^2</f>
        <v>17193.62315897776</v>
      </c>
      <c r="AI171" s="209" t="str">
        <f>IF(Table_03[[#This Row],[b/t]]&lt;Table_03[[#This Row],[λpf]],"Compact",IF(AND(Table_03[[#This Row],[b/t]]&gt;Table_03[[#This Row],[λpf]],Table_03[[#This Row],[λrf]]&gt;Table_03[[#This Row],[b/t]]),"Non-Compact","Slender"))</f>
        <v>Compact</v>
      </c>
      <c r="AJ171" s="210">
        <f>IF(Table_03[[#This Row],[Controlling LBx]]="Compact",Table_03[[#This Row],[Mp (k-in)]],IF(Table_03[[#This Row],[Controlling LBx]]="Non-Compact",Table_03[[#This Row],[Mnlb,Non-Compact (k-in)]],IF(Table_03[[#This Row],[Controlling LBx]]="Slender",Table_03[[#This Row],[Mnlb,slender (k-in)]],"ERROR")))</f>
        <v>3387.0927750000001</v>
      </c>
      <c r="AK171" s="207">
        <f>Table_03[[#This Row],[Mp (k-in)]]-(Table_03[[#This Row],[Mp (k-in)]]-0.7*Table_03[[#This Row],[Strength (ksi)]]*Table_03[[#This Row],[Static Parameters Elastic Section Modulus Sx (in3)2]])*(($B$5-Table_03[[#This Row],[Lp (ft)]])/(Table_03[[#This Row],[Lr]]-Table_03[[#This Row],[Lp (ft)]]))</f>
        <v>3346.6318284271515</v>
      </c>
      <c r="AL171" s="211">
        <f>Table_03[[#This Row],[Fcrx]]*Table_03[[#This Row],[Static Parameters Elastic Section Modulus Sx (in3)2]]</f>
        <v>11627.622711376938</v>
      </c>
      <c r="AM171" s="212" t="str">
        <f>IF($B$5&lt;Table_03[[#This Row],[Lp (ft)]],"Yielding Controls",IF(AND($B$5&gt;Table_03[[#This Row],[Lp (ft)]],Table_03[[#This Row],[Lr]]&gt;$B$5),"Mltb,p Controls","Mltb,r Controls"))</f>
        <v>Mltb,p Controls</v>
      </c>
      <c r="AN171" s="213">
        <f>IF(Table_03[[#This Row],[Controlling LTB]]="Yielding Controls",Table_03[[#This Row],[Mp (k-in)]],IF(Table_03[[#This Row],[Controlling LTB]]="Mltb,p Controls",Table_03[[#This Row],[Mnltbp (k-in)]],IF(Table_03[[#This Row],[Controlling LTB]]="Mltb,r Controls",Table_03[[#This Row],[Mnltbr (k-in)]],"ERROR")))</f>
        <v>3346.6318284271515</v>
      </c>
      <c r="AO171" s="214">
        <f>MIN(Table_03[[#This Row],[Strength (ksi)]]*Table_03[[#This Row],[Static Parameters Plastic Section Modulus Zy (in3)]],1.6*Table_03[[#This Row],[Strength (ksi)]]*Table_03[[#This Row],[Static Parameters Elastic Section Modulus Sy (in3)3]])</f>
        <v>861.59176875000014</v>
      </c>
      <c r="AP171" s="206">
        <f>MIN(Table_03[[#This Row],[Mny (k-in)]],Table_03[[#This Row],[Mny (k-in)]]-(Table_03[[#This Row],[Mny (k-in)]]-0.7*Table_03[[#This Row],[Static Parameters Elastic Section Modulus Sy (in3)3]]*Table_03[[#This Row],[Strength (ksi)]])*((Table_03[[#This Row],[b/t]]-Table_03[[#This Row],[λpf]])/(Table_03[[#This Row],[λrf]]-Table_03[[#This Row],[λpf]])))</f>
        <v>861.59176875000014</v>
      </c>
      <c r="AQ171" s="211">
        <f>MIN(Table_03[[#This Row],[Mny (k-in)]],Table_03[[#This Row],[Fcry]]*Table_03[[#This Row],[Static Parameters Elastic Section Modulus Sy (in3)3]])</f>
        <v>861.59176875000014</v>
      </c>
      <c r="AR171" s="212" t="str">
        <f>IF(Table_03[[#This Row],[b/t]]&lt;Table_03[[#This Row],[λpf]],"Compact",IF(AND(Table_03[[#This Row],[b/t]]&gt;Table_03[[#This Row],[λpf]],Table_03[[#This Row],[λrf]]&gt;Table_03[[#This Row],[b/t]]),"Non-Compact","Slender"))</f>
        <v>Compact</v>
      </c>
      <c r="AS171" s="213">
        <f>IF(Table_03[[#This Row],[Controlling Lby]]="Compact",Table_03[[#This Row],[Mny (k-in)]],IF(Table_03[[#This Row],[Controlling Lby]]="Non-Compact",Table_03[[#This Row],[Mlby,Non-Compact (k-in)]],IF(Table_03[[#This Row],[Controlling Lby]]="Slender",Table_03[[#This Row],[Mlby,Slender (k-in)]],"ERROR")))</f>
        <v>861.59176875000014</v>
      </c>
      <c r="AT171" s="214">
        <f>MIN(Table_03[[#This Row],[LBx]],Table_03[[#This Row],[LTB]],Table_03[[#This Row],[Mp (k-in)]])</f>
        <v>3346.6318284271515</v>
      </c>
      <c r="AU171" s="206">
        <f>Table_03[[#This Row],[Mp (k-in)]]</f>
        <v>3387.0927750000001</v>
      </c>
      <c r="AV171" s="206">
        <f>MIN(Table_03[[#This Row],[LBy]],Table_03[[#This Row],[Mny (k-in)]])</f>
        <v>861.59176875000014</v>
      </c>
      <c r="AW171" s="215">
        <f>Table_03[[#This Row],[Mny (k-in)]]</f>
        <v>861.59176875000014</v>
      </c>
      <c r="AX171" s="165">
        <f>SQRT(((Table_03[[#This Row],[Sectional Area (in2)]]-(Table_03[[#This Row],[Flange Thickness tf (in)]]*Table_03[[#This Row],[Width w (in)]]*2+Table_03[[#This Row],[Web Thickness tw (in)]]*((Table_03[[#This Row],[Depth h (in)]]-2*Table_03[[#This Row],[Flange Thickness tf (in)]]))))/4)/(1-PI()/4))</f>
        <v>0.57346738900605365</v>
      </c>
      <c r="AY171" s="165">
        <f>IF(4/SQRT((Table_03[[#This Row],[Depth h (in)]]-Table_03[[#This Row],[Flange Thickness tf (in)]]*2)/Table_03[[#This Row],[Web Thickness tw (in)]])&lt;0.35,0.35,IF(4/SQRT(Table_03[[#This Row],[Depth h (in)]]/Table_03[[#This Row],[Web Thickness tw (in)]])&gt;0.76,0.76,4/SQRT(Table_03[[#This Row],[Depth h (in)]]/Table_03[[#This Row],[Web Thickness tw (in)]])))</f>
        <v>0.59770179669675094</v>
      </c>
      <c r="AZ171" s="165"/>
    </row>
    <row r="172" spans="1:52" x14ac:dyDescent="0.3">
      <c r="A172" s="179" t="s">
        <v>264</v>
      </c>
      <c r="B172" s="180">
        <v>13.74</v>
      </c>
      <c r="C172" s="180">
        <v>5</v>
      </c>
      <c r="D172" s="180">
        <v>0.23</v>
      </c>
      <c r="E172" s="180">
        <v>0.33500000000000002</v>
      </c>
      <c r="F172" s="181">
        <v>6.49</v>
      </c>
      <c r="G172" s="180">
        <v>22</v>
      </c>
      <c r="H172" s="180">
        <v>199</v>
      </c>
      <c r="I172" s="180">
        <v>7</v>
      </c>
      <c r="J172" s="181">
        <f>Table_03[[#This Row],[Width w (in)]]*Table_03[[#This Row],[Flange Thickness tf (in)]]*(Table_03[[#This Row],[Depth h (in)]]-Table_03[[#This Row],[Flange Thickness tf (in)]])+0.25*Table_03[[#This Row],[Web Thickness tw (in)]]*(Table_03[[#This Row],[Depth h (in)]]-2*Table_03[[#This Row],[Flange Thickness tf (in)]])^2</f>
        <v>32.275806750000001</v>
      </c>
      <c r="K172" s="181">
        <f>(Table_03[[#This Row],[Width w (in)]]^2*Table_03[[#This Row],[Flange Thickness tf (in)]])/2+0.25*Table_03[[#This Row],[Web Thickness tw (in)]]^2*(Table_03[[#This Row],[Depth h (in)]]-2*Table_03[[#This Row],[Flange Thickness tf (in)]])</f>
        <v>4.3603507500000003</v>
      </c>
      <c r="L172" s="181">
        <v>29</v>
      </c>
      <c r="M172" s="181">
        <v>2.8</v>
      </c>
      <c r="N172" s="182">
        <v>50</v>
      </c>
      <c r="O172" s="181">
        <f>SQRT(Table_03[[#This Row],[Static Parameters Moment of Inertia Ix (in4)]]/Table_03[[#This Row],[Sectional Area (in2)]])</f>
        <v>5.5373782407563459</v>
      </c>
      <c r="P172" s="181">
        <f>SQRT(Table_03[[#This Row],[Static Parameters Moment of Inertia Iy (in4)]]/Table_03[[#This Row],[Sectional Area (in2)]])</f>
        <v>1.0385482340819023</v>
      </c>
      <c r="Q172" s="181">
        <f>($B$6*$B$5*12)/Table_03[[#This Row],[ry (in)2]]</f>
        <v>172.88556670526319</v>
      </c>
      <c r="R172" s="181">
        <f>(PI()^2*$B$4)/(Table_03[[#This Row],[KL/ry]]^2)</f>
        <v>9.5759146725403479</v>
      </c>
      <c r="S172" s="181">
        <f>IF(Table_03[[#This Row],[Strength (ksi)]]/Table_03[[#This Row],[Fe,y]]&lt;2.25,(0.658^(Table_03[[#This Row],[Strength (ksi)]]/Table_03[[#This Row],[Fe,y]])*Table_03[[#This Row],[Strength (ksi)]]),0.877*Table_03[[#This Row],[Fe,y]])</f>
        <v>8.3980771678178847</v>
      </c>
      <c r="T172" s="181">
        <f>Table_03[[#This Row],[Fcr,y]]*Table_03[[#This Row],[Sectional Area (in2)]]</f>
        <v>54.503520819138075</v>
      </c>
      <c r="U172" s="181">
        <f>1.76*Table_03[[#This Row],[ry (in)2]]*SQRT($B$4/Table_03[[#This Row],[Strength (ksi)]])/12</f>
        <v>3.668361190364918</v>
      </c>
      <c r="V17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10.318232341361922</v>
      </c>
      <c r="W172" s="181">
        <f>Table_03[[#This Row],[Depth h (in)]]-Table_03[[#This Row],[Flange Thickness tf (in)]]</f>
        <v>13.404999999999999</v>
      </c>
      <c r="X172" s="181">
        <f>(Table_03[[#This Row],[Static Parameters Moment of Inertia Iy (in4)]]*Table_03[[#This Row],[ho]]^2)/4</f>
        <v>314.46454374999996</v>
      </c>
      <c r="Y172" s="181">
        <f>SQRT((SQRT(Table_03[[#This Row],[Static Parameters Moment of Inertia Iy (in4)]]*Table_03[[#This Row],[Cw*]])/Table_03[[#This Row],[Static Parameters Elastic Section Modulus Sx (in3)2]]))</f>
        <v>1.2719452926860522</v>
      </c>
      <c r="Z172" s="181">
        <f>(2*Table_03[[#This Row],[Width w (in)]]*Table_03[[#This Row],[Flange Thickness tf (in)]]^3/3)+((Table_03[[#This Row],[Depth h (in)]]-Table_03[[#This Row],[Flange Thickness tf (in)]]*2)*Table_03[[#This Row],[Web Thickness tw (in)]]^3)/3</f>
        <v>0.17832548000000004</v>
      </c>
      <c r="AA172" s="181">
        <f>Table_03[[#This Row],[Width w (in)]]*0.5/Table_03[[#This Row],[Flange Thickness tf (in)]]</f>
        <v>7.4626865671641784</v>
      </c>
      <c r="AB172" s="181">
        <f>0.38*SQRT($B$4/Table_03[[#This Row],[Strength (ksi)]])</f>
        <v>9.1516118798821449</v>
      </c>
      <c r="AC172" s="181">
        <f>1*SQRT($B$4/Table_03[[#This Row],[Strength (ksi)]])</f>
        <v>24.083189157584592</v>
      </c>
      <c r="AD172" s="181">
        <f>(PI()^2*$B$4/(12*$B$5/Table_03[[#This Row],[rts]])^2)*SQRT(1+0.078*(Table_03[[#This Row],[J*]]/(Table_03[[#This Row],[Static Parameters Elastic Section Modulus Sx (in3)2]]*Table_03[[#This Row],[ho]])*$B$4/(12*$B$5/Table_03[[#This Row],[rts]])^2))</f>
        <v>63.350819664107632</v>
      </c>
      <c r="AE172" s="181">
        <f>0.69*$B$4/Table_03[[#This Row],[b/t]]^2</f>
        <v>359.2995600000001</v>
      </c>
      <c r="AF172" s="183">
        <f>Table_03[[#This Row],[Strength (ksi)]]*Table_03[[#This Row],[Static Parameters Plastic Section Modulus Zx (in3)]]</f>
        <v>1613.7903375000001</v>
      </c>
      <c r="AG172" s="181">
        <f>Table_03[[#This Row],[Mp (k-in)]]-(Table_03[[#This Row],[Mp (k-in)]]-0.7*Table_03[[#This Row],[Strength (ksi)]]*Table_03[[#This Row],[Static Parameters Elastic Section Modulus Sx (in3)2]])*((Table_03[[#This Row],[b/t]]-Table_03[[#This Row],[λpf]])/(Table_03[[#This Row],[λrf]]-Table_03[[#This Row],[λpf]]))</f>
        <v>1681.5200983421378</v>
      </c>
      <c r="AH172" s="184">
        <f>0.9*$B$4*Table_03[[#This Row],[kc]]*Table_03[[#This Row],[Static Parameters Elastic Section Modulus Sx (in3)2]]/Table_03[[#This Row],[b/t]]^2</f>
        <v>7033.6158478361394</v>
      </c>
      <c r="AI172" s="185" t="str">
        <f>IF(Table_03[[#This Row],[b/t]]&lt;Table_03[[#This Row],[λpf]],"Compact",IF(AND(Table_03[[#This Row],[b/t]]&gt;Table_03[[#This Row],[λpf]],Table_03[[#This Row],[λrf]]&gt;Table_03[[#This Row],[b/t]]),"Non-Compact","Slender"))</f>
        <v>Compact</v>
      </c>
      <c r="AJ172" s="186">
        <f>IF(Table_03[[#This Row],[Controlling LBx]]="Compact",Table_03[[#This Row],[Mp (k-in)]],IF(Table_03[[#This Row],[Controlling LBx]]="Non-Compact",Table_03[[#This Row],[Mnlb,Non-Compact (k-in)]],IF(Table_03[[#This Row],[Controlling LBx]]="Slender",Table_03[[#This Row],[Mnlb,slender (k-in)]],"ERROR")))</f>
        <v>1613.7903375000001</v>
      </c>
      <c r="AK172" s="183">
        <f>Table_03[[#This Row],[Mp (k-in)]]-(Table_03[[#This Row],[Mp (k-in)]]-0.7*Table_03[[#This Row],[Strength (ksi)]]*Table_03[[#This Row],[Static Parameters Elastic Section Modulus Sx (in3)2]])*(($B$5-Table_03[[#This Row],[Lp (ft)]])/(Table_03[[#This Row],[Lr]]-Table_03[[#This Row],[Lp (ft)]]))</f>
        <v>1302.5358977614696</v>
      </c>
      <c r="AL172" s="184">
        <f>Table_03[[#This Row],[Fcrx]]*Table_03[[#This Row],[Static Parameters Elastic Section Modulus Sx (in3)2]]</f>
        <v>1837.1737702591213</v>
      </c>
      <c r="AM172" s="185" t="str">
        <f>IF($B$5&lt;Table_03[[#This Row],[Lp (ft)]],"Yielding Controls",IF(AND($B$5&gt;Table_03[[#This Row],[Lp (ft)]],Table_03[[#This Row],[Lr]]&gt;$B$5),"Mltb,p Controls","Mltb,r Controls"))</f>
        <v>Mltb,p Controls</v>
      </c>
      <c r="AN172" s="186">
        <f>IF(Table_03[[#This Row],[Controlling LTB]]="Yielding Controls",Table_03[[#This Row],[Mp (k-in)]],IF(Table_03[[#This Row],[Controlling LTB]]="Mltb,p Controls",Table_03[[#This Row],[Mnltbp (k-in)]],IF(Table_03[[#This Row],[Controlling LTB]]="Mltb,r Controls",Table_03[[#This Row],[Mnltbr (k-in)]],"ERROR")))</f>
        <v>1302.5358977614696</v>
      </c>
      <c r="AO172" s="183">
        <f>MIN(Table_03[[#This Row],[Strength (ksi)]]*Table_03[[#This Row],[Static Parameters Plastic Section Modulus Zy (in3)]],1.6*Table_03[[#This Row],[Strength (ksi)]]*Table_03[[#This Row],[Static Parameters Elastic Section Modulus Sy (in3)3]])</f>
        <v>218.0175375</v>
      </c>
      <c r="AP172" s="181">
        <f>MIN(Table_03[[#This Row],[Mny (k-in)]],Table_03[[#This Row],[Mny (k-in)]]-(Table_03[[#This Row],[Mny (k-in)]]-0.7*Table_03[[#This Row],[Static Parameters Elastic Section Modulus Sy (in3)3]]*Table_03[[#This Row],[Strength (ksi)]])*((Table_03[[#This Row],[b/t]]-Table_03[[#This Row],[λpf]])/(Table_03[[#This Row],[λrf]]-Table_03[[#This Row],[λpf]])))</f>
        <v>218.0175375</v>
      </c>
      <c r="AQ172" s="184">
        <f>MIN(Table_03[[#This Row],[Mny (k-in)]],Table_03[[#This Row],[Fcry]]*Table_03[[#This Row],[Static Parameters Elastic Section Modulus Sy (in3)3]])</f>
        <v>218.0175375</v>
      </c>
      <c r="AR172" s="185" t="str">
        <f>IF(Table_03[[#This Row],[b/t]]&lt;Table_03[[#This Row],[λpf]],"Compact",IF(AND(Table_03[[#This Row],[b/t]]&gt;Table_03[[#This Row],[λpf]],Table_03[[#This Row],[λrf]]&gt;Table_03[[#This Row],[b/t]]),"Non-Compact","Slender"))</f>
        <v>Compact</v>
      </c>
      <c r="AS172" s="186">
        <f>IF(Table_03[[#This Row],[Controlling Lby]]="Compact",Table_03[[#This Row],[Mny (k-in)]],IF(Table_03[[#This Row],[Controlling Lby]]="Non-Compact",Table_03[[#This Row],[Mlby,Non-Compact (k-in)]],IF(Table_03[[#This Row],[Controlling Lby]]="Slender",Table_03[[#This Row],[Mlby,Slender (k-in)]],"ERROR")))</f>
        <v>218.0175375</v>
      </c>
      <c r="AT172" s="183">
        <f>MIN(Table_03[[#This Row],[LBx]],Table_03[[#This Row],[LTB]],Table_03[[#This Row],[Mp (k-in)]])</f>
        <v>1302.5358977614696</v>
      </c>
      <c r="AU172" s="181">
        <f>Table_03[[#This Row],[Mp (k-in)]]</f>
        <v>1613.7903375000001</v>
      </c>
      <c r="AV172" s="181">
        <f>MIN(Table_03[[#This Row],[LBy]],Table_03[[#This Row],[Mny (k-in)]])</f>
        <v>218.0175375</v>
      </c>
      <c r="AW172" s="187">
        <f>Table_03[[#This Row],[Mny (k-in)]]</f>
        <v>218.0175375</v>
      </c>
      <c r="AX172" s="165">
        <f>SQRT(((Table_03[[#This Row],[Sectional Area (in2)]]-(Table_03[[#This Row],[Flange Thickness tf (in)]]*Table_03[[#This Row],[Width w (in)]]*2+Table_03[[#This Row],[Web Thickness tw (in)]]*((Table_03[[#This Row],[Depth h (in)]]-2*Table_03[[#This Row],[Flange Thickness tf (in)]]))))/4)/(1-PI()/4))</f>
        <v>0.39495132543485195</v>
      </c>
      <c r="AY172" s="165">
        <f>IF(4/SQRT((Table_03[[#This Row],[Depth h (in)]]-Table_03[[#This Row],[Flange Thickness tf (in)]]*2)/Table_03[[#This Row],[Web Thickness tw (in)]])&lt;0.35,0.35,IF(4/SQRT(Table_03[[#This Row],[Depth h (in)]]/Table_03[[#This Row],[Web Thickness tw (in)]])&gt;0.76,0.76,4/SQRT(Table_03[[#This Row],[Depth h (in)]]/Table_03[[#This Row],[Web Thickness tw (in)]])))</f>
        <v>0.51752405734151119</v>
      </c>
      <c r="AZ172" s="165"/>
    </row>
    <row r="173" spans="1:52" x14ac:dyDescent="0.3">
      <c r="A173" s="188" t="s">
        <v>265</v>
      </c>
      <c r="B173" s="189">
        <v>13.79</v>
      </c>
      <c r="C173" s="189">
        <v>8.0299999999999994</v>
      </c>
      <c r="D173" s="189">
        <v>0.34</v>
      </c>
      <c r="E173" s="189">
        <v>0.59499999999999997</v>
      </c>
      <c r="F173" s="190">
        <v>14.1</v>
      </c>
      <c r="G173" s="189">
        <v>48</v>
      </c>
      <c r="H173" s="190">
        <v>485</v>
      </c>
      <c r="I173" s="190">
        <v>51.4</v>
      </c>
      <c r="J173" s="190">
        <f>Table_03[[#This Row],[Width w (in)]]*Table_03[[#This Row],[Flange Thickness tf (in)]]*(Table_03[[#This Row],[Depth h (in)]]-Table_03[[#This Row],[Flange Thickness tf (in)]])+0.25*Table_03[[#This Row],[Web Thickness tw (in)]]*(Table_03[[#This Row],[Depth h (in)]]-2*Table_03[[#This Row],[Flange Thickness tf (in)]])^2</f>
        <v>76.538330749999986</v>
      </c>
      <c r="K173" s="190">
        <f>(Table_03[[#This Row],[Width w (in)]]^2*Table_03[[#This Row],[Flange Thickness tf (in)]])/2+0.25*Table_03[[#This Row],[Web Thickness tw (in)]]^2*(Table_03[[#This Row],[Depth h (in)]]-2*Table_03[[#This Row],[Flange Thickness tf (in)]])</f>
        <v>19.547207749999995</v>
      </c>
      <c r="L173" s="190">
        <v>70.3</v>
      </c>
      <c r="M173" s="190">
        <v>12.8</v>
      </c>
      <c r="N173" s="191">
        <v>50</v>
      </c>
      <c r="O173" s="169">
        <f>SQRT(Table_03[[#This Row],[Static Parameters Moment of Inertia Ix (in4)]]/Table_03[[#This Row],[Sectional Area (in2)]])</f>
        <v>5.8649094724954942</v>
      </c>
      <c r="P173" s="190">
        <f>SQRT(Table_03[[#This Row],[Static Parameters Moment of Inertia Iy (in4)]]/Table_03[[#This Row],[Sectional Area (in2)]])</f>
        <v>1.9092904626907834</v>
      </c>
      <c r="Q173" s="190">
        <f>($B$6*$B$5*12)/Table_03[[#This Row],[ry (in)2]]</f>
        <v>94.04017016193454</v>
      </c>
      <c r="R173" s="190">
        <f>(PI()^2*$B$4)/(Table_03[[#This Row],[KL/ry]]^2)</f>
        <v>32.364651184944726</v>
      </c>
      <c r="S173" s="190">
        <f>IF(Table_03[[#This Row],[Strength (ksi)]]/Table_03[[#This Row],[Fe,y]]&lt;2.25,(0.658^(Table_03[[#This Row],[Strength (ksi)]]/Table_03[[#This Row],[Fe,y]])*Table_03[[#This Row],[Strength (ksi)]]),0.877*Table_03[[#This Row],[Fe,y]])</f>
        <v>26.190755584334752</v>
      </c>
      <c r="T173" s="190">
        <f>Table_03[[#This Row],[Fcr,y]]*Table_03[[#This Row],[Sectional Area (in2)]]</f>
        <v>369.28965373912001</v>
      </c>
      <c r="U173" s="190">
        <f>1.76*Table_03[[#This Row],[ry (in)2]]*SQRT($B$4/Table_03[[#This Row],[Strength (ksi)]])/12</f>
        <v>6.7439978275639705</v>
      </c>
      <c r="V17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20.545644082089932</v>
      </c>
      <c r="W173" s="190">
        <f>Table_03[[#This Row],[Depth h (in)]]-Table_03[[#This Row],[Flange Thickness tf (in)]]</f>
        <v>13.194999999999999</v>
      </c>
      <c r="X173" s="190">
        <f>(Table_03[[#This Row],[Static Parameters Moment of Inertia Iy (in4)]]*Table_03[[#This Row],[ho]]^2)/4</f>
        <v>2237.2881212499997</v>
      </c>
      <c r="Y173" s="190">
        <f>SQRT((SQRT(Table_03[[#This Row],[Static Parameters Moment of Inertia Iy (in4)]]*Table_03[[#This Row],[Cw*]])/Table_03[[#This Row],[Static Parameters Elastic Section Modulus Sx (in3)2]]))</f>
        <v>2.1963097849365991</v>
      </c>
      <c r="Z173" s="190">
        <f>(2*Table_03[[#This Row],[Width w (in)]]*Table_03[[#This Row],[Flange Thickness tf (in)]]^3/3)+((Table_03[[#This Row],[Depth h (in)]]-Table_03[[#This Row],[Flange Thickness tf (in)]]*2)*Table_03[[#This Row],[Web Thickness tw (in)]]^3)/3</f>
        <v>1.2927290308333332</v>
      </c>
      <c r="AA173" s="190">
        <f>Table_03[[#This Row],[Width w (in)]]*0.5/Table_03[[#This Row],[Flange Thickness tf (in)]]</f>
        <v>6.7478991596638656</v>
      </c>
      <c r="AB173" s="190">
        <f>0.38*SQRT($B$4/Table_03[[#This Row],[Strength (ksi)]])</f>
        <v>9.1516118798821449</v>
      </c>
      <c r="AC173" s="190">
        <f>1*SQRT($B$4/Table_03[[#This Row],[Strength (ksi)]])</f>
        <v>24.083189157584592</v>
      </c>
      <c r="AD173" s="190">
        <f>(PI()^2*$B$4/(12*$B$5/Table_03[[#This Row],[rts]])^2)*SQRT(1+0.078*(Table_03[[#This Row],[J*]]/(Table_03[[#This Row],[Static Parameters Elastic Section Modulus Sx (in3)2]]*Table_03[[#This Row],[ho]])*$B$4/(12*$B$5/Table_03[[#This Row],[rts]])^2))</f>
        <v>189.0618624909506</v>
      </c>
      <c r="AE173" s="190">
        <f>0.69*$B$4/Table_03[[#This Row],[b/t]]^2</f>
        <v>439.45045742227546</v>
      </c>
      <c r="AF173" s="192">
        <f>Table_03[[#This Row],[Strength (ksi)]]*Table_03[[#This Row],[Static Parameters Plastic Section Modulus Zx (in3)]]</f>
        <v>3826.9165374999993</v>
      </c>
      <c r="AG173" s="190">
        <f>Table_03[[#This Row],[Mp (k-in)]]-(Table_03[[#This Row],[Mp (k-in)]]-0.7*Table_03[[#This Row],[Strength (ksi)]]*Table_03[[#This Row],[Static Parameters Elastic Section Modulus Sx (in3)2]])*((Table_03[[#This Row],[b/t]]-Table_03[[#This Row],[λpf]])/(Table_03[[#This Row],[λrf]]-Table_03[[#This Row],[λpf]]))</f>
        <v>4046.8847800519848</v>
      </c>
      <c r="AH173" s="193">
        <f>0.9*$B$4*Table_03[[#This Row],[kc]]*Table_03[[#This Row],[Static Parameters Elastic Section Modulus Sx (in3)2]]/Table_03[[#This Row],[b/t]]^2</f>
        <v>25309.05801600622</v>
      </c>
      <c r="AI173" s="194" t="str">
        <f>IF(Table_03[[#This Row],[b/t]]&lt;Table_03[[#This Row],[λpf]],"Compact",IF(AND(Table_03[[#This Row],[b/t]]&gt;Table_03[[#This Row],[λpf]],Table_03[[#This Row],[λrf]]&gt;Table_03[[#This Row],[b/t]]),"Non-Compact","Slender"))</f>
        <v>Compact</v>
      </c>
      <c r="AJ173" s="195">
        <f>IF(Table_03[[#This Row],[Controlling LBx]]="Compact",Table_03[[#This Row],[Mp (k-in)]],IF(Table_03[[#This Row],[Controlling LBx]]="Non-Compact",Table_03[[#This Row],[Mnlb,Non-Compact (k-in)]],IF(Table_03[[#This Row],[Controlling LBx]]="Slender",Table_03[[#This Row],[Mnlb,slender (k-in)]],"ERROR")))</f>
        <v>3826.9165374999993</v>
      </c>
      <c r="AK173" s="192">
        <f>Table_03[[#This Row],[Mp (k-in)]]-(Table_03[[#This Row],[Mp (k-in)]]-0.7*Table_03[[#This Row],[Strength (ksi)]]*Table_03[[#This Row],[Static Parameters Elastic Section Modulus Sx (in3)2]])*(($B$5-Table_03[[#This Row],[Lp (ft)]])/(Table_03[[#This Row],[Lr]]-Table_03[[#This Row],[Lp (ft)]]))</f>
        <v>3789.1958439219202</v>
      </c>
      <c r="AL173" s="196">
        <f>Table_03[[#This Row],[Fcrx]]*Table_03[[#This Row],[Static Parameters Elastic Section Modulus Sx (in3)2]]</f>
        <v>13291.048933113827</v>
      </c>
      <c r="AM173" s="197" t="str">
        <f>IF($B$5&lt;Table_03[[#This Row],[Lp (ft)]],"Yielding Controls",IF(AND($B$5&gt;Table_03[[#This Row],[Lp (ft)]],Table_03[[#This Row],[Lr]]&gt;$B$5),"Mltb,p Controls","Mltb,r Controls"))</f>
        <v>Mltb,p Controls</v>
      </c>
      <c r="AN173" s="198">
        <f>IF(Table_03[[#This Row],[Controlling LTB]]="Yielding Controls",Table_03[[#This Row],[Mp (k-in)]],IF(Table_03[[#This Row],[Controlling LTB]]="Mltb,p Controls",Table_03[[#This Row],[Mnltbp (k-in)]],IF(Table_03[[#This Row],[Controlling LTB]]="Mltb,r Controls",Table_03[[#This Row],[Mnltbr (k-in)]],"ERROR")))</f>
        <v>3789.1958439219202</v>
      </c>
      <c r="AO173" s="199">
        <f>MIN(Table_03[[#This Row],[Strength (ksi)]]*Table_03[[#This Row],[Static Parameters Plastic Section Modulus Zy (in3)]],1.6*Table_03[[#This Row],[Strength (ksi)]]*Table_03[[#This Row],[Static Parameters Elastic Section Modulus Sy (in3)3]])</f>
        <v>977.36038749999977</v>
      </c>
      <c r="AP173" s="169">
        <f>MIN(Table_03[[#This Row],[Mny (k-in)]],Table_03[[#This Row],[Mny (k-in)]]-(Table_03[[#This Row],[Mny (k-in)]]-0.7*Table_03[[#This Row],[Static Parameters Elastic Section Modulus Sy (in3)3]]*Table_03[[#This Row],[Strength (ksi)]])*((Table_03[[#This Row],[b/t]]-Table_03[[#This Row],[λpf]])/(Table_03[[#This Row],[λrf]]-Table_03[[#This Row],[λpf]])))</f>
        <v>977.36038749999977</v>
      </c>
      <c r="AQ173" s="196">
        <f>MIN(Table_03[[#This Row],[Mny (k-in)]],Table_03[[#This Row],[Fcry]]*Table_03[[#This Row],[Static Parameters Elastic Section Modulus Sy (in3)3]])</f>
        <v>977.36038749999977</v>
      </c>
      <c r="AR173" s="197" t="str">
        <f>IF(Table_03[[#This Row],[b/t]]&lt;Table_03[[#This Row],[λpf]],"Compact",IF(AND(Table_03[[#This Row],[b/t]]&gt;Table_03[[#This Row],[λpf]],Table_03[[#This Row],[λrf]]&gt;Table_03[[#This Row],[b/t]]),"Non-Compact","Slender"))</f>
        <v>Compact</v>
      </c>
      <c r="AS173" s="198">
        <f>IF(Table_03[[#This Row],[Controlling Lby]]="Compact",Table_03[[#This Row],[Mny (k-in)]],IF(Table_03[[#This Row],[Controlling Lby]]="Non-Compact",Table_03[[#This Row],[Mlby,Non-Compact (k-in)]],IF(Table_03[[#This Row],[Controlling Lby]]="Slender",Table_03[[#This Row],[Mlby,Slender (k-in)]],"ERROR")))</f>
        <v>977.36038749999977</v>
      </c>
      <c r="AT173" s="199">
        <f>MIN(Table_03[[#This Row],[LBx]],Table_03[[#This Row],[LTB]],Table_03[[#This Row],[Mp (k-in)]])</f>
        <v>3789.1958439219202</v>
      </c>
      <c r="AU173" s="169">
        <f>Table_03[[#This Row],[Mp (k-in)]]</f>
        <v>3826.9165374999993</v>
      </c>
      <c r="AV173" s="169">
        <f>MIN(Table_03[[#This Row],[LBy]],Table_03[[#This Row],[Mny (k-in)]])</f>
        <v>977.36038749999977</v>
      </c>
      <c r="AW173" s="200">
        <f>Table_03[[#This Row],[Mny (k-in)]]</f>
        <v>977.36038749999977</v>
      </c>
      <c r="AX173" s="165">
        <f>SQRT(((Table_03[[#This Row],[Sectional Area (in2)]]-(Table_03[[#This Row],[Flange Thickness tf (in)]]*Table_03[[#This Row],[Width w (in)]]*2+Table_03[[#This Row],[Web Thickness tw (in)]]*((Table_03[[#This Row],[Depth h (in)]]-2*Table_03[[#This Row],[Flange Thickness tf (in)]]))))/4)/(1-PI()/4))</f>
        <v>0.55066867374005768</v>
      </c>
      <c r="AY173" s="165">
        <f>IF(4/SQRT((Table_03[[#This Row],[Depth h (in)]]-Table_03[[#This Row],[Flange Thickness tf (in)]]*2)/Table_03[[#This Row],[Web Thickness tw (in)]])&lt;0.35,0.35,IF(4/SQRT(Table_03[[#This Row],[Depth h (in)]]/Table_03[[#This Row],[Web Thickness tw (in)]])&gt;0.76,0.76,4/SQRT(Table_03[[#This Row],[Depth h (in)]]/Table_03[[#This Row],[Web Thickness tw (in)]])))</f>
        <v>0.62808340208207503</v>
      </c>
      <c r="AZ173" s="165"/>
    </row>
    <row r="174" spans="1:52" ht="14.4" thickBot="1" x14ac:dyDescent="0.35">
      <c r="A174" s="201" t="s">
        <v>266</v>
      </c>
      <c r="B174" s="202">
        <v>13.84</v>
      </c>
      <c r="C174" s="202">
        <v>6.73</v>
      </c>
      <c r="D174" s="202">
        <v>0.27</v>
      </c>
      <c r="E174" s="202">
        <v>0.38500000000000001</v>
      </c>
      <c r="F174" s="203">
        <v>8.85</v>
      </c>
      <c r="G174" s="204">
        <v>30</v>
      </c>
      <c r="H174" s="203">
        <v>291</v>
      </c>
      <c r="I174" s="203">
        <v>19.600000000000001</v>
      </c>
      <c r="J174" s="203">
        <f>Table_03[[#This Row],[Width w (in)]]*Table_03[[#This Row],[Flange Thickness tf (in)]]*(Table_03[[#This Row],[Depth h (in)]]-Table_03[[#This Row],[Flange Thickness tf (in)]])+0.25*Table_03[[#This Row],[Web Thickness tw (in)]]*(Table_03[[#This Row],[Depth h (in)]]-2*Table_03[[#This Row],[Flange Thickness tf (in)]])^2</f>
        <v>46.393258500000002</v>
      </c>
      <c r="K174" s="203">
        <f>(Table_03[[#This Row],[Width w (in)]]^2*Table_03[[#This Row],[Flange Thickness tf (in)]])/2+0.25*Table_03[[#This Row],[Web Thickness tw (in)]]^2*(Table_03[[#This Row],[Depth h (in)]]-2*Table_03[[#This Row],[Flange Thickness tf (in)]])</f>
        <v>8.9570840000000018</v>
      </c>
      <c r="L174" s="203">
        <v>42</v>
      </c>
      <c r="M174" s="203">
        <v>5.8</v>
      </c>
      <c r="N174" s="205">
        <v>50</v>
      </c>
      <c r="O174" s="206">
        <f>SQRT(Table_03[[#This Row],[Static Parameters Moment of Inertia Ix (in4)]]/Table_03[[#This Row],[Sectional Area (in2)]])</f>
        <v>5.7342267074299906</v>
      </c>
      <c r="P174" s="203">
        <f>SQRT(Table_03[[#This Row],[Static Parameters Moment of Inertia Iy (in4)]]/Table_03[[#This Row],[Sectional Area (in2)]])</f>
        <v>1.488183209667655</v>
      </c>
      <c r="Q174" s="203">
        <f>($B$6*$B$5*12)/Table_03[[#This Row],[ry (in)2]]</f>
        <v>120.65046751877921</v>
      </c>
      <c r="R174" s="203">
        <f>(PI()^2*$B$4)/(Table_03[[#This Row],[KL/ry]]^2)</f>
        <v>19.662544794282855</v>
      </c>
      <c r="S174" s="203">
        <f>IF(Table_03[[#This Row],[Strength (ksi)]]/Table_03[[#This Row],[Fe,y]]&lt;2.25,(0.658^(Table_03[[#This Row],[Strength (ksi)]]/Table_03[[#This Row],[Fe,y]])*Table_03[[#This Row],[Strength (ksi)]]),0.877*Table_03[[#This Row],[Fe,y]])</f>
        <v>17.244051784586063</v>
      </c>
      <c r="T174" s="203">
        <f>Table_03[[#This Row],[Fcr,y]]*Table_03[[#This Row],[Sectional Area (in2)]]</f>
        <v>152.60985829358665</v>
      </c>
      <c r="U174" s="203">
        <f>1.76*Table_03[[#This Row],[ry (in)2]]*SQRT($B$4/Table_03[[#This Row],[Strength (ksi)]])/12</f>
        <v>5.2565623351365671</v>
      </c>
      <c r="V17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14.707353187462274</v>
      </c>
      <c r="W174" s="203">
        <f>Table_03[[#This Row],[Depth h (in)]]-Table_03[[#This Row],[Flange Thickness tf (in)]]</f>
        <v>13.455</v>
      </c>
      <c r="X174" s="203">
        <f>(Table_03[[#This Row],[Static Parameters Moment of Inertia Iy (in4)]]*Table_03[[#This Row],[ho]]^2)/4</f>
        <v>887.08142250000003</v>
      </c>
      <c r="Y174" s="203">
        <f>SQRT((SQRT(Table_03[[#This Row],[Static Parameters Moment of Inertia Iy (in4)]]*Table_03[[#This Row],[Cw*]])/Table_03[[#This Row],[Static Parameters Elastic Section Modulus Sx (in3)2]]))</f>
        <v>1.7718634258881243</v>
      </c>
      <c r="Z174" s="203">
        <f>(2*Table_03[[#This Row],[Width w (in)]]*Table_03[[#This Row],[Flange Thickness tf (in)]]^3/3)+((Table_03[[#This Row],[Depth h (in)]]-Table_03[[#This Row],[Flange Thickness tf (in)]]*2)*Table_03[[#This Row],[Web Thickness tw (in)]]^3)/3</f>
        <v>0.3417911941666667</v>
      </c>
      <c r="AA174" s="203">
        <f>Table_03[[#This Row],[Width w (in)]]*0.5/Table_03[[#This Row],[Flange Thickness tf (in)]]</f>
        <v>8.7402597402597397</v>
      </c>
      <c r="AB174" s="203">
        <f>0.38*SQRT($B$4/Table_03[[#This Row],[Strength (ksi)]])</f>
        <v>9.1516118798821449</v>
      </c>
      <c r="AC174" s="203">
        <f>1*SQRT($B$4/Table_03[[#This Row],[Strength (ksi)]])</f>
        <v>24.083189157584592</v>
      </c>
      <c r="AD174" s="203">
        <f>(PI()^2*$B$4/(12*$B$5/Table_03[[#This Row],[rts]])^2)*SQRT(1+0.078*(Table_03[[#This Row],[J*]]/(Table_03[[#This Row],[Static Parameters Elastic Section Modulus Sx (in3)2]]*Table_03[[#This Row],[ho]])*$B$4/(12*$B$5/Table_03[[#This Row],[rts]])^2))</f>
        <v>122.9570825004256</v>
      </c>
      <c r="AE174" s="203">
        <f>0.69*$B$4/Table_03[[#This Row],[b/t]]^2</f>
        <v>261.93794170830307</v>
      </c>
      <c r="AF174" s="207">
        <f>Table_03[[#This Row],[Strength (ksi)]]*Table_03[[#This Row],[Static Parameters Plastic Section Modulus Zx (in3)]]</f>
        <v>2319.6629250000001</v>
      </c>
      <c r="AG174" s="203">
        <f>Table_03[[#This Row],[Mp (k-in)]]-(Table_03[[#This Row],[Mp (k-in)]]-0.7*Table_03[[#This Row],[Strength (ksi)]]*Table_03[[#This Row],[Static Parameters Elastic Section Modulus Sx (in3)2]])*((Table_03[[#This Row],[b/t]]-Table_03[[#This Row],[λpf]])/(Table_03[[#This Row],[λrf]]-Table_03[[#This Row],[λpf]]))</f>
        <v>2343.0704093974127</v>
      </c>
      <c r="AH174" s="208">
        <f>0.9*$B$4*Table_03[[#This Row],[kc]]*Table_03[[#This Row],[Static Parameters Elastic Section Modulus Sx (in3)2]]/Table_03[[#This Row],[b/t]]^2</f>
        <v>8017.0565681705039</v>
      </c>
      <c r="AI174" s="209" t="str">
        <f>IF(Table_03[[#This Row],[b/t]]&lt;Table_03[[#This Row],[λpf]],"Compact",IF(AND(Table_03[[#This Row],[b/t]]&gt;Table_03[[#This Row],[λpf]],Table_03[[#This Row],[λrf]]&gt;Table_03[[#This Row],[b/t]]),"Non-Compact","Slender"))</f>
        <v>Compact</v>
      </c>
      <c r="AJ174" s="210">
        <f>IF(Table_03[[#This Row],[Controlling LBx]]="Compact",Table_03[[#This Row],[Mp (k-in)]],IF(Table_03[[#This Row],[Controlling LBx]]="Non-Compact",Table_03[[#This Row],[Mnlb,Non-Compact (k-in)]],IF(Table_03[[#This Row],[Controlling LBx]]="Slender",Table_03[[#This Row],[Mnlb,slender (k-in)]],"ERROR")))</f>
        <v>2319.6629250000001</v>
      </c>
      <c r="AK174" s="207">
        <f>Table_03[[#This Row],[Mp (k-in)]]-(Table_03[[#This Row],[Mp (k-in)]]-0.7*Table_03[[#This Row],[Strength (ksi)]]*Table_03[[#This Row],[Static Parameters Elastic Section Modulus Sx (in3)2]])*(($B$5-Table_03[[#This Row],[Lp (ft)]])/(Table_03[[#This Row],[Lr]]-Table_03[[#This Row],[Lp (ft)]]))</f>
        <v>2151.683098092989</v>
      </c>
      <c r="AL174" s="211">
        <f>Table_03[[#This Row],[Fcrx]]*Table_03[[#This Row],[Static Parameters Elastic Section Modulus Sx (in3)2]]</f>
        <v>5164.1974650178754</v>
      </c>
      <c r="AM174" s="212" t="str">
        <f>IF($B$5&lt;Table_03[[#This Row],[Lp (ft)]],"Yielding Controls",IF(AND($B$5&gt;Table_03[[#This Row],[Lp (ft)]],Table_03[[#This Row],[Lr]]&gt;$B$5),"Mltb,p Controls","Mltb,r Controls"))</f>
        <v>Mltb,p Controls</v>
      </c>
      <c r="AN174" s="213">
        <f>IF(Table_03[[#This Row],[Controlling LTB]]="Yielding Controls",Table_03[[#This Row],[Mp (k-in)]],IF(Table_03[[#This Row],[Controlling LTB]]="Mltb,p Controls",Table_03[[#This Row],[Mnltbp (k-in)]],IF(Table_03[[#This Row],[Controlling LTB]]="Mltb,r Controls",Table_03[[#This Row],[Mnltbr (k-in)]],"ERROR")))</f>
        <v>2151.683098092989</v>
      </c>
      <c r="AO174" s="214">
        <f>MIN(Table_03[[#This Row],[Strength (ksi)]]*Table_03[[#This Row],[Static Parameters Plastic Section Modulus Zy (in3)]],1.6*Table_03[[#This Row],[Strength (ksi)]]*Table_03[[#This Row],[Static Parameters Elastic Section Modulus Sy (in3)3]])</f>
        <v>447.85420000000011</v>
      </c>
      <c r="AP174" s="206">
        <f>MIN(Table_03[[#This Row],[Mny (k-in)]],Table_03[[#This Row],[Mny (k-in)]]-(Table_03[[#This Row],[Mny (k-in)]]-0.7*Table_03[[#This Row],[Static Parameters Elastic Section Modulus Sy (in3)3]]*Table_03[[#This Row],[Strength (ksi)]])*((Table_03[[#This Row],[b/t]]-Table_03[[#This Row],[λpf]])/(Table_03[[#This Row],[λrf]]-Table_03[[#This Row],[λpf]])))</f>
        <v>447.85420000000011</v>
      </c>
      <c r="AQ174" s="211">
        <f>MIN(Table_03[[#This Row],[Mny (k-in)]],Table_03[[#This Row],[Fcry]]*Table_03[[#This Row],[Static Parameters Elastic Section Modulus Sy (in3)3]])</f>
        <v>447.85420000000011</v>
      </c>
      <c r="AR174" s="212" t="str">
        <f>IF(Table_03[[#This Row],[b/t]]&lt;Table_03[[#This Row],[λpf]],"Compact",IF(AND(Table_03[[#This Row],[b/t]]&gt;Table_03[[#This Row],[λpf]],Table_03[[#This Row],[λrf]]&gt;Table_03[[#This Row],[b/t]]),"Non-Compact","Slender"))</f>
        <v>Compact</v>
      </c>
      <c r="AS174" s="213">
        <f>IF(Table_03[[#This Row],[Controlling Lby]]="Compact",Table_03[[#This Row],[Mny (k-in)]],IF(Table_03[[#This Row],[Controlling Lby]]="Non-Compact",Table_03[[#This Row],[Mlby,Non-Compact (k-in)]],IF(Table_03[[#This Row],[Controlling Lby]]="Slender",Table_03[[#This Row],[Mlby,Slender (k-in)]],"ERROR")))</f>
        <v>447.85420000000011</v>
      </c>
      <c r="AT174" s="214">
        <f>MIN(Table_03[[#This Row],[LBx]],Table_03[[#This Row],[LTB]],Table_03[[#This Row],[Mp (k-in)]])</f>
        <v>2151.683098092989</v>
      </c>
      <c r="AU174" s="206">
        <f>Table_03[[#This Row],[Mp (k-in)]]</f>
        <v>2319.6629250000001</v>
      </c>
      <c r="AV174" s="206">
        <f>MIN(Table_03[[#This Row],[LBy]],Table_03[[#This Row],[Mny (k-in)]])</f>
        <v>447.85420000000011</v>
      </c>
      <c r="AW174" s="215">
        <f>Table_03[[#This Row],[Mny (k-in)]]</f>
        <v>447.85420000000011</v>
      </c>
      <c r="AX174" s="165">
        <f>SQRT(((Table_03[[#This Row],[Sectional Area (in2)]]-(Table_03[[#This Row],[Flange Thickness tf (in)]]*Table_03[[#This Row],[Width w (in)]]*2+Table_03[[#This Row],[Web Thickness tw (in)]]*((Table_03[[#This Row],[Depth h (in)]]-2*Table_03[[#This Row],[Flange Thickness tf (in)]]))))/4)/(1-PI()/4))</f>
        <v>0.40240251580949382</v>
      </c>
      <c r="AY174" s="165">
        <f>IF(4/SQRT((Table_03[[#This Row],[Depth h (in)]]-Table_03[[#This Row],[Flange Thickness tf (in)]]*2)/Table_03[[#This Row],[Web Thickness tw (in)]])&lt;0.35,0.35,IF(4/SQRT(Table_03[[#This Row],[Depth h (in)]]/Table_03[[#This Row],[Web Thickness tw (in)]])&gt;0.76,0.76,4/SQRT(Table_03[[#This Row],[Depth h (in)]]/Table_03[[#This Row],[Web Thickness tw (in)]])))</f>
        <v>0.5586937697197808</v>
      </c>
      <c r="AZ174" s="165"/>
    </row>
    <row r="175" spans="1:52" x14ac:dyDescent="0.3">
      <c r="A175" s="179" t="s">
        <v>267</v>
      </c>
      <c r="B175" s="180">
        <v>13.89</v>
      </c>
      <c r="C175" s="180">
        <v>9.9949999999999992</v>
      </c>
      <c r="D175" s="180">
        <v>0.375</v>
      </c>
      <c r="E175" s="180">
        <v>0.64500000000000002</v>
      </c>
      <c r="F175" s="181">
        <v>17.899999999999999</v>
      </c>
      <c r="G175" s="180">
        <v>61</v>
      </c>
      <c r="H175" s="180">
        <v>640</v>
      </c>
      <c r="I175" s="180">
        <v>107</v>
      </c>
      <c r="J175" s="181">
        <f>Table_03[[#This Row],[Width w (in)]]*Table_03[[#This Row],[Flange Thickness tf (in)]]*(Table_03[[#This Row],[Depth h (in)]]-Table_03[[#This Row],[Flange Thickness tf (in)]])+0.25*Table_03[[#This Row],[Web Thickness tw (in)]]*(Table_03[[#This Row],[Depth h (in)]]-2*Table_03[[#This Row],[Flange Thickness tf (in)]])^2</f>
        <v>100.27128487500001</v>
      </c>
      <c r="K175" s="181">
        <f>(Table_03[[#This Row],[Width w (in)]]^2*Table_03[[#This Row],[Flange Thickness tf (in)]])/2+0.25*Table_03[[#This Row],[Web Thickness tw (in)]]^2*(Table_03[[#This Row],[Depth h (in)]]-2*Table_03[[#This Row],[Flange Thickness tf (in)]])</f>
        <v>32.660726812499995</v>
      </c>
      <c r="L175" s="181">
        <v>92.2</v>
      </c>
      <c r="M175" s="181">
        <v>21.5</v>
      </c>
      <c r="N175" s="182">
        <v>50</v>
      </c>
      <c r="O175" s="181">
        <f>SQRT(Table_03[[#This Row],[Static Parameters Moment of Inertia Ix (in4)]]/Table_03[[#This Row],[Sectional Area (in2)]])</f>
        <v>5.979480742015487</v>
      </c>
      <c r="P175" s="181">
        <f>SQRT(Table_03[[#This Row],[Static Parameters Moment of Inertia Iy (in4)]]/Table_03[[#This Row],[Sectional Area (in2)]])</f>
        <v>2.4449240542979891</v>
      </c>
      <c r="Q175" s="181">
        <f>($B$6*$B$5*12)/Table_03[[#This Row],[ry (in)2]]</f>
        <v>73.437863922343467</v>
      </c>
      <c r="R175" s="181">
        <f>(PI()^2*$B$4)/(Table_03[[#This Row],[KL/ry]]^2)</f>
        <v>53.071048891078966</v>
      </c>
      <c r="S175" s="181">
        <f>IF(Table_03[[#This Row],[Strength (ksi)]]/Table_03[[#This Row],[Fe,y]]&lt;2.25,(0.658^(Table_03[[#This Row],[Strength (ksi)]]/Table_03[[#This Row],[Fe,y]])*Table_03[[#This Row],[Strength (ksi)]]),0.877*Table_03[[#This Row],[Fe,y]])</f>
        <v>33.706571026772465</v>
      </c>
      <c r="T175" s="181">
        <f>Table_03[[#This Row],[Fcr,y]]*Table_03[[#This Row],[Sectional Area (in2)]]</f>
        <v>603.34762137922712</v>
      </c>
      <c r="U175" s="181">
        <f>1.76*Table_03[[#This Row],[ry (in)2]]*SQRT($B$4/Table_03[[#This Row],[Strength (ksi)]])/12</f>
        <v>8.6359633764194399</v>
      </c>
      <c r="V17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26.887576117654021</v>
      </c>
      <c r="W175" s="181">
        <f>Table_03[[#This Row],[Depth h (in)]]-Table_03[[#This Row],[Flange Thickness tf (in)]]</f>
        <v>13.245000000000001</v>
      </c>
      <c r="X175" s="181">
        <f>(Table_03[[#This Row],[Static Parameters Moment of Inertia Iy (in4)]]*Table_03[[#This Row],[ho]]^2)/4</f>
        <v>4692.7531687500004</v>
      </c>
      <c r="Y175" s="181">
        <f>SQRT((SQRT(Table_03[[#This Row],[Static Parameters Moment of Inertia Iy (in4)]]*Table_03[[#This Row],[Cw*]])/Table_03[[#This Row],[Static Parameters Elastic Section Modulus Sx (in3)2]]))</f>
        <v>2.7722820423511627</v>
      </c>
      <c r="Z175" s="181">
        <f>(2*Table_03[[#This Row],[Width w (in)]]*Table_03[[#This Row],[Flange Thickness tf (in)]]^3/3)+((Table_03[[#This Row],[Depth h (in)]]-Table_03[[#This Row],[Flange Thickness tf (in)]]*2)*Table_03[[#This Row],[Web Thickness tw (in)]]^3)/3</f>
        <v>2.0094974212499999</v>
      </c>
      <c r="AA175" s="181">
        <f>Table_03[[#This Row],[Width w (in)]]*0.5/Table_03[[#This Row],[Flange Thickness tf (in)]]</f>
        <v>7.7480620155038755</v>
      </c>
      <c r="AB175" s="181">
        <f>0.38*SQRT($B$4/Table_03[[#This Row],[Strength (ksi)]])</f>
        <v>9.1516118798821449</v>
      </c>
      <c r="AC175" s="181">
        <f>1*SQRT($B$4/Table_03[[#This Row],[Strength (ksi)]])</f>
        <v>24.083189157584592</v>
      </c>
      <c r="AD175" s="181">
        <f>(PI()^2*$B$4/(12*$B$5/Table_03[[#This Row],[rts]])^2)*SQRT(1+0.078*(Table_03[[#This Row],[J*]]/(Table_03[[#This Row],[Static Parameters Elastic Section Modulus Sx (in3)2]]*Table_03[[#This Row],[ho]])*$B$4/(12*$B$5/Table_03[[#This Row],[rts]])^2))</f>
        <v>301.50077636202616</v>
      </c>
      <c r="AE175" s="181">
        <f>0.69*$B$4/Table_03[[#This Row],[b/t]]^2</f>
        <v>333.31964631640489</v>
      </c>
      <c r="AF175" s="183">
        <f>Table_03[[#This Row],[Strength (ksi)]]*Table_03[[#This Row],[Static Parameters Plastic Section Modulus Zx (in3)]]</f>
        <v>5013.5642437500001</v>
      </c>
      <c r="AG175" s="181">
        <f>Table_03[[#This Row],[Mp (k-in)]]-(Table_03[[#This Row],[Mp (k-in)]]-0.7*Table_03[[#This Row],[Strength (ksi)]]*Table_03[[#This Row],[Static Parameters Elastic Section Modulus Sx (in3)2]])*((Table_03[[#This Row],[b/t]]-Table_03[[#This Row],[λpf]])/(Table_03[[#This Row],[λrf]]-Table_03[[#This Row],[λpf]]))</f>
        <v>5181.4990811340531</v>
      </c>
      <c r="AH175" s="184">
        <f>0.9*$B$4*Table_03[[#This Row],[kc]]*Table_03[[#This Row],[Static Parameters Elastic Section Modulus Sx (in3)2]]/Table_03[[#This Row],[b/t]]^2</f>
        <v>26345.700741619217</v>
      </c>
      <c r="AI175" s="185" t="str">
        <f>IF(Table_03[[#This Row],[b/t]]&lt;Table_03[[#This Row],[λpf]],"Compact",IF(AND(Table_03[[#This Row],[b/t]]&gt;Table_03[[#This Row],[λpf]],Table_03[[#This Row],[λrf]]&gt;Table_03[[#This Row],[b/t]]),"Non-Compact","Slender"))</f>
        <v>Compact</v>
      </c>
      <c r="AJ175" s="186">
        <f>IF(Table_03[[#This Row],[Controlling LBx]]="Compact",Table_03[[#This Row],[Mp (k-in)]],IF(Table_03[[#This Row],[Controlling LBx]]="Non-Compact",Table_03[[#This Row],[Mnlb,Non-Compact (k-in)]],IF(Table_03[[#This Row],[Controlling LBx]]="Slender",Table_03[[#This Row],[Mnlb,slender (k-in)]],"ERROR")))</f>
        <v>5013.5642437500001</v>
      </c>
      <c r="AK175" s="183">
        <f>Table_03[[#This Row],[Mp (k-in)]]-(Table_03[[#This Row],[Mp (k-in)]]-0.7*Table_03[[#This Row],[Strength (ksi)]]*Table_03[[#This Row],[Static Parameters Elastic Section Modulus Sx (in3)2]])*(($B$5-Table_03[[#This Row],[Lp (ft)]])/(Table_03[[#This Row],[Lr]]-Table_03[[#This Row],[Lp (ft)]]))</f>
        <v>5161.4653185864227</v>
      </c>
      <c r="AL175" s="184">
        <f>Table_03[[#This Row],[Fcrx]]*Table_03[[#This Row],[Static Parameters Elastic Section Modulus Sx (in3)2]]</f>
        <v>27798.371580578812</v>
      </c>
      <c r="AM175" s="185" t="str">
        <f>IF($B$5&lt;Table_03[[#This Row],[Lp (ft)]],"Yielding Controls",IF(AND($B$5&gt;Table_03[[#This Row],[Lp (ft)]],Table_03[[#This Row],[Lr]]&gt;$B$5),"Mltb,p Controls","Mltb,r Controls"))</f>
        <v>Yielding Controls</v>
      </c>
      <c r="AN175" s="186">
        <f>IF(Table_03[[#This Row],[Controlling LTB]]="Yielding Controls",Table_03[[#This Row],[Mp (k-in)]],IF(Table_03[[#This Row],[Controlling LTB]]="Mltb,p Controls",Table_03[[#This Row],[Mnltbp (k-in)]],IF(Table_03[[#This Row],[Controlling LTB]]="Mltb,r Controls",Table_03[[#This Row],[Mnltbr (k-in)]],"ERROR")))</f>
        <v>5013.5642437500001</v>
      </c>
      <c r="AO175" s="183">
        <f>MIN(Table_03[[#This Row],[Strength (ksi)]]*Table_03[[#This Row],[Static Parameters Plastic Section Modulus Zy (in3)]],1.6*Table_03[[#This Row],[Strength (ksi)]]*Table_03[[#This Row],[Static Parameters Elastic Section Modulus Sy (in3)3]])</f>
        <v>1633.0363406249996</v>
      </c>
      <c r="AP175" s="181">
        <f>MIN(Table_03[[#This Row],[Mny (k-in)]],Table_03[[#This Row],[Mny (k-in)]]-(Table_03[[#This Row],[Mny (k-in)]]-0.7*Table_03[[#This Row],[Static Parameters Elastic Section Modulus Sy (in3)3]]*Table_03[[#This Row],[Strength (ksi)]])*((Table_03[[#This Row],[b/t]]-Table_03[[#This Row],[λpf]])/(Table_03[[#This Row],[λrf]]-Table_03[[#This Row],[λpf]])))</f>
        <v>1633.0363406249996</v>
      </c>
      <c r="AQ175" s="184">
        <f>MIN(Table_03[[#This Row],[Mny (k-in)]],Table_03[[#This Row],[Fcry]]*Table_03[[#This Row],[Static Parameters Elastic Section Modulus Sy (in3)3]])</f>
        <v>1633.0363406249996</v>
      </c>
      <c r="AR175" s="185" t="str">
        <f>IF(Table_03[[#This Row],[b/t]]&lt;Table_03[[#This Row],[λpf]],"Compact",IF(AND(Table_03[[#This Row],[b/t]]&gt;Table_03[[#This Row],[λpf]],Table_03[[#This Row],[λrf]]&gt;Table_03[[#This Row],[b/t]]),"Non-Compact","Slender"))</f>
        <v>Compact</v>
      </c>
      <c r="AS175" s="186">
        <f>IF(Table_03[[#This Row],[Controlling Lby]]="Compact",Table_03[[#This Row],[Mny (k-in)]],IF(Table_03[[#This Row],[Controlling Lby]]="Non-Compact",Table_03[[#This Row],[Mlby,Non-Compact (k-in)]],IF(Table_03[[#This Row],[Controlling Lby]]="Slender",Table_03[[#This Row],[Mlby,Slender (k-in)]],"ERROR")))</f>
        <v>1633.0363406249996</v>
      </c>
      <c r="AT175" s="183">
        <f>MIN(Table_03[[#This Row],[LBx]],Table_03[[#This Row],[LTB]],Table_03[[#This Row],[Mp (k-in)]])</f>
        <v>5013.5642437500001</v>
      </c>
      <c r="AU175" s="181">
        <f>Table_03[[#This Row],[Mp (k-in)]]</f>
        <v>5013.5642437500001</v>
      </c>
      <c r="AV175" s="181">
        <f>MIN(Table_03[[#This Row],[LBy]],Table_03[[#This Row],[Mny (k-in)]])</f>
        <v>1633.0363406249996</v>
      </c>
      <c r="AW175" s="187">
        <f>Table_03[[#This Row],[Mny (k-in)]]</f>
        <v>1633.0363406249996</v>
      </c>
      <c r="AX175" s="165">
        <f>SQRT(((Table_03[[#This Row],[Sectional Area (in2)]]-(Table_03[[#This Row],[Flange Thickness tf (in)]]*Table_03[[#This Row],[Width w (in)]]*2+Table_03[[#This Row],[Web Thickness tw (in)]]*((Table_03[[#This Row],[Depth h (in)]]-2*Table_03[[#This Row],[Flange Thickness tf (in)]]))))/4)/(1-PI()/4))</f>
        <v>0.57260338837242009</v>
      </c>
      <c r="AY175" s="165">
        <f>IF(4/SQRT((Table_03[[#This Row],[Depth h (in)]]-Table_03[[#This Row],[Flange Thickness tf (in)]]*2)/Table_03[[#This Row],[Web Thickness tw (in)]])&lt;0.35,0.35,IF(4/SQRT(Table_03[[#This Row],[Depth h (in)]]/Table_03[[#This Row],[Web Thickness tw (in)]])&gt;0.76,0.76,4/SQRT(Table_03[[#This Row],[Depth h (in)]]/Table_03[[#This Row],[Web Thickness tw (in)]])))</f>
        <v>0.6572407799007749</v>
      </c>
      <c r="AZ175" s="165"/>
    </row>
    <row r="176" spans="1:52" x14ac:dyDescent="0.3">
      <c r="A176" s="188" t="s">
        <v>268</v>
      </c>
      <c r="B176" s="189">
        <v>13.91</v>
      </c>
      <c r="C176" s="189">
        <v>5.0250000000000004</v>
      </c>
      <c r="D176" s="189">
        <v>0.255</v>
      </c>
      <c r="E176" s="189">
        <v>0.42</v>
      </c>
      <c r="F176" s="190">
        <v>7.69</v>
      </c>
      <c r="G176" s="189">
        <v>26</v>
      </c>
      <c r="H176" s="190">
        <v>245</v>
      </c>
      <c r="I176" s="190">
        <v>8.9</v>
      </c>
      <c r="J176" s="190">
        <f>Table_03[[#This Row],[Width w (in)]]*Table_03[[#This Row],[Flange Thickness tf (in)]]*(Table_03[[#This Row],[Depth h (in)]]-Table_03[[#This Row],[Flange Thickness tf (in)]])+0.25*Table_03[[#This Row],[Web Thickness tw (in)]]*(Table_03[[#This Row],[Depth h (in)]]-2*Table_03[[#This Row],[Flange Thickness tf (in)]])^2</f>
        <v>39.360732374999998</v>
      </c>
      <c r="K176" s="190">
        <f>(Table_03[[#This Row],[Width w (in)]]^2*Table_03[[#This Row],[Flange Thickness tf (in)]])/2+0.25*Table_03[[#This Row],[Web Thickness tw (in)]]^2*(Table_03[[#This Row],[Depth h (in)]]-2*Table_03[[#This Row],[Flange Thickness tf (in)]])</f>
        <v>5.5151004375000001</v>
      </c>
      <c r="L176" s="190">
        <v>35.299999999999997</v>
      </c>
      <c r="M176" s="190">
        <v>3.5</v>
      </c>
      <c r="N176" s="191">
        <v>50</v>
      </c>
      <c r="O176" s="169">
        <f>SQRT(Table_03[[#This Row],[Static Parameters Moment of Inertia Ix (in4)]]/Table_03[[#This Row],[Sectional Area (in2)]])</f>
        <v>5.6444271513910254</v>
      </c>
      <c r="P176" s="190">
        <f>SQRT(Table_03[[#This Row],[Static Parameters Moment of Inertia Iy (in4)]]/Table_03[[#This Row],[Sectional Area (in2)]])</f>
        <v>1.0758007269756087</v>
      </c>
      <c r="Q176" s="190">
        <f>($B$6*$B$5*12)/Table_03[[#This Row],[ry (in)2]]</f>
        <v>166.89893908583582</v>
      </c>
      <c r="R176" s="190">
        <f>(PI()^2*$B$4)/(Table_03[[#This Row],[KL/ry]]^2)</f>
        <v>10.275207271049656</v>
      </c>
      <c r="S176" s="190">
        <f>IF(Table_03[[#This Row],[Strength (ksi)]]/Table_03[[#This Row],[Fe,y]]&lt;2.25,(0.658^(Table_03[[#This Row],[Strength (ksi)]]/Table_03[[#This Row],[Fe,y]])*Table_03[[#This Row],[Strength (ksi)]]),0.877*Table_03[[#This Row],[Fe,y]])</f>
        <v>9.0113567767105476</v>
      </c>
      <c r="T176" s="190">
        <f>Table_03[[#This Row],[Fcr,y]]*Table_03[[#This Row],[Sectional Area (in2)]]</f>
        <v>69.297333612904112</v>
      </c>
      <c r="U176" s="190">
        <f>1.76*Table_03[[#This Row],[ry (in)2]]*SQRT($B$4/Table_03[[#This Row],[Strength (ksi)]])/12</f>
        <v>3.799944485864355</v>
      </c>
      <c r="V17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10.940050883446768</v>
      </c>
      <c r="W176" s="190">
        <f>Table_03[[#This Row],[Depth h (in)]]-Table_03[[#This Row],[Flange Thickness tf (in)]]</f>
        <v>13.49</v>
      </c>
      <c r="X176" s="190">
        <f>(Table_03[[#This Row],[Static Parameters Moment of Inertia Iy (in4)]]*Table_03[[#This Row],[ho]]^2)/4</f>
        <v>404.90572250000002</v>
      </c>
      <c r="Y176" s="190">
        <f>SQRT((SQRT(Table_03[[#This Row],[Static Parameters Moment of Inertia Iy (in4)]]*Table_03[[#This Row],[Cw*]])/Table_03[[#This Row],[Static Parameters Elastic Section Modulus Sx (in3)2]]))</f>
        <v>1.304063164322921</v>
      </c>
      <c r="Z176" s="190">
        <f>(2*Table_03[[#This Row],[Width w (in)]]*Table_03[[#This Row],[Flange Thickness tf (in)]]^3/3)+((Table_03[[#This Row],[Depth h (in)]]-Table_03[[#This Row],[Flange Thickness tf (in)]]*2)*Table_03[[#This Row],[Web Thickness tw (in)]]^3)/3</f>
        <v>0.32043432374999997</v>
      </c>
      <c r="AA176" s="190">
        <f>Table_03[[#This Row],[Width w (in)]]*0.5/Table_03[[#This Row],[Flange Thickness tf (in)]]</f>
        <v>5.9821428571428577</v>
      </c>
      <c r="AB176" s="190">
        <f>0.38*SQRT($B$4/Table_03[[#This Row],[Strength (ksi)]])</f>
        <v>9.1516118798821449</v>
      </c>
      <c r="AC176" s="190">
        <f>1*SQRT($B$4/Table_03[[#This Row],[Strength (ksi)]])</f>
        <v>24.083189157584592</v>
      </c>
      <c r="AD176" s="190">
        <f>(PI()^2*$B$4/(12*$B$5/Table_03[[#This Row],[rts]])^2)*SQRT(1+0.078*(Table_03[[#This Row],[J*]]/(Table_03[[#This Row],[Static Parameters Elastic Section Modulus Sx (in3)2]]*Table_03[[#This Row],[ho]])*$B$4/(12*$B$5/Table_03[[#This Row],[rts]])^2))</f>
        <v>66.594696577773803</v>
      </c>
      <c r="AE176" s="190">
        <f>0.69*$B$4/Table_03[[#This Row],[b/t]]^2</f>
        <v>559.15669414123397</v>
      </c>
      <c r="AF176" s="192">
        <f>Table_03[[#This Row],[Strength (ksi)]]*Table_03[[#This Row],[Static Parameters Plastic Section Modulus Zx (in3)]]</f>
        <v>1968.0366187499999</v>
      </c>
      <c r="AG176" s="190">
        <f>Table_03[[#This Row],[Mp (k-in)]]-(Table_03[[#This Row],[Mp (k-in)]]-0.7*Table_03[[#This Row],[Strength (ksi)]]*Table_03[[#This Row],[Static Parameters Elastic Section Modulus Sx (in3)2]])*((Table_03[[#This Row],[b/t]]-Table_03[[#This Row],[λpf]])/(Table_03[[#This Row],[λrf]]-Table_03[[#This Row],[λpf]]))</f>
        <v>2123.5293760099721</v>
      </c>
      <c r="AH176" s="193">
        <f>0.9*$B$4*Table_03[[#This Row],[kc]]*Table_03[[#This Row],[Static Parameters Elastic Section Modulus Sx (in3)2]]/Table_03[[#This Row],[b/t]]^2</f>
        <v>13943.383397553105</v>
      </c>
      <c r="AI176" s="194" t="str">
        <f>IF(Table_03[[#This Row],[b/t]]&lt;Table_03[[#This Row],[λpf]],"Compact",IF(AND(Table_03[[#This Row],[b/t]]&gt;Table_03[[#This Row],[λpf]],Table_03[[#This Row],[λrf]]&gt;Table_03[[#This Row],[b/t]]),"Non-Compact","Slender"))</f>
        <v>Compact</v>
      </c>
      <c r="AJ176" s="195">
        <f>IF(Table_03[[#This Row],[Controlling LBx]]="Compact",Table_03[[#This Row],[Mp (k-in)]],IF(Table_03[[#This Row],[Controlling LBx]]="Non-Compact",Table_03[[#This Row],[Mnlb,Non-Compact (k-in)]],IF(Table_03[[#This Row],[Controlling LBx]]="Slender",Table_03[[#This Row],[Mnlb,slender (k-in)]],"ERROR")))</f>
        <v>1968.0366187499999</v>
      </c>
      <c r="AK176" s="192">
        <f>Table_03[[#This Row],[Mp (k-in)]]-(Table_03[[#This Row],[Mp (k-in)]]-0.7*Table_03[[#This Row],[Strength (ksi)]]*Table_03[[#This Row],[Static Parameters Elastic Section Modulus Sx (in3)2]])*(($B$5-Table_03[[#This Row],[Lp (ft)]])/(Table_03[[#This Row],[Lr]]-Table_03[[#This Row],[Lp (ft)]]))</f>
        <v>1626.9037577178888</v>
      </c>
      <c r="AL176" s="196">
        <f>Table_03[[#This Row],[Fcrx]]*Table_03[[#This Row],[Static Parameters Elastic Section Modulus Sx (in3)2]]</f>
        <v>2350.792789195415</v>
      </c>
      <c r="AM176" s="197" t="str">
        <f>IF($B$5&lt;Table_03[[#This Row],[Lp (ft)]],"Yielding Controls",IF(AND($B$5&gt;Table_03[[#This Row],[Lp (ft)]],Table_03[[#This Row],[Lr]]&gt;$B$5),"Mltb,p Controls","Mltb,r Controls"))</f>
        <v>Mltb,p Controls</v>
      </c>
      <c r="AN176" s="198">
        <f>IF(Table_03[[#This Row],[Controlling LTB]]="Yielding Controls",Table_03[[#This Row],[Mp (k-in)]],IF(Table_03[[#This Row],[Controlling LTB]]="Mltb,p Controls",Table_03[[#This Row],[Mnltbp (k-in)]],IF(Table_03[[#This Row],[Controlling LTB]]="Mltb,r Controls",Table_03[[#This Row],[Mnltbr (k-in)]],"ERROR")))</f>
        <v>1626.9037577178888</v>
      </c>
      <c r="AO176" s="199">
        <f>MIN(Table_03[[#This Row],[Strength (ksi)]]*Table_03[[#This Row],[Static Parameters Plastic Section Modulus Zy (in3)]],1.6*Table_03[[#This Row],[Strength (ksi)]]*Table_03[[#This Row],[Static Parameters Elastic Section Modulus Sy (in3)3]])</f>
        <v>275.75502187500001</v>
      </c>
      <c r="AP176" s="169">
        <f>MIN(Table_03[[#This Row],[Mny (k-in)]],Table_03[[#This Row],[Mny (k-in)]]-(Table_03[[#This Row],[Mny (k-in)]]-0.7*Table_03[[#This Row],[Static Parameters Elastic Section Modulus Sy (in3)3]]*Table_03[[#This Row],[Strength (ksi)]])*((Table_03[[#This Row],[b/t]]-Table_03[[#This Row],[λpf]])/(Table_03[[#This Row],[λrf]]-Table_03[[#This Row],[λpf]])))</f>
        <v>275.75502187500001</v>
      </c>
      <c r="AQ176" s="196">
        <f>MIN(Table_03[[#This Row],[Mny (k-in)]],Table_03[[#This Row],[Fcry]]*Table_03[[#This Row],[Static Parameters Elastic Section Modulus Sy (in3)3]])</f>
        <v>275.75502187500001</v>
      </c>
      <c r="AR176" s="197" t="str">
        <f>IF(Table_03[[#This Row],[b/t]]&lt;Table_03[[#This Row],[λpf]],"Compact",IF(AND(Table_03[[#This Row],[b/t]]&gt;Table_03[[#This Row],[λpf]],Table_03[[#This Row],[λrf]]&gt;Table_03[[#This Row],[b/t]]),"Non-Compact","Slender"))</f>
        <v>Compact</v>
      </c>
      <c r="AS176" s="198">
        <f>IF(Table_03[[#This Row],[Controlling Lby]]="Compact",Table_03[[#This Row],[Mny (k-in)]],IF(Table_03[[#This Row],[Controlling Lby]]="Non-Compact",Table_03[[#This Row],[Mlby,Non-Compact (k-in)]],IF(Table_03[[#This Row],[Controlling Lby]]="Slender",Table_03[[#This Row],[Mlby,Slender (k-in)]],"ERROR")))</f>
        <v>275.75502187500001</v>
      </c>
      <c r="AT176" s="199">
        <f>MIN(Table_03[[#This Row],[LBx]],Table_03[[#This Row],[LTB]],Table_03[[#This Row],[Mp (k-in)]])</f>
        <v>1626.9037577178888</v>
      </c>
      <c r="AU176" s="169">
        <f>Table_03[[#This Row],[Mp (k-in)]]</f>
        <v>1968.0366187499999</v>
      </c>
      <c r="AV176" s="169">
        <f>MIN(Table_03[[#This Row],[LBy]],Table_03[[#This Row],[Mny (k-in)]])</f>
        <v>275.75502187500001</v>
      </c>
      <c r="AW176" s="200">
        <f>Table_03[[#This Row],[Mny (k-in)]]</f>
        <v>275.75502187500001</v>
      </c>
      <c r="AX176" s="165">
        <f>SQRT(((Table_03[[#This Row],[Sectional Area (in2)]]-(Table_03[[#This Row],[Flange Thickness tf (in)]]*Table_03[[#This Row],[Width w (in)]]*2+Table_03[[#This Row],[Web Thickness tw (in)]]*((Table_03[[#This Row],[Depth h (in)]]-2*Table_03[[#This Row],[Flange Thickness tf (in)]]))))/4)/(1-PI()/4))</f>
        <v>0.39825580054633664</v>
      </c>
      <c r="AY176" s="165">
        <f>IF(4/SQRT((Table_03[[#This Row],[Depth h (in)]]-Table_03[[#This Row],[Flange Thickness tf (in)]]*2)/Table_03[[#This Row],[Web Thickness tw (in)]])&lt;0.35,0.35,IF(4/SQRT(Table_03[[#This Row],[Depth h (in)]]/Table_03[[#This Row],[Web Thickness tw (in)]])&gt;0.76,0.76,4/SQRT(Table_03[[#This Row],[Depth h (in)]]/Table_03[[#This Row],[Web Thickness tw (in)]])))</f>
        <v>0.5415848617465604</v>
      </c>
      <c r="AZ176" s="165"/>
    </row>
    <row r="177" spans="1:52" ht="14.4" thickBot="1" x14ac:dyDescent="0.35">
      <c r="A177" s="201" t="s">
        <v>269</v>
      </c>
      <c r="B177" s="202">
        <v>13.92</v>
      </c>
      <c r="C177" s="202">
        <v>8.06</v>
      </c>
      <c r="D177" s="202">
        <v>0.37</v>
      </c>
      <c r="E177" s="202">
        <v>0.66</v>
      </c>
      <c r="F177" s="203">
        <v>15.6</v>
      </c>
      <c r="G177" s="204">
        <v>53</v>
      </c>
      <c r="H177" s="203">
        <v>541</v>
      </c>
      <c r="I177" s="203">
        <v>57.7</v>
      </c>
      <c r="J177" s="203">
        <f>Table_03[[#This Row],[Width w (in)]]*Table_03[[#This Row],[Flange Thickness tf (in)]]*(Table_03[[#This Row],[Depth h (in)]]-Table_03[[#This Row],[Flange Thickness tf (in)]])+0.25*Table_03[[#This Row],[Web Thickness tw (in)]]*(Table_03[[#This Row],[Depth h (in)]]-2*Table_03[[#This Row],[Flange Thickness tf (in)]])^2</f>
        <v>85.223196000000002</v>
      </c>
      <c r="K177" s="203">
        <f>(Table_03[[#This Row],[Width w (in)]]^2*Table_03[[#This Row],[Flange Thickness tf (in)]])/2+0.25*Table_03[[#This Row],[Web Thickness tw (in)]]^2*(Table_03[[#This Row],[Depth h (in)]]-2*Table_03[[#This Row],[Flange Thickness tf (in)]])</f>
        <v>21.869223000000005</v>
      </c>
      <c r="L177" s="203">
        <v>77.8</v>
      </c>
      <c r="M177" s="203">
        <v>14.3</v>
      </c>
      <c r="N177" s="205">
        <v>50</v>
      </c>
      <c r="O177" s="206">
        <f>SQRT(Table_03[[#This Row],[Static Parameters Moment of Inertia Ix (in4)]]/Table_03[[#This Row],[Sectional Area (in2)]])</f>
        <v>5.8889292048289379</v>
      </c>
      <c r="P177" s="203">
        <f>SQRT(Table_03[[#This Row],[Static Parameters Moment of Inertia Iy (in4)]]/Table_03[[#This Row],[Sectional Area (in2)]])</f>
        <v>1.9232051239319088</v>
      </c>
      <c r="Q177" s="203">
        <f>($B$6*$B$5*12)/Table_03[[#This Row],[ry (in)2]]</f>
        <v>93.359776222370854</v>
      </c>
      <c r="R177" s="203">
        <f>(PI()^2*$B$4)/(Table_03[[#This Row],[KL/ry]]^2)</f>
        <v>32.838108930130055</v>
      </c>
      <c r="S177" s="203">
        <f>IF(Table_03[[#This Row],[Strength (ksi)]]/Table_03[[#This Row],[Fe,y]]&lt;2.25,(0.658^(Table_03[[#This Row],[Strength (ksi)]]/Table_03[[#This Row],[Fe,y]])*Table_03[[#This Row],[Strength (ksi)]]),0.877*Table_03[[#This Row],[Fe,y]])</f>
        <v>26.436070471191798</v>
      </c>
      <c r="T177" s="203">
        <f>Table_03[[#This Row],[Fcr,y]]*Table_03[[#This Row],[Sectional Area (in2)]]</f>
        <v>412.40269935059206</v>
      </c>
      <c r="U177" s="203">
        <f>1.76*Table_03[[#This Row],[ry (in)2]]*SQRT($B$4/Table_03[[#This Row],[Strength (ksi)]])/12</f>
        <v>6.793147208978251</v>
      </c>
      <c r="V17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21.682978758276253</v>
      </c>
      <c r="W177" s="203">
        <f>Table_03[[#This Row],[Depth h (in)]]-Table_03[[#This Row],[Flange Thickness tf (in)]]</f>
        <v>13.26</v>
      </c>
      <c r="X177" s="203">
        <f>(Table_03[[#This Row],[Static Parameters Moment of Inertia Iy (in4)]]*Table_03[[#This Row],[ho]]^2)/4</f>
        <v>2536.31313</v>
      </c>
      <c r="Y177" s="203">
        <f>SQRT((SQRT(Table_03[[#This Row],[Static Parameters Moment of Inertia Iy (in4)]]*Table_03[[#This Row],[Cw*]])/Table_03[[#This Row],[Static Parameters Elastic Section Modulus Sx (in3)2]]))</f>
        <v>2.2174552913535077</v>
      </c>
      <c r="Z177" s="203">
        <f>(2*Table_03[[#This Row],[Width w (in)]]*Table_03[[#This Row],[Flange Thickness tf (in)]]^3/3)+((Table_03[[#This Row],[Depth h (in)]]-Table_03[[#This Row],[Flange Thickness tf (in)]]*2)*Table_03[[#This Row],[Web Thickness tw (in)]]^3)/3</f>
        <v>1.7575544400000003</v>
      </c>
      <c r="AA177" s="203">
        <f>Table_03[[#This Row],[Width w (in)]]*0.5/Table_03[[#This Row],[Flange Thickness tf (in)]]</f>
        <v>6.1060606060606064</v>
      </c>
      <c r="AB177" s="203">
        <f>0.38*SQRT($B$4/Table_03[[#This Row],[Strength (ksi)]])</f>
        <v>9.1516118798821449</v>
      </c>
      <c r="AC177" s="203">
        <f>1*SQRT($B$4/Table_03[[#This Row],[Strength (ksi)]])</f>
        <v>24.083189157584592</v>
      </c>
      <c r="AD177" s="203">
        <f>(PI()^2*$B$4/(12*$B$5/Table_03[[#This Row],[rts]])^2)*SQRT(1+0.078*(Table_03[[#This Row],[J*]]/(Table_03[[#This Row],[Static Parameters Elastic Section Modulus Sx (in3)2]]*Table_03[[#This Row],[ho]])*$B$4/(12*$B$5/Table_03[[#This Row],[rts]])^2))</f>
        <v>192.76909244928433</v>
      </c>
      <c r="AE177" s="203">
        <f>0.69*$B$4/Table_03[[#This Row],[b/t]]^2</f>
        <v>536.69168580558949</v>
      </c>
      <c r="AF177" s="207">
        <f>Table_03[[#This Row],[Strength (ksi)]]*Table_03[[#This Row],[Static Parameters Plastic Section Modulus Zx (in3)]]</f>
        <v>4261.1598000000004</v>
      </c>
      <c r="AG177" s="203">
        <f>Table_03[[#This Row],[Mp (k-in)]]-(Table_03[[#This Row],[Mp (k-in)]]-0.7*Table_03[[#This Row],[Strength (ksi)]]*Table_03[[#This Row],[Static Parameters Elastic Section Modulus Sx (in3)2]])*((Table_03[[#This Row],[b/t]]-Table_03[[#This Row],[λpf]])/(Table_03[[#This Row],[λrf]]-Table_03[[#This Row],[λpf]]))</f>
        <v>4574.8938718335621</v>
      </c>
      <c r="AH177" s="208">
        <f>0.9*$B$4*Table_03[[#This Row],[kc]]*Table_03[[#This Row],[Static Parameters Elastic Section Modulus Sx (in3)2]]/Table_03[[#This Row],[b/t]]^2</f>
        <v>35517.232550794011</v>
      </c>
      <c r="AI177" s="209" t="str">
        <f>IF(Table_03[[#This Row],[b/t]]&lt;Table_03[[#This Row],[λpf]],"Compact",IF(AND(Table_03[[#This Row],[b/t]]&gt;Table_03[[#This Row],[λpf]],Table_03[[#This Row],[λrf]]&gt;Table_03[[#This Row],[b/t]]),"Non-Compact","Slender"))</f>
        <v>Compact</v>
      </c>
      <c r="AJ177" s="210">
        <f>IF(Table_03[[#This Row],[Controlling LBx]]="Compact",Table_03[[#This Row],[Mp (k-in)]],IF(Table_03[[#This Row],[Controlling LBx]]="Non-Compact",Table_03[[#This Row],[Mnlb,Non-Compact (k-in)]],IF(Table_03[[#This Row],[Controlling LBx]]="Slender",Table_03[[#This Row],[Mnlb,slender (k-in)]],"ERROR")))</f>
        <v>4261.1598000000004</v>
      </c>
      <c r="AK177" s="207">
        <f>Table_03[[#This Row],[Mp (k-in)]]-(Table_03[[#This Row],[Mp (k-in)]]-0.7*Table_03[[#This Row],[Strength (ksi)]]*Table_03[[#This Row],[Static Parameters Elastic Section Modulus Sx (in3)2]])*(($B$5-Table_03[[#This Row],[Lp (ft)]])/(Table_03[[#This Row],[Lr]]-Table_03[[#This Row],[Lp (ft)]]))</f>
        <v>4226.878510720303</v>
      </c>
      <c r="AL177" s="211">
        <f>Table_03[[#This Row],[Fcrx]]*Table_03[[#This Row],[Static Parameters Elastic Section Modulus Sx (in3)2]]</f>
        <v>14997.43539255432</v>
      </c>
      <c r="AM177" s="212" t="str">
        <f>IF($B$5&lt;Table_03[[#This Row],[Lp (ft)]],"Yielding Controls",IF(AND($B$5&gt;Table_03[[#This Row],[Lp (ft)]],Table_03[[#This Row],[Lr]]&gt;$B$5),"Mltb,p Controls","Mltb,r Controls"))</f>
        <v>Mltb,p Controls</v>
      </c>
      <c r="AN177" s="213">
        <f>IF(Table_03[[#This Row],[Controlling LTB]]="Yielding Controls",Table_03[[#This Row],[Mp (k-in)]],IF(Table_03[[#This Row],[Controlling LTB]]="Mltb,p Controls",Table_03[[#This Row],[Mnltbp (k-in)]],IF(Table_03[[#This Row],[Controlling LTB]]="Mltb,r Controls",Table_03[[#This Row],[Mnltbr (k-in)]],"ERROR")))</f>
        <v>4226.878510720303</v>
      </c>
      <c r="AO177" s="214">
        <f>MIN(Table_03[[#This Row],[Strength (ksi)]]*Table_03[[#This Row],[Static Parameters Plastic Section Modulus Zy (in3)]],1.6*Table_03[[#This Row],[Strength (ksi)]]*Table_03[[#This Row],[Static Parameters Elastic Section Modulus Sy (in3)3]])</f>
        <v>1093.4611500000003</v>
      </c>
      <c r="AP177" s="206">
        <f>MIN(Table_03[[#This Row],[Mny (k-in)]],Table_03[[#This Row],[Mny (k-in)]]-(Table_03[[#This Row],[Mny (k-in)]]-0.7*Table_03[[#This Row],[Static Parameters Elastic Section Modulus Sy (in3)3]]*Table_03[[#This Row],[Strength (ksi)]])*((Table_03[[#This Row],[b/t]]-Table_03[[#This Row],[λpf]])/(Table_03[[#This Row],[λrf]]-Table_03[[#This Row],[λpf]])))</f>
        <v>1093.4611500000003</v>
      </c>
      <c r="AQ177" s="211">
        <f>MIN(Table_03[[#This Row],[Mny (k-in)]],Table_03[[#This Row],[Fcry]]*Table_03[[#This Row],[Static Parameters Elastic Section Modulus Sy (in3)3]])</f>
        <v>1093.4611500000003</v>
      </c>
      <c r="AR177" s="212" t="str">
        <f>IF(Table_03[[#This Row],[b/t]]&lt;Table_03[[#This Row],[λpf]],"Compact",IF(AND(Table_03[[#This Row],[b/t]]&gt;Table_03[[#This Row],[λpf]],Table_03[[#This Row],[λrf]]&gt;Table_03[[#This Row],[b/t]]),"Non-Compact","Slender"))</f>
        <v>Compact</v>
      </c>
      <c r="AS177" s="213">
        <f>IF(Table_03[[#This Row],[Controlling Lby]]="Compact",Table_03[[#This Row],[Mny (k-in)]],IF(Table_03[[#This Row],[Controlling Lby]]="Non-Compact",Table_03[[#This Row],[Mlby,Non-Compact (k-in)]],IF(Table_03[[#This Row],[Controlling Lby]]="Slender",Table_03[[#This Row],[Mlby,Slender (k-in)]],"ERROR")))</f>
        <v>1093.4611500000003</v>
      </c>
      <c r="AT177" s="214">
        <f>MIN(Table_03[[#This Row],[LBx]],Table_03[[#This Row],[LTB]],Table_03[[#This Row],[Mp (k-in)]])</f>
        <v>4226.878510720303</v>
      </c>
      <c r="AU177" s="206">
        <f>Table_03[[#This Row],[Mp (k-in)]]</f>
        <v>4261.1598000000004</v>
      </c>
      <c r="AV177" s="206">
        <f>MIN(Table_03[[#This Row],[LBy]],Table_03[[#This Row],[Mny (k-in)]])</f>
        <v>1093.4611500000003</v>
      </c>
      <c r="AW177" s="215">
        <f>Table_03[[#This Row],[Mny (k-in)]]</f>
        <v>1093.4611500000003</v>
      </c>
      <c r="AX177" s="165">
        <f>SQRT(((Table_03[[#This Row],[Sectional Area (in2)]]-(Table_03[[#This Row],[Flange Thickness tf (in)]]*Table_03[[#This Row],[Width w (in)]]*2+Table_03[[#This Row],[Web Thickness tw (in)]]*((Table_03[[#This Row],[Depth h (in)]]-2*Table_03[[#This Row],[Flange Thickness tf (in)]]))))/4)/(1-PI()/4))</f>
        <v>0.589988550536798</v>
      </c>
      <c r="AY177" s="165">
        <f>IF(4/SQRT((Table_03[[#This Row],[Depth h (in)]]-Table_03[[#This Row],[Flange Thickness tf (in)]]*2)/Table_03[[#This Row],[Web Thickness tw (in)]])&lt;0.35,0.35,IF(4/SQRT(Table_03[[#This Row],[Depth h (in)]]/Table_03[[#This Row],[Web Thickness tw (in)]])&gt;0.76,0.76,4/SQRT(Table_03[[#This Row],[Depth h (in)]]/Table_03[[#This Row],[Web Thickness tw (in)]])))</f>
        <v>0.6521405955174383</v>
      </c>
      <c r="AZ177" s="165"/>
    </row>
    <row r="178" spans="1:52" x14ac:dyDescent="0.3">
      <c r="A178" s="179" t="s">
        <v>270</v>
      </c>
      <c r="B178" s="180">
        <v>13.98</v>
      </c>
      <c r="C178" s="180">
        <v>6.7450000000000001</v>
      </c>
      <c r="D178" s="180">
        <v>0.28499999999999998</v>
      </c>
      <c r="E178" s="180">
        <v>0.45500000000000002</v>
      </c>
      <c r="F178" s="181">
        <v>10</v>
      </c>
      <c r="G178" s="180">
        <v>34</v>
      </c>
      <c r="H178" s="180">
        <v>340</v>
      </c>
      <c r="I178" s="180">
        <v>23.3</v>
      </c>
      <c r="J178" s="181">
        <f>Table_03[[#This Row],[Width w (in)]]*Table_03[[#This Row],[Flange Thickness tf (in)]]*(Table_03[[#This Row],[Depth h (in)]]-Table_03[[#This Row],[Flange Thickness tf (in)]])+0.25*Table_03[[#This Row],[Web Thickness tw (in)]]*(Table_03[[#This Row],[Depth h (in)]]-2*Table_03[[#This Row],[Flange Thickness tf (in)]])^2</f>
        <v>53.679161000000008</v>
      </c>
      <c r="K178" s="181">
        <f>(Table_03[[#This Row],[Width w (in)]]^2*Table_03[[#This Row],[Flange Thickness tf (in)]])/2+0.25*Table_03[[#This Row],[Web Thickness tw (in)]]^2*(Table_03[[#This Row],[Depth h (in)]]-2*Table_03[[#This Row],[Flange Thickness tf (in)]])</f>
        <v>10.615520875</v>
      </c>
      <c r="L178" s="181">
        <v>48.6</v>
      </c>
      <c r="M178" s="181">
        <v>6.9</v>
      </c>
      <c r="N178" s="182">
        <v>50</v>
      </c>
      <c r="O178" s="181">
        <f>SQRT(Table_03[[#This Row],[Static Parameters Moment of Inertia Ix (in4)]]/Table_03[[#This Row],[Sectional Area (in2)]])</f>
        <v>5.8309518948453007</v>
      </c>
      <c r="P178" s="181">
        <f>SQRT(Table_03[[#This Row],[Static Parameters Moment of Inertia Iy (in4)]]/Table_03[[#This Row],[Sectional Area (in2)]])</f>
        <v>1.5264337522473748</v>
      </c>
      <c r="Q178" s="181">
        <f>($B$6*$B$5*12)/Table_03[[#This Row],[ry (in)2]]</f>
        <v>117.62711597253913</v>
      </c>
      <c r="R178" s="181">
        <f>(PI()^2*$B$4)/(Table_03[[#This Row],[KL/ry]]^2)</f>
        <v>20.686301271964769</v>
      </c>
      <c r="S178" s="181">
        <f>IF(Table_03[[#This Row],[Strength (ksi)]]/Table_03[[#This Row],[Fe,y]]&lt;2.25,(0.658^(Table_03[[#This Row],[Strength (ksi)]]/Table_03[[#This Row],[Fe,y]])*Table_03[[#This Row],[Strength (ksi)]]),0.877*Table_03[[#This Row],[Fe,y]])</f>
        <v>18.141886215513104</v>
      </c>
      <c r="T178" s="181">
        <f>Table_03[[#This Row],[Fcr,y]]*Table_03[[#This Row],[Sectional Area (in2)]]</f>
        <v>181.41886215513102</v>
      </c>
      <c r="U178" s="181">
        <f>1.76*Table_03[[#This Row],[ry (in)2]]*SQRT($B$4/Table_03[[#This Row],[Strength (ksi)]])/12</f>
        <v>5.3916709428112872</v>
      </c>
      <c r="V17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15.401054411613968</v>
      </c>
      <c r="W178" s="181">
        <f>Table_03[[#This Row],[Depth h (in)]]-Table_03[[#This Row],[Flange Thickness tf (in)]]</f>
        <v>13.525</v>
      </c>
      <c r="X178" s="181">
        <f>(Table_03[[#This Row],[Static Parameters Moment of Inertia Iy (in4)]]*Table_03[[#This Row],[ho]]^2)/4</f>
        <v>1065.5417656249999</v>
      </c>
      <c r="Y178" s="181">
        <f>SQRT((SQRT(Table_03[[#This Row],[Static Parameters Moment of Inertia Iy (in4)]]*Table_03[[#This Row],[Cw*]])/Table_03[[#This Row],[Static Parameters Elastic Section Modulus Sx (in3)2]]))</f>
        <v>1.8005843244527651</v>
      </c>
      <c r="Z178" s="181">
        <f>(2*Table_03[[#This Row],[Width w (in)]]*Table_03[[#This Row],[Flange Thickness tf (in)]]^3/3)+((Table_03[[#This Row],[Depth h (in)]]-Table_03[[#This Row],[Flange Thickness tf (in)]]*2)*Table_03[[#This Row],[Web Thickness tw (in)]]^3)/3</f>
        <v>0.52442272083333341</v>
      </c>
      <c r="AA178" s="181">
        <f>Table_03[[#This Row],[Width w (in)]]*0.5/Table_03[[#This Row],[Flange Thickness tf (in)]]</f>
        <v>7.4120879120879115</v>
      </c>
      <c r="AB178" s="181">
        <f>0.38*SQRT($B$4/Table_03[[#This Row],[Strength (ksi)]])</f>
        <v>9.1516118798821449</v>
      </c>
      <c r="AC178" s="181">
        <f>1*SQRT($B$4/Table_03[[#This Row],[Strength (ksi)]])</f>
        <v>24.083189157584592</v>
      </c>
      <c r="AD178" s="181">
        <f>(PI()^2*$B$4/(12*$B$5/Table_03[[#This Row],[rts]])^2)*SQRT(1+0.078*(Table_03[[#This Row],[J*]]/(Table_03[[#This Row],[Static Parameters Elastic Section Modulus Sx (in3)2]]*Table_03[[#This Row],[ho]])*$B$4/(12*$B$5/Table_03[[#This Row],[rts]])^2))</f>
        <v>126.98902071513818</v>
      </c>
      <c r="AE178" s="181">
        <f>0.69*$B$4/Table_03[[#This Row],[b/t]]^2</f>
        <v>364.22182425441031</v>
      </c>
      <c r="AF178" s="183">
        <f>Table_03[[#This Row],[Strength (ksi)]]*Table_03[[#This Row],[Static Parameters Plastic Section Modulus Zx (in3)]]</f>
        <v>2683.9580500000002</v>
      </c>
      <c r="AG178" s="181">
        <f>Table_03[[#This Row],[Mp (k-in)]]-(Table_03[[#This Row],[Mp (k-in)]]-0.7*Table_03[[#This Row],[Strength (ksi)]]*Table_03[[#This Row],[Static Parameters Elastic Section Modulus Sx (in3)2]])*((Table_03[[#This Row],[b/t]]-Table_03[[#This Row],[λpf]])/(Table_03[[#This Row],[λrf]]-Table_03[[#This Row],[λpf]]))</f>
        <v>2798.4723478206779</v>
      </c>
      <c r="AH178" s="184">
        <f>0.9*$B$4*Table_03[[#This Row],[kc]]*Table_03[[#This Row],[Static Parameters Elastic Section Modulus Sx (in3)2]]/Table_03[[#This Row],[b/t]]^2</f>
        <v>13186.346659781215</v>
      </c>
      <c r="AI178" s="185" t="str">
        <f>IF(Table_03[[#This Row],[b/t]]&lt;Table_03[[#This Row],[λpf]],"Compact",IF(AND(Table_03[[#This Row],[b/t]]&gt;Table_03[[#This Row],[λpf]],Table_03[[#This Row],[λrf]]&gt;Table_03[[#This Row],[b/t]]),"Non-Compact","Slender"))</f>
        <v>Compact</v>
      </c>
      <c r="AJ178" s="186">
        <f>IF(Table_03[[#This Row],[Controlling LBx]]="Compact",Table_03[[#This Row],[Mp (k-in)]],IF(Table_03[[#This Row],[Controlling LBx]]="Non-Compact",Table_03[[#This Row],[Mnlb,Non-Compact (k-in)]],IF(Table_03[[#This Row],[Controlling LBx]]="Slender",Table_03[[#This Row],[Mnlb,slender (k-in)]],"ERROR")))</f>
        <v>2683.9580500000002</v>
      </c>
      <c r="AK178" s="183">
        <f>Table_03[[#This Row],[Mp (k-in)]]-(Table_03[[#This Row],[Mp (k-in)]]-0.7*Table_03[[#This Row],[Strength (ksi)]]*Table_03[[#This Row],[Static Parameters Elastic Section Modulus Sx (in3)2]])*(($B$5-Table_03[[#This Row],[Lp (ft)]])/(Table_03[[#This Row],[Lr]]-Table_03[[#This Row],[Lp (ft)]]))</f>
        <v>2513.7387996962289</v>
      </c>
      <c r="AL178" s="184">
        <f>Table_03[[#This Row],[Fcrx]]*Table_03[[#This Row],[Static Parameters Elastic Section Modulus Sx (in3)2]]</f>
        <v>6171.6664067557158</v>
      </c>
      <c r="AM178" s="185" t="str">
        <f>IF($B$5&lt;Table_03[[#This Row],[Lp (ft)]],"Yielding Controls",IF(AND($B$5&gt;Table_03[[#This Row],[Lp (ft)]],Table_03[[#This Row],[Lr]]&gt;$B$5),"Mltb,p Controls","Mltb,r Controls"))</f>
        <v>Mltb,p Controls</v>
      </c>
      <c r="AN178" s="186">
        <f>IF(Table_03[[#This Row],[Controlling LTB]]="Yielding Controls",Table_03[[#This Row],[Mp (k-in)]],IF(Table_03[[#This Row],[Controlling LTB]]="Mltb,p Controls",Table_03[[#This Row],[Mnltbp (k-in)]],IF(Table_03[[#This Row],[Controlling LTB]]="Mltb,r Controls",Table_03[[#This Row],[Mnltbr (k-in)]],"ERROR")))</f>
        <v>2513.7387996962289</v>
      </c>
      <c r="AO178" s="183">
        <f>MIN(Table_03[[#This Row],[Strength (ksi)]]*Table_03[[#This Row],[Static Parameters Plastic Section Modulus Zy (in3)]],1.6*Table_03[[#This Row],[Strength (ksi)]]*Table_03[[#This Row],[Static Parameters Elastic Section Modulus Sy (in3)3]])</f>
        <v>530.77604374999999</v>
      </c>
      <c r="AP178" s="181">
        <f>MIN(Table_03[[#This Row],[Mny (k-in)]],Table_03[[#This Row],[Mny (k-in)]]-(Table_03[[#This Row],[Mny (k-in)]]-0.7*Table_03[[#This Row],[Static Parameters Elastic Section Modulus Sy (in3)3]]*Table_03[[#This Row],[Strength (ksi)]])*((Table_03[[#This Row],[b/t]]-Table_03[[#This Row],[λpf]])/(Table_03[[#This Row],[λrf]]-Table_03[[#This Row],[λpf]])))</f>
        <v>530.77604374999999</v>
      </c>
      <c r="AQ178" s="184">
        <f>MIN(Table_03[[#This Row],[Mny (k-in)]],Table_03[[#This Row],[Fcry]]*Table_03[[#This Row],[Static Parameters Elastic Section Modulus Sy (in3)3]])</f>
        <v>530.77604374999999</v>
      </c>
      <c r="AR178" s="185" t="str">
        <f>IF(Table_03[[#This Row],[b/t]]&lt;Table_03[[#This Row],[λpf]],"Compact",IF(AND(Table_03[[#This Row],[b/t]]&gt;Table_03[[#This Row],[λpf]],Table_03[[#This Row],[λrf]]&gt;Table_03[[#This Row],[b/t]]),"Non-Compact","Slender"))</f>
        <v>Compact</v>
      </c>
      <c r="AS178" s="186">
        <f>IF(Table_03[[#This Row],[Controlling Lby]]="Compact",Table_03[[#This Row],[Mny (k-in)]],IF(Table_03[[#This Row],[Controlling Lby]]="Non-Compact",Table_03[[#This Row],[Mlby,Non-Compact (k-in)]],IF(Table_03[[#This Row],[Controlling Lby]]="Slender",Table_03[[#This Row],[Mlby,Slender (k-in)]],"ERROR")))</f>
        <v>530.77604374999999</v>
      </c>
      <c r="AT178" s="183">
        <f>MIN(Table_03[[#This Row],[LBx]],Table_03[[#This Row],[LTB]],Table_03[[#This Row],[Mp (k-in)]])</f>
        <v>2513.7387996962289</v>
      </c>
      <c r="AU178" s="181">
        <f>Table_03[[#This Row],[Mp (k-in)]]</f>
        <v>2683.9580500000002</v>
      </c>
      <c r="AV178" s="181">
        <f>MIN(Table_03[[#This Row],[LBy]],Table_03[[#This Row],[Mny (k-in)]])</f>
        <v>530.77604374999999</v>
      </c>
      <c r="AW178" s="187">
        <f>Table_03[[#This Row],[Mny (k-in)]]</f>
        <v>530.77604374999999</v>
      </c>
      <c r="AX178" s="165">
        <f>SQRT(((Table_03[[#This Row],[Sectional Area (in2)]]-(Table_03[[#This Row],[Flange Thickness tf (in)]]*Table_03[[#This Row],[Width w (in)]]*2+Table_03[[#This Row],[Web Thickness tw (in)]]*((Table_03[[#This Row],[Depth h (in)]]-2*Table_03[[#This Row],[Flange Thickness tf (in)]]))))/4)/(1-PI()/4))</f>
        <v>0.39964281972256965</v>
      </c>
      <c r="AY178" s="165">
        <f>IF(4/SQRT((Table_03[[#This Row],[Depth h (in)]]-Table_03[[#This Row],[Flange Thickness tf (in)]]*2)/Table_03[[#This Row],[Web Thickness tw (in)]])&lt;0.35,0.35,IF(4/SQRT(Table_03[[#This Row],[Depth h (in)]]/Table_03[[#This Row],[Web Thickness tw (in)]])&gt;0.76,0.76,4/SQRT(Table_03[[#This Row],[Depth h (in)]]/Table_03[[#This Row],[Web Thickness tw (in)]])))</f>
        <v>0.57112192876016377</v>
      </c>
      <c r="AZ178" s="165"/>
    </row>
    <row r="179" spans="1:52" x14ac:dyDescent="0.3">
      <c r="A179" s="188" t="s">
        <v>271</v>
      </c>
      <c r="B179" s="189">
        <v>14.02</v>
      </c>
      <c r="C179" s="189">
        <v>14.52</v>
      </c>
      <c r="D179" s="189">
        <v>0.44</v>
      </c>
      <c r="E179" s="189">
        <v>0.71</v>
      </c>
      <c r="F179" s="190">
        <v>26.5</v>
      </c>
      <c r="G179" s="189">
        <v>90</v>
      </c>
      <c r="H179" s="190">
        <v>999</v>
      </c>
      <c r="I179" s="190">
        <v>362</v>
      </c>
      <c r="J179" s="190">
        <f>Table_03[[#This Row],[Width w (in)]]*Table_03[[#This Row],[Flange Thickness tf (in)]]*(Table_03[[#This Row],[Depth h (in)]]-Table_03[[#This Row],[Flange Thickness tf (in)]])+0.25*Table_03[[#This Row],[Web Thickness tw (in)]]*(Table_03[[#This Row],[Depth h (in)]]-2*Table_03[[#This Row],[Flange Thickness tf (in)]])^2</f>
        <v>154.67905199999996</v>
      </c>
      <c r="K179" s="190">
        <f>(Table_03[[#This Row],[Width w (in)]]^2*Table_03[[#This Row],[Flange Thickness tf (in)]])/2+0.25*Table_03[[#This Row],[Web Thickness tw (in)]]^2*(Table_03[[#This Row],[Depth h (in)]]-2*Table_03[[#This Row],[Flange Thickness tf (in)]])</f>
        <v>75.454632000000004</v>
      </c>
      <c r="L179" s="190">
        <v>143</v>
      </c>
      <c r="M179" s="190">
        <v>49.9</v>
      </c>
      <c r="N179" s="191">
        <v>50</v>
      </c>
      <c r="O179" s="169">
        <f>SQRT(Table_03[[#This Row],[Static Parameters Moment of Inertia Ix (in4)]]/Table_03[[#This Row],[Sectional Area (in2)]])</f>
        <v>6.1398789245022716</v>
      </c>
      <c r="P179" s="190">
        <f>SQRT(Table_03[[#This Row],[Static Parameters Moment of Inertia Iy (in4)]]/Table_03[[#This Row],[Sectional Area (in2)]])</f>
        <v>3.6959947725193776</v>
      </c>
      <c r="Q179" s="190">
        <f>($B$6*$B$5*12)/Table_03[[#This Row],[ry (in)2]]</f>
        <v>48.579614163688227</v>
      </c>
      <c r="R179" s="190">
        <f>(PI()^2*$B$4)/(Table_03[[#This Row],[KL/ry]]^2)</f>
        <v>121.28012082680779</v>
      </c>
      <c r="S179" s="190">
        <f>IF(Table_03[[#This Row],[Strength (ksi)]]/Table_03[[#This Row],[Fe,y]]&lt;2.25,(0.658^(Table_03[[#This Row],[Strength (ksi)]]/Table_03[[#This Row],[Fe,y]])*Table_03[[#This Row],[Strength (ksi)]]),0.877*Table_03[[#This Row],[Fe,y]])</f>
        <v>42.07559115244139</v>
      </c>
      <c r="T179" s="190">
        <f>Table_03[[#This Row],[Fcr,y]]*Table_03[[#This Row],[Sectional Area (in2)]]</f>
        <v>1115.0031655396967</v>
      </c>
      <c r="U179" s="190">
        <f>1.76*Table_03[[#This Row],[ry (in)2]]*SQRT($B$4/Table_03[[#This Row],[Strength (ksi)]])/12</f>
        <v>13.054996714030773</v>
      </c>
      <c r="V17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41.846999257559567</v>
      </c>
      <c r="W179" s="190">
        <f>Table_03[[#This Row],[Depth h (in)]]-Table_03[[#This Row],[Flange Thickness tf (in)]]</f>
        <v>13.309999999999999</v>
      </c>
      <c r="X179" s="190">
        <f>(Table_03[[#This Row],[Static Parameters Moment of Inertia Iy (in4)]]*Table_03[[#This Row],[ho]]^2)/4</f>
        <v>16032.627049999996</v>
      </c>
      <c r="Y179" s="190">
        <f>SQRT((SQRT(Table_03[[#This Row],[Static Parameters Moment of Inertia Iy (in4)]]*Table_03[[#This Row],[Cw*]])/Table_03[[#This Row],[Static Parameters Elastic Section Modulus Sx (in3)2]]))</f>
        <v>4.1045003443687369</v>
      </c>
      <c r="Z179" s="190">
        <f>(2*Table_03[[#This Row],[Width w (in)]]*Table_03[[#This Row],[Flange Thickness tf (in)]]^3/3)+((Table_03[[#This Row],[Depth h (in)]]-Table_03[[#This Row],[Flange Thickness tf (in)]]*2)*Table_03[[#This Row],[Web Thickness tw (in)]]^3)/3</f>
        <v>3.8223512799999995</v>
      </c>
      <c r="AA179" s="190">
        <f>Table_03[[#This Row],[Width w (in)]]*0.5/Table_03[[#This Row],[Flange Thickness tf (in)]]</f>
        <v>10.225352112676056</v>
      </c>
      <c r="AB179" s="190">
        <f>0.38*SQRT($B$4/Table_03[[#This Row],[Strength (ksi)]])</f>
        <v>9.1516118798821449</v>
      </c>
      <c r="AC179" s="190">
        <f>1*SQRT($B$4/Table_03[[#This Row],[Strength (ksi)]])</f>
        <v>24.083189157584592</v>
      </c>
      <c r="AD179" s="190">
        <f>(PI()^2*$B$4/(12*$B$5/Table_03[[#This Row],[rts]])^2)*SQRT(1+0.078*(Table_03[[#This Row],[J*]]/(Table_03[[#This Row],[Static Parameters Elastic Section Modulus Sx (in3)2]]*Table_03[[#This Row],[ho]])*$B$4/(12*$B$5/Table_03[[#This Row],[rts]])^2))</f>
        <v>663.05196104023969</v>
      </c>
      <c r="AE179" s="190">
        <f>0.69*$B$4/Table_03[[#This Row],[b/t]]^2</f>
        <v>191.37735355053164</v>
      </c>
      <c r="AF179" s="192">
        <f>Table_03[[#This Row],[Strength (ksi)]]*Table_03[[#This Row],[Static Parameters Plastic Section Modulus Zx (in3)]]</f>
        <v>7733.9525999999978</v>
      </c>
      <c r="AG179" s="190">
        <f>Table_03[[#This Row],[Mp (k-in)]]-(Table_03[[#This Row],[Mp (k-in)]]-0.7*Table_03[[#This Row],[Strength (ksi)]]*Table_03[[#This Row],[Static Parameters Elastic Section Modulus Sx (in3)2]])*((Table_03[[#This Row],[b/t]]-Table_03[[#This Row],[λpf]])/(Table_03[[#This Row],[λrf]]-Table_03[[#This Row],[λpf]]))</f>
        <v>7537.7116975480349</v>
      </c>
      <c r="AH179" s="193">
        <f>0.9*$B$4*Table_03[[#This Row],[kc]]*Table_03[[#This Row],[Static Parameters Elastic Section Modulus Sx (in3)2]]/Table_03[[#This Row],[b/t]]^2</f>
        <v>25294.862536199758</v>
      </c>
      <c r="AI179" s="194" t="str">
        <f>IF(Table_03[[#This Row],[b/t]]&lt;Table_03[[#This Row],[λpf]],"Compact",IF(AND(Table_03[[#This Row],[b/t]]&gt;Table_03[[#This Row],[λpf]],Table_03[[#This Row],[λrf]]&gt;Table_03[[#This Row],[b/t]]),"Non-Compact","Slender"))</f>
        <v>Non-Compact</v>
      </c>
      <c r="AJ179" s="195">
        <f>IF(Table_03[[#This Row],[Controlling LBx]]="Compact",Table_03[[#This Row],[Mp (k-in)]],IF(Table_03[[#This Row],[Controlling LBx]]="Non-Compact",Table_03[[#This Row],[Mnlb,Non-Compact (k-in)]],IF(Table_03[[#This Row],[Controlling LBx]]="Slender",Table_03[[#This Row],[Mnlb,slender (k-in)]],"ERROR")))</f>
        <v>7537.7116975480349</v>
      </c>
      <c r="AK179" s="192">
        <f>Table_03[[#This Row],[Mp (k-in)]]-(Table_03[[#This Row],[Mp (k-in)]]-0.7*Table_03[[#This Row],[Strength (ksi)]]*Table_03[[#This Row],[Static Parameters Elastic Section Modulus Sx (in3)2]])*(($B$5-Table_03[[#This Row],[Lp (ft)]])/(Table_03[[#This Row],[Lr]]-Table_03[[#This Row],[Lp (ft)]]))</f>
        <v>8296.0072860636064</v>
      </c>
      <c r="AL179" s="196">
        <f>Table_03[[#This Row],[Fcrx]]*Table_03[[#This Row],[Static Parameters Elastic Section Modulus Sx (in3)2]]</f>
        <v>94816.430428754276</v>
      </c>
      <c r="AM179" s="197" t="str">
        <f>IF($B$5&lt;Table_03[[#This Row],[Lp (ft)]],"Yielding Controls",IF(AND($B$5&gt;Table_03[[#This Row],[Lp (ft)]],Table_03[[#This Row],[Lr]]&gt;$B$5),"Mltb,p Controls","Mltb,r Controls"))</f>
        <v>Yielding Controls</v>
      </c>
      <c r="AN179" s="198">
        <f>IF(Table_03[[#This Row],[Controlling LTB]]="Yielding Controls",Table_03[[#This Row],[Mp (k-in)]],IF(Table_03[[#This Row],[Controlling LTB]]="Mltb,p Controls",Table_03[[#This Row],[Mnltbp (k-in)]],IF(Table_03[[#This Row],[Controlling LTB]]="Mltb,r Controls",Table_03[[#This Row],[Mnltbr (k-in)]],"ERROR")))</f>
        <v>7733.9525999999978</v>
      </c>
      <c r="AO179" s="199">
        <f>MIN(Table_03[[#This Row],[Strength (ksi)]]*Table_03[[#This Row],[Static Parameters Plastic Section Modulus Zy (in3)]],1.6*Table_03[[#This Row],[Strength (ksi)]]*Table_03[[#This Row],[Static Parameters Elastic Section Modulus Sy (in3)3]])</f>
        <v>3772.7316000000001</v>
      </c>
      <c r="AP179" s="169">
        <f>MIN(Table_03[[#This Row],[Mny (k-in)]],Table_03[[#This Row],[Mny (k-in)]]-(Table_03[[#This Row],[Mny (k-in)]]-0.7*Table_03[[#This Row],[Static Parameters Elastic Section Modulus Sy (in3)3]]*Table_03[[#This Row],[Strength (ksi)]])*((Table_03[[#This Row],[b/t]]-Table_03[[#This Row],[λpf]])/(Table_03[[#This Row],[λrf]]-Table_03[[#This Row],[λpf]])))</f>
        <v>3627.0238593229783</v>
      </c>
      <c r="AQ179" s="196">
        <f>MIN(Table_03[[#This Row],[Mny (k-in)]],Table_03[[#This Row],[Fcry]]*Table_03[[#This Row],[Static Parameters Elastic Section Modulus Sy (in3)3]])</f>
        <v>3772.7316000000001</v>
      </c>
      <c r="AR179" s="197" t="str">
        <f>IF(Table_03[[#This Row],[b/t]]&lt;Table_03[[#This Row],[λpf]],"Compact",IF(AND(Table_03[[#This Row],[b/t]]&gt;Table_03[[#This Row],[λpf]],Table_03[[#This Row],[λrf]]&gt;Table_03[[#This Row],[b/t]]),"Non-Compact","Slender"))</f>
        <v>Non-Compact</v>
      </c>
      <c r="AS179" s="198">
        <f>IF(Table_03[[#This Row],[Controlling Lby]]="Compact",Table_03[[#This Row],[Mny (k-in)]],IF(Table_03[[#This Row],[Controlling Lby]]="Non-Compact",Table_03[[#This Row],[Mlby,Non-Compact (k-in)]],IF(Table_03[[#This Row],[Controlling Lby]]="Slender",Table_03[[#This Row],[Mlby,Slender (k-in)]],"ERROR")))</f>
        <v>3627.0238593229783</v>
      </c>
      <c r="AT179" s="199">
        <f>MIN(Table_03[[#This Row],[LBx]],Table_03[[#This Row],[LTB]],Table_03[[#This Row],[Mp (k-in)]])</f>
        <v>7537.7116975480349</v>
      </c>
      <c r="AU179" s="169">
        <f>Table_03[[#This Row],[Mp (k-in)]]</f>
        <v>7733.9525999999978</v>
      </c>
      <c r="AV179" s="169">
        <f>MIN(Table_03[[#This Row],[LBy]],Table_03[[#This Row],[Mny (k-in)]])</f>
        <v>3627.0238593229783</v>
      </c>
      <c r="AW179" s="200">
        <f>Table_03[[#This Row],[Mny (k-in)]]</f>
        <v>3772.7316000000001</v>
      </c>
      <c r="AX179" s="165">
        <f>SQRT(((Table_03[[#This Row],[Sectional Area (in2)]]-(Table_03[[#This Row],[Flange Thickness tf (in)]]*Table_03[[#This Row],[Width w (in)]]*2+Table_03[[#This Row],[Web Thickness tw (in)]]*((Table_03[[#This Row],[Depth h (in)]]-2*Table_03[[#This Row],[Flange Thickness tf (in)]]))))/4)/(1-PI()/4))</f>
        <v>0.62712556614913517</v>
      </c>
      <c r="AY179" s="165">
        <f>IF(4/SQRT((Table_03[[#This Row],[Depth h (in)]]-Table_03[[#This Row],[Flange Thickness tf (in)]]*2)/Table_03[[#This Row],[Web Thickness tw (in)]])&lt;0.35,0.35,IF(4/SQRT(Table_03[[#This Row],[Depth h (in)]]/Table_03[[#This Row],[Web Thickness tw (in)]])&gt;0.76,0.76,4/SQRT(Table_03[[#This Row],[Depth h (in)]]/Table_03[[#This Row],[Web Thickness tw (in)]])))</f>
        <v>0.70861823310249838</v>
      </c>
      <c r="AZ179" s="165"/>
    </row>
    <row r="180" spans="1:52" ht="14.4" thickBot="1" x14ac:dyDescent="0.35">
      <c r="A180" s="201" t="s">
        <v>272</v>
      </c>
      <c r="B180" s="202">
        <v>14.04</v>
      </c>
      <c r="C180" s="202">
        <v>10.035</v>
      </c>
      <c r="D180" s="202">
        <v>0.41499999999999998</v>
      </c>
      <c r="E180" s="202">
        <v>0.72</v>
      </c>
      <c r="F180" s="203">
        <v>20</v>
      </c>
      <c r="G180" s="204">
        <v>68</v>
      </c>
      <c r="H180" s="203">
        <v>723</v>
      </c>
      <c r="I180" s="203">
        <v>121</v>
      </c>
      <c r="J180" s="203">
        <f>Table_03[[#This Row],[Width w (in)]]*Table_03[[#This Row],[Flange Thickness tf (in)]]*(Table_03[[#This Row],[Depth h (in)]]-Table_03[[#This Row],[Flange Thickness tf (in)]])+0.25*Table_03[[#This Row],[Web Thickness tw (in)]]*(Table_03[[#This Row],[Depth h (in)]]-2*Table_03[[#This Row],[Flange Thickness tf (in)]])^2</f>
        <v>112.71101399999999</v>
      </c>
      <c r="K180" s="203">
        <f>(Table_03[[#This Row],[Width w (in)]]^2*Table_03[[#This Row],[Flange Thickness tf (in)]])/2+0.25*Table_03[[#This Row],[Web Thickness tw (in)]]^2*(Table_03[[#This Row],[Depth h (in)]]-2*Table_03[[#This Row],[Flange Thickness tf (in)]])</f>
        <v>36.794949750000008</v>
      </c>
      <c r="L180" s="203">
        <v>103</v>
      </c>
      <c r="M180" s="203">
        <v>24.2</v>
      </c>
      <c r="N180" s="205">
        <v>50</v>
      </c>
      <c r="O180" s="206">
        <f>SQRT(Table_03[[#This Row],[Static Parameters Moment of Inertia Ix (in4)]]/Table_03[[#This Row],[Sectional Area (in2)]])</f>
        <v>6.0124870062229654</v>
      </c>
      <c r="P180" s="203">
        <f>SQRT(Table_03[[#This Row],[Static Parameters Moment of Inertia Iy (in4)]]/Table_03[[#This Row],[Sectional Area (in2)]])</f>
        <v>2.4596747752497685</v>
      </c>
      <c r="Q180" s="203">
        <f>($B$6*$B$5*12)/Table_03[[#This Row],[ry (in)2]]</f>
        <v>72.997455520015876</v>
      </c>
      <c r="R180" s="203">
        <f>(PI()^2*$B$4)/(Table_03[[#This Row],[KL/ry]]^2)</f>
        <v>53.713357379994342</v>
      </c>
      <c r="S180" s="203">
        <f>IF(Table_03[[#This Row],[Strength (ksi)]]/Table_03[[#This Row],[Fe,y]]&lt;2.25,(0.658^(Table_03[[#This Row],[Strength (ksi)]]/Table_03[[#This Row],[Fe,y]])*Table_03[[#This Row],[Strength (ksi)]]),0.877*Table_03[[#This Row],[Fe,y]])</f>
        <v>33.865887367312553</v>
      </c>
      <c r="T180" s="203">
        <f>Table_03[[#This Row],[Fcr,y]]*Table_03[[#This Row],[Sectional Area (in2)]]</f>
        <v>677.31774734625105</v>
      </c>
      <c r="U180" s="203">
        <f>1.76*Table_03[[#This Row],[ry (in)2]]*SQRT($B$4/Table_03[[#This Row],[Strength (ksi)]])/12</f>
        <v>8.6880658888436653</v>
      </c>
      <c r="V18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28.634856791788106</v>
      </c>
      <c r="W180" s="203">
        <f>Table_03[[#This Row],[Depth h (in)]]-Table_03[[#This Row],[Flange Thickness tf (in)]]</f>
        <v>13.319999999999999</v>
      </c>
      <c r="X180" s="203">
        <f>(Table_03[[#This Row],[Static Parameters Moment of Inertia Iy (in4)]]*Table_03[[#This Row],[ho]]^2)/4</f>
        <v>5367.0275999999985</v>
      </c>
      <c r="Y180" s="203">
        <f>SQRT((SQRT(Table_03[[#This Row],[Static Parameters Moment of Inertia Iy (in4)]]*Table_03[[#This Row],[Cw*]])/Table_03[[#This Row],[Static Parameters Elastic Section Modulus Sx (in3)2]]))</f>
        <v>2.7971205721501584</v>
      </c>
      <c r="Z180" s="203">
        <f>(2*Table_03[[#This Row],[Width w (in)]]*Table_03[[#This Row],[Flange Thickness tf (in)]]^3/3)+((Table_03[[#This Row],[Depth h (in)]]-Table_03[[#This Row],[Flange Thickness tf (in)]]*2)*Table_03[[#This Row],[Web Thickness tw (in)]]^3)/3</f>
        <v>2.7972172950000003</v>
      </c>
      <c r="AA180" s="203">
        <f>Table_03[[#This Row],[Width w (in)]]*0.5/Table_03[[#This Row],[Flange Thickness tf (in)]]</f>
        <v>6.96875</v>
      </c>
      <c r="AB180" s="203">
        <f>0.38*SQRT($B$4/Table_03[[#This Row],[Strength (ksi)]])</f>
        <v>9.1516118798821449</v>
      </c>
      <c r="AC180" s="203">
        <f>1*SQRT($B$4/Table_03[[#This Row],[Strength (ksi)]])</f>
        <v>24.083189157584592</v>
      </c>
      <c r="AD180" s="203">
        <f>(PI()^2*$B$4/(12*$B$5/Table_03[[#This Row],[rts]])^2)*SQRT(1+0.078*(Table_03[[#This Row],[J*]]/(Table_03[[#This Row],[Static Parameters Elastic Section Modulus Sx (in3)2]]*Table_03[[#This Row],[ho]])*$B$4/(12*$B$5/Table_03[[#This Row],[rts]])^2))</f>
        <v>307.08391726912151</v>
      </c>
      <c r="AE180" s="203">
        <f>0.69*$B$4/Table_03[[#This Row],[b/t]]^2</f>
        <v>412.03804621046072</v>
      </c>
      <c r="AF180" s="207">
        <f>Table_03[[#This Row],[Strength (ksi)]]*Table_03[[#This Row],[Static Parameters Plastic Section Modulus Zx (in3)]]</f>
        <v>5635.5506999999998</v>
      </c>
      <c r="AG180" s="203">
        <f>Table_03[[#This Row],[Mp (k-in)]]-(Table_03[[#This Row],[Mp (k-in)]]-0.7*Table_03[[#This Row],[Strength (ksi)]]*Table_03[[#This Row],[Static Parameters Elastic Section Modulus Sx (in3)2]])*((Table_03[[#This Row],[b/t]]-Table_03[[#This Row],[λpf]])/(Table_03[[#This Row],[λrf]]-Table_03[[#This Row],[λpf]]))</f>
        <v>5932.398891973462</v>
      </c>
      <c r="AH180" s="208">
        <f>0.9*$B$4*Table_03[[#This Row],[kc]]*Table_03[[#This Row],[Static Parameters Elastic Section Modulus Sx (in3)2]]/Table_03[[#This Row],[b/t]]^2</f>
        <v>38068.735232380219</v>
      </c>
      <c r="AI180" s="209" t="str">
        <f>IF(Table_03[[#This Row],[b/t]]&lt;Table_03[[#This Row],[λpf]],"Compact",IF(AND(Table_03[[#This Row],[b/t]]&gt;Table_03[[#This Row],[λpf]],Table_03[[#This Row],[λrf]]&gt;Table_03[[#This Row],[b/t]]),"Non-Compact","Slender"))</f>
        <v>Compact</v>
      </c>
      <c r="AJ180" s="210">
        <f>IF(Table_03[[#This Row],[Controlling LBx]]="Compact",Table_03[[#This Row],[Mp (k-in)]],IF(Table_03[[#This Row],[Controlling LBx]]="Non-Compact",Table_03[[#This Row],[Mnlb,Non-Compact (k-in)]],IF(Table_03[[#This Row],[Controlling LBx]]="Slender",Table_03[[#This Row],[Mnlb,slender (k-in)]],"ERROR")))</f>
        <v>5635.5506999999998</v>
      </c>
      <c r="AK180" s="207">
        <f>Table_03[[#This Row],[Mp (k-in)]]-(Table_03[[#This Row],[Mp (k-in)]]-0.7*Table_03[[#This Row],[Strength (ksi)]]*Table_03[[#This Row],[Static Parameters Elastic Section Modulus Sx (in3)2]])*(($B$5-Table_03[[#This Row],[Lp (ft)]])/(Table_03[[#This Row],[Lr]]-Table_03[[#This Row],[Lp (ft)]]))</f>
        <v>5794.6682517997288</v>
      </c>
      <c r="AL180" s="211">
        <f>Table_03[[#This Row],[Fcrx]]*Table_03[[#This Row],[Static Parameters Elastic Section Modulus Sx (in3)2]]</f>
        <v>31629.643478719518</v>
      </c>
      <c r="AM180" s="212" t="str">
        <f>IF($B$5&lt;Table_03[[#This Row],[Lp (ft)]],"Yielding Controls",IF(AND($B$5&gt;Table_03[[#This Row],[Lp (ft)]],Table_03[[#This Row],[Lr]]&gt;$B$5),"Mltb,p Controls","Mltb,r Controls"))</f>
        <v>Yielding Controls</v>
      </c>
      <c r="AN180" s="213">
        <f>IF(Table_03[[#This Row],[Controlling LTB]]="Yielding Controls",Table_03[[#This Row],[Mp (k-in)]],IF(Table_03[[#This Row],[Controlling LTB]]="Mltb,p Controls",Table_03[[#This Row],[Mnltbp (k-in)]],IF(Table_03[[#This Row],[Controlling LTB]]="Mltb,r Controls",Table_03[[#This Row],[Mnltbr (k-in)]],"ERROR")))</f>
        <v>5635.5506999999998</v>
      </c>
      <c r="AO180" s="214">
        <f>MIN(Table_03[[#This Row],[Strength (ksi)]]*Table_03[[#This Row],[Static Parameters Plastic Section Modulus Zy (in3)]],1.6*Table_03[[#This Row],[Strength (ksi)]]*Table_03[[#This Row],[Static Parameters Elastic Section Modulus Sy (in3)3]])</f>
        <v>1839.7474875000005</v>
      </c>
      <c r="AP180" s="206">
        <f>MIN(Table_03[[#This Row],[Mny (k-in)]],Table_03[[#This Row],[Mny (k-in)]]-(Table_03[[#This Row],[Mny (k-in)]]-0.7*Table_03[[#This Row],[Static Parameters Elastic Section Modulus Sy (in3)3]]*Table_03[[#This Row],[Strength (ksi)]])*((Table_03[[#This Row],[b/t]]-Table_03[[#This Row],[λpf]])/(Table_03[[#This Row],[λrf]]-Table_03[[#This Row],[λpf]])))</f>
        <v>1839.7474875000005</v>
      </c>
      <c r="AQ180" s="211">
        <f>MIN(Table_03[[#This Row],[Mny (k-in)]],Table_03[[#This Row],[Fcry]]*Table_03[[#This Row],[Static Parameters Elastic Section Modulus Sy (in3)3]])</f>
        <v>1839.7474875000005</v>
      </c>
      <c r="AR180" s="212" t="str">
        <f>IF(Table_03[[#This Row],[b/t]]&lt;Table_03[[#This Row],[λpf]],"Compact",IF(AND(Table_03[[#This Row],[b/t]]&gt;Table_03[[#This Row],[λpf]],Table_03[[#This Row],[λrf]]&gt;Table_03[[#This Row],[b/t]]),"Non-Compact","Slender"))</f>
        <v>Compact</v>
      </c>
      <c r="AS180" s="213">
        <f>IF(Table_03[[#This Row],[Controlling Lby]]="Compact",Table_03[[#This Row],[Mny (k-in)]],IF(Table_03[[#This Row],[Controlling Lby]]="Non-Compact",Table_03[[#This Row],[Mlby,Non-Compact (k-in)]],IF(Table_03[[#This Row],[Controlling Lby]]="Slender",Table_03[[#This Row],[Mlby,Slender (k-in)]],"ERROR")))</f>
        <v>1839.7474875000005</v>
      </c>
      <c r="AT180" s="214">
        <f>MIN(Table_03[[#This Row],[LBx]],Table_03[[#This Row],[LTB]],Table_03[[#This Row],[Mp (k-in)]])</f>
        <v>5635.5506999999998</v>
      </c>
      <c r="AU180" s="206">
        <f>Table_03[[#This Row],[Mp (k-in)]]</f>
        <v>5635.5506999999998</v>
      </c>
      <c r="AV180" s="206">
        <f>MIN(Table_03[[#This Row],[LBy]],Table_03[[#This Row],[Mny (k-in)]])</f>
        <v>1839.7474875000005</v>
      </c>
      <c r="AW180" s="215">
        <f>Table_03[[#This Row],[Mny (k-in)]]</f>
        <v>1839.7474875000005</v>
      </c>
      <c r="AX180" s="165">
        <f>SQRT(((Table_03[[#This Row],[Sectional Area (in2)]]-(Table_03[[#This Row],[Flange Thickness tf (in)]]*Table_03[[#This Row],[Width w (in)]]*2+Table_03[[#This Row],[Web Thickness tw (in)]]*((Table_03[[#This Row],[Depth h (in)]]-2*Table_03[[#This Row],[Flange Thickness tf (in)]]))))/4)/(1-PI()/4))</f>
        <v>0.61113203005650629</v>
      </c>
      <c r="AY180" s="165">
        <f>IF(4/SQRT((Table_03[[#This Row],[Depth h (in)]]-Table_03[[#This Row],[Flange Thickness tf (in)]]*2)/Table_03[[#This Row],[Web Thickness tw (in)]])&lt;0.35,0.35,IF(4/SQRT(Table_03[[#This Row],[Depth h (in)]]/Table_03[[#This Row],[Web Thickness tw (in)]])&gt;0.76,0.76,4/SQRT(Table_03[[#This Row],[Depth h (in)]]/Table_03[[#This Row],[Web Thickness tw (in)]])))</f>
        <v>0.6877023141843227</v>
      </c>
      <c r="AZ180" s="165"/>
    </row>
    <row r="181" spans="1:52" x14ac:dyDescent="0.3">
      <c r="A181" s="179" t="s">
        <v>273</v>
      </c>
      <c r="B181" s="180">
        <v>14.1</v>
      </c>
      <c r="C181" s="180">
        <v>6.77</v>
      </c>
      <c r="D181" s="180">
        <v>0.31</v>
      </c>
      <c r="E181" s="180">
        <v>0.51500000000000001</v>
      </c>
      <c r="F181" s="181">
        <v>11.2</v>
      </c>
      <c r="G181" s="180">
        <v>38</v>
      </c>
      <c r="H181" s="180">
        <v>385</v>
      </c>
      <c r="I181" s="180">
        <v>26.7</v>
      </c>
      <c r="J181" s="181">
        <f>Table_03[[#This Row],[Width w (in)]]*Table_03[[#This Row],[Flange Thickness tf (in)]]*(Table_03[[#This Row],[Depth h (in)]]-Table_03[[#This Row],[Flange Thickness tf (in)]])+0.25*Table_03[[#This Row],[Web Thickness tw (in)]]*(Table_03[[#This Row],[Depth h (in)]]-2*Table_03[[#This Row],[Flange Thickness tf (in)]])^2</f>
        <v>60.603711499999989</v>
      </c>
      <c r="K181" s="181">
        <f>(Table_03[[#This Row],[Width w (in)]]^2*Table_03[[#This Row],[Flange Thickness tf (in)]])/2+0.25*Table_03[[#This Row],[Web Thickness tw (in)]]^2*(Table_03[[#This Row],[Depth h (in)]]-2*Table_03[[#This Row],[Flange Thickness tf (in)]])</f>
        <v>12.115978500000001</v>
      </c>
      <c r="L181" s="181">
        <v>54.6</v>
      </c>
      <c r="M181" s="181">
        <v>7.9</v>
      </c>
      <c r="N181" s="182">
        <v>50</v>
      </c>
      <c r="O181" s="181">
        <f>SQRT(Table_03[[#This Row],[Static Parameters Moment of Inertia Ix (in4)]]/Table_03[[#This Row],[Sectional Area (in2)]])</f>
        <v>5.8630196997792874</v>
      </c>
      <c r="P181" s="181">
        <f>SQRT(Table_03[[#This Row],[Static Parameters Moment of Inertia Iy (in4)]]/Table_03[[#This Row],[Sectional Area (in2)]])</f>
        <v>1.5439975943726634</v>
      </c>
      <c r="Q181" s="181">
        <f>($B$6*$B$5*12)/Table_03[[#This Row],[ry (in)2]]</f>
        <v>116.28904128762738</v>
      </c>
      <c r="R181" s="181">
        <f>(PI()^2*$B$4)/(Table_03[[#This Row],[KL/ry]]^2)</f>
        <v>21.165092119921038</v>
      </c>
      <c r="S181" s="181">
        <f>IF(Table_03[[#This Row],[Strength (ksi)]]/Table_03[[#This Row],[Fe,y]]&lt;2.25,(0.658^(Table_03[[#This Row],[Strength (ksi)]]/Table_03[[#This Row],[Fe,y]])*Table_03[[#This Row],[Strength (ksi)]]),0.877*Table_03[[#This Row],[Fe,y]])</f>
        <v>18.561785789170749</v>
      </c>
      <c r="T181" s="181">
        <f>Table_03[[#This Row],[Fcr,y]]*Table_03[[#This Row],[Sectional Area (in2)]]</f>
        <v>207.89200083871236</v>
      </c>
      <c r="U181" s="181">
        <f>1.76*Table_03[[#This Row],[ry (in)2]]*SQRT($B$4/Table_03[[#This Row],[Strength (ksi)]])/12</f>
        <v>5.4537099648727549</v>
      </c>
      <c r="V181"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16.093909093020343</v>
      </c>
      <c r="W181" s="181">
        <f>Table_03[[#This Row],[Depth h (in)]]-Table_03[[#This Row],[Flange Thickness tf (in)]]</f>
        <v>13.584999999999999</v>
      </c>
      <c r="X181" s="181">
        <f>(Table_03[[#This Row],[Static Parameters Moment of Inertia Iy (in4)]]*Table_03[[#This Row],[ho]]^2)/4</f>
        <v>1231.8861018749997</v>
      </c>
      <c r="Y181" s="181">
        <f>SQRT((SQRT(Table_03[[#This Row],[Static Parameters Moment of Inertia Iy (in4)]]*Table_03[[#This Row],[Cw*]])/Table_03[[#This Row],[Static Parameters Elastic Section Modulus Sx (in3)2]]))</f>
        <v>1.8225276795860037</v>
      </c>
      <c r="Z181" s="181">
        <f>(2*Table_03[[#This Row],[Width w (in)]]*Table_03[[#This Row],[Flange Thickness tf (in)]]^3/3)+((Table_03[[#This Row],[Depth h (in)]]-Table_03[[#This Row],[Flange Thickness tf (in)]]*2)*Table_03[[#This Row],[Web Thickness tw (in)]]^3)/3</f>
        <v>0.74626960583333324</v>
      </c>
      <c r="AA181" s="181">
        <f>Table_03[[#This Row],[Width w (in)]]*0.5/Table_03[[#This Row],[Flange Thickness tf (in)]]</f>
        <v>6.5728155339805818</v>
      </c>
      <c r="AB181" s="181">
        <f>0.38*SQRT($B$4/Table_03[[#This Row],[Strength (ksi)]])</f>
        <v>9.1516118798821449</v>
      </c>
      <c r="AC181" s="181">
        <f>1*SQRT($B$4/Table_03[[#This Row],[Strength (ksi)]])</f>
        <v>24.083189157584592</v>
      </c>
      <c r="AD181" s="181">
        <f>(PI()^2*$B$4/(12*$B$5/Table_03[[#This Row],[rts]])^2)*SQRT(1+0.078*(Table_03[[#This Row],[J*]]/(Table_03[[#This Row],[Static Parameters Elastic Section Modulus Sx (in3)2]]*Table_03[[#This Row],[ho]])*$B$4/(12*$B$5/Table_03[[#This Row],[rts]])^2))</f>
        <v>130.11824893310956</v>
      </c>
      <c r="AE181" s="181">
        <f>0.69*$B$4/Table_03[[#This Row],[b/t]]^2</f>
        <v>463.17403000901112</v>
      </c>
      <c r="AF181" s="183">
        <f>Table_03[[#This Row],[Strength (ksi)]]*Table_03[[#This Row],[Static Parameters Plastic Section Modulus Zx (in3)]]</f>
        <v>3030.1855749999995</v>
      </c>
      <c r="AG181" s="181">
        <f>Table_03[[#This Row],[Mp (k-in)]]-(Table_03[[#This Row],[Mp (k-in)]]-0.7*Table_03[[#This Row],[Strength (ksi)]]*Table_03[[#This Row],[Static Parameters Elastic Section Modulus Sx (in3)2]])*((Table_03[[#This Row],[b/t]]-Table_03[[#This Row],[λpf]])/(Table_03[[#This Row],[λrf]]-Table_03[[#This Row],[λpf]]))</f>
        <v>3223.4773898912281</v>
      </c>
      <c r="AH181" s="184">
        <f>0.9*$B$4*Table_03[[#This Row],[kc]]*Table_03[[#This Row],[Static Parameters Elastic Section Modulus Sx (in3)2]]/Table_03[[#This Row],[b/t]]^2</f>
        <v>19564.175229927165</v>
      </c>
      <c r="AI181" s="185" t="str">
        <f>IF(Table_03[[#This Row],[b/t]]&lt;Table_03[[#This Row],[λpf]],"Compact",IF(AND(Table_03[[#This Row],[b/t]]&gt;Table_03[[#This Row],[λpf]],Table_03[[#This Row],[λrf]]&gt;Table_03[[#This Row],[b/t]]),"Non-Compact","Slender"))</f>
        <v>Compact</v>
      </c>
      <c r="AJ181" s="186">
        <f>IF(Table_03[[#This Row],[Controlling LBx]]="Compact",Table_03[[#This Row],[Mp (k-in)]],IF(Table_03[[#This Row],[Controlling LBx]]="Non-Compact",Table_03[[#This Row],[Mnlb,Non-Compact (k-in)]],IF(Table_03[[#This Row],[Controlling LBx]]="Slender",Table_03[[#This Row],[Mnlb,slender (k-in)]],"ERROR")))</f>
        <v>3030.1855749999995</v>
      </c>
      <c r="AK181" s="183">
        <f>Table_03[[#This Row],[Mp (k-in)]]-(Table_03[[#This Row],[Mp (k-in)]]-0.7*Table_03[[#This Row],[Strength (ksi)]]*Table_03[[#This Row],[Static Parameters Elastic Section Modulus Sx (in3)2]])*(($B$5-Table_03[[#This Row],[Lp (ft)]])/(Table_03[[#This Row],[Lr]]-Table_03[[#This Row],[Lp (ft)]]))</f>
        <v>2854.3915248672838</v>
      </c>
      <c r="AL181" s="184">
        <f>Table_03[[#This Row],[Fcrx]]*Table_03[[#This Row],[Static Parameters Elastic Section Modulus Sx (in3)2]]</f>
        <v>7104.4563917477817</v>
      </c>
      <c r="AM181" s="185" t="str">
        <f>IF($B$5&lt;Table_03[[#This Row],[Lp (ft)]],"Yielding Controls",IF(AND($B$5&gt;Table_03[[#This Row],[Lp (ft)]],Table_03[[#This Row],[Lr]]&gt;$B$5),"Mltb,p Controls","Mltb,r Controls"))</f>
        <v>Mltb,p Controls</v>
      </c>
      <c r="AN181" s="186">
        <f>IF(Table_03[[#This Row],[Controlling LTB]]="Yielding Controls",Table_03[[#This Row],[Mp (k-in)]],IF(Table_03[[#This Row],[Controlling LTB]]="Mltb,p Controls",Table_03[[#This Row],[Mnltbp (k-in)]],IF(Table_03[[#This Row],[Controlling LTB]]="Mltb,r Controls",Table_03[[#This Row],[Mnltbr (k-in)]],"ERROR")))</f>
        <v>2854.3915248672838</v>
      </c>
      <c r="AO181" s="183">
        <f>MIN(Table_03[[#This Row],[Strength (ksi)]]*Table_03[[#This Row],[Static Parameters Plastic Section Modulus Zy (in3)]],1.6*Table_03[[#This Row],[Strength (ksi)]]*Table_03[[#This Row],[Static Parameters Elastic Section Modulus Sy (in3)3]])</f>
        <v>605.79892500000005</v>
      </c>
      <c r="AP181" s="181">
        <f>MIN(Table_03[[#This Row],[Mny (k-in)]],Table_03[[#This Row],[Mny (k-in)]]-(Table_03[[#This Row],[Mny (k-in)]]-0.7*Table_03[[#This Row],[Static Parameters Elastic Section Modulus Sy (in3)3]]*Table_03[[#This Row],[Strength (ksi)]])*((Table_03[[#This Row],[b/t]]-Table_03[[#This Row],[λpf]])/(Table_03[[#This Row],[λrf]]-Table_03[[#This Row],[λpf]])))</f>
        <v>605.79892500000005</v>
      </c>
      <c r="AQ181" s="184">
        <f>MIN(Table_03[[#This Row],[Mny (k-in)]],Table_03[[#This Row],[Fcry]]*Table_03[[#This Row],[Static Parameters Elastic Section Modulus Sy (in3)3]])</f>
        <v>605.79892500000005</v>
      </c>
      <c r="AR181" s="185" t="str">
        <f>IF(Table_03[[#This Row],[b/t]]&lt;Table_03[[#This Row],[λpf]],"Compact",IF(AND(Table_03[[#This Row],[b/t]]&gt;Table_03[[#This Row],[λpf]],Table_03[[#This Row],[λrf]]&gt;Table_03[[#This Row],[b/t]]),"Non-Compact","Slender"))</f>
        <v>Compact</v>
      </c>
      <c r="AS181" s="186">
        <f>IF(Table_03[[#This Row],[Controlling Lby]]="Compact",Table_03[[#This Row],[Mny (k-in)]],IF(Table_03[[#This Row],[Controlling Lby]]="Non-Compact",Table_03[[#This Row],[Mlby,Non-Compact (k-in)]],IF(Table_03[[#This Row],[Controlling Lby]]="Slender",Table_03[[#This Row],[Mlby,Slender (k-in)]],"ERROR")))</f>
        <v>605.79892500000005</v>
      </c>
      <c r="AT181" s="183">
        <f>MIN(Table_03[[#This Row],[LBx]],Table_03[[#This Row],[LTB]],Table_03[[#This Row],[Mp (k-in)]])</f>
        <v>2854.3915248672838</v>
      </c>
      <c r="AU181" s="181">
        <f>Table_03[[#This Row],[Mp (k-in)]]</f>
        <v>3030.1855749999995</v>
      </c>
      <c r="AV181" s="181">
        <f>MIN(Table_03[[#This Row],[LBy]],Table_03[[#This Row],[Mny (k-in)]])</f>
        <v>605.79892500000005</v>
      </c>
      <c r="AW181" s="187">
        <f>Table_03[[#This Row],[Mny (k-in)]]</f>
        <v>605.79892500000005</v>
      </c>
      <c r="AX181" s="165">
        <f>SQRT(((Table_03[[#This Row],[Sectional Area (in2)]]-(Table_03[[#This Row],[Flange Thickness tf (in)]]*Table_03[[#This Row],[Width w (in)]]*2+Table_03[[#This Row],[Web Thickness tw (in)]]*((Table_03[[#This Row],[Depth h (in)]]-2*Table_03[[#This Row],[Flange Thickness tf (in)]]))))/4)/(1-PI()/4))</f>
        <v>0.45177306874697237</v>
      </c>
      <c r="AY181" s="165">
        <f>IF(4/SQRT((Table_03[[#This Row],[Depth h (in)]]-Table_03[[#This Row],[Flange Thickness tf (in)]]*2)/Table_03[[#This Row],[Web Thickness tw (in)]])&lt;0.35,0.35,IF(4/SQRT(Table_03[[#This Row],[Depth h (in)]]/Table_03[[#This Row],[Web Thickness tw (in)]])&gt;0.76,0.76,4/SQRT(Table_03[[#This Row],[Depth h (in)]]/Table_03[[#This Row],[Web Thickness tw (in)]])))</f>
        <v>0.59310458575650049</v>
      </c>
      <c r="AZ181" s="165"/>
    </row>
    <row r="182" spans="1:52" x14ac:dyDescent="0.3">
      <c r="A182" s="188" t="s">
        <v>274</v>
      </c>
      <c r="B182" s="189">
        <v>14.16</v>
      </c>
      <c r="C182" s="189">
        <v>14.565</v>
      </c>
      <c r="D182" s="189">
        <v>0.48499999999999999</v>
      </c>
      <c r="E182" s="189">
        <v>0.78</v>
      </c>
      <c r="F182" s="190">
        <v>29.1</v>
      </c>
      <c r="G182" s="189">
        <v>99</v>
      </c>
      <c r="H182" s="190">
        <v>1110</v>
      </c>
      <c r="I182" s="190">
        <v>402</v>
      </c>
      <c r="J182" s="190">
        <f>Table_03[[#This Row],[Width w (in)]]*Table_03[[#This Row],[Flange Thickness tf (in)]]*(Table_03[[#This Row],[Depth h (in)]]-Table_03[[#This Row],[Flange Thickness tf (in)]])+0.25*Table_03[[#This Row],[Web Thickness tw (in)]]*(Table_03[[#This Row],[Depth h (in)]]-2*Table_03[[#This Row],[Flange Thickness tf (in)]])^2</f>
        <v>171.25581600000001</v>
      </c>
      <c r="K182" s="190">
        <f>(Table_03[[#This Row],[Width w (in)]]^2*Table_03[[#This Row],[Flange Thickness tf (in)]])/2+0.25*Table_03[[#This Row],[Web Thickness tw (in)]]^2*(Table_03[[#This Row],[Depth h (in)]]-2*Table_03[[#This Row],[Flange Thickness tf (in)]])</f>
        <v>83.4752565</v>
      </c>
      <c r="L182" s="190">
        <v>157</v>
      </c>
      <c r="M182" s="190">
        <v>55.2</v>
      </c>
      <c r="N182" s="191">
        <v>50</v>
      </c>
      <c r="O182" s="169">
        <f>SQRT(Table_03[[#This Row],[Static Parameters Moment of Inertia Ix (in4)]]/Table_03[[#This Row],[Sectional Area (in2)]])</f>
        <v>6.1761096085567662</v>
      </c>
      <c r="P182" s="190">
        <f>SQRT(Table_03[[#This Row],[Static Parameters Moment of Inertia Iy (in4)]]/Table_03[[#This Row],[Sectional Area (in2)]])</f>
        <v>3.7167772316471592</v>
      </c>
      <c r="Q182" s="190">
        <f>($B$6*$B$5*12)/Table_03[[#This Row],[ry (in)2]]</f>
        <v>48.307979954028369</v>
      </c>
      <c r="R182" s="190">
        <f>(PI()^2*$B$4)/(Table_03[[#This Row],[KL/ry]]^2)</f>
        <v>122.64786383094901</v>
      </c>
      <c r="S182" s="190">
        <f>IF(Table_03[[#This Row],[Strength (ksi)]]/Table_03[[#This Row],[Fe,y]]&lt;2.25,(0.658^(Table_03[[#This Row],[Strength (ksi)]]/Table_03[[#This Row],[Fe,y]])*Table_03[[#This Row],[Strength (ksi)]]),0.877*Table_03[[#This Row],[Fe,y]])</f>
        <v>42.156635131134813</v>
      </c>
      <c r="T182" s="190">
        <f>Table_03[[#This Row],[Fcr,y]]*Table_03[[#This Row],[Sectional Area (in2)]]</f>
        <v>1226.7580823160231</v>
      </c>
      <c r="U182" s="190">
        <f>1.76*Table_03[[#This Row],[ry (in)2]]*SQRT($B$4/Table_03[[#This Row],[Strength (ksi)]])/12</f>
        <v>13.128404538533113</v>
      </c>
      <c r="V18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44.529931024106389</v>
      </c>
      <c r="W182" s="190">
        <f>Table_03[[#This Row],[Depth h (in)]]-Table_03[[#This Row],[Flange Thickness tf (in)]]</f>
        <v>13.38</v>
      </c>
      <c r="X182" s="190">
        <f>(Table_03[[#This Row],[Static Parameters Moment of Inertia Iy (in4)]]*Table_03[[#This Row],[ho]]^2)/4</f>
        <v>17991.9522</v>
      </c>
      <c r="Y182" s="190">
        <f>SQRT((SQRT(Table_03[[#This Row],[Static Parameters Moment of Inertia Iy (in4)]]*Table_03[[#This Row],[Cw*]])/Table_03[[#This Row],[Static Parameters Elastic Section Modulus Sx (in3)2]]))</f>
        <v>4.1388173331517608</v>
      </c>
      <c r="Z182" s="190">
        <f>(2*Table_03[[#This Row],[Width w (in)]]*Table_03[[#This Row],[Flange Thickness tf (in)]]^3/3)+((Table_03[[#This Row],[Depth h (in)]]-Table_03[[#This Row],[Flange Thickness tf (in)]]*2)*Table_03[[#This Row],[Web Thickness tw (in)]]^3)/3</f>
        <v>5.0870532449999999</v>
      </c>
      <c r="AA182" s="190">
        <f>Table_03[[#This Row],[Width w (in)]]*0.5/Table_03[[#This Row],[Flange Thickness tf (in)]]</f>
        <v>9.3365384615384617</v>
      </c>
      <c r="AB182" s="190">
        <f>0.38*SQRT($B$4/Table_03[[#This Row],[Strength (ksi)]])</f>
        <v>9.1516118798821449</v>
      </c>
      <c r="AC182" s="190">
        <f>1*SQRT($B$4/Table_03[[#This Row],[Strength (ksi)]])</f>
        <v>24.083189157584592</v>
      </c>
      <c r="AD182" s="190">
        <f>(PI()^2*$B$4/(12*$B$5/Table_03[[#This Row],[rts]])^2)*SQRT(1+0.078*(Table_03[[#This Row],[J*]]/(Table_03[[#This Row],[Static Parameters Elastic Section Modulus Sx (in3)2]]*Table_03[[#This Row],[ho]])*$B$4/(12*$B$5/Table_03[[#This Row],[rts]])^2))</f>
        <v>674.97479717157989</v>
      </c>
      <c r="AE182" s="190">
        <f>0.69*$B$4/Table_03[[#This Row],[b/t]]^2</f>
        <v>229.54894833805488</v>
      </c>
      <c r="AF182" s="192">
        <f>Table_03[[#This Row],[Strength (ksi)]]*Table_03[[#This Row],[Static Parameters Plastic Section Modulus Zx (in3)]]</f>
        <v>8562.7908000000007</v>
      </c>
      <c r="AG182" s="190">
        <f>Table_03[[#This Row],[Mp (k-in)]]-(Table_03[[#This Row],[Mp (k-in)]]-0.7*Table_03[[#This Row],[Strength (ksi)]]*Table_03[[#This Row],[Static Parameters Elastic Section Modulus Sx (in3)2]])*((Table_03[[#This Row],[b/t]]-Table_03[[#This Row],[λpf]])/(Table_03[[#This Row],[λrf]]-Table_03[[#This Row],[λpf]]))</f>
        <v>8524.7964170001633</v>
      </c>
      <c r="AH182" s="193">
        <f>0.9*$B$4*Table_03[[#This Row],[kc]]*Table_03[[#This Row],[Static Parameters Elastic Section Modulus Sx (in3)2]]/Table_03[[#This Row],[b/t]]^2</f>
        <v>34799.067983617591</v>
      </c>
      <c r="AI182" s="194" t="str">
        <f>IF(Table_03[[#This Row],[b/t]]&lt;Table_03[[#This Row],[λpf]],"Compact",IF(AND(Table_03[[#This Row],[b/t]]&gt;Table_03[[#This Row],[λpf]],Table_03[[#This Row],[λrf]]&gt;Table_03[[#This Row],[b/t]]),"Non-Compact","Slender"))</f>
        <v>Non-Compact</v>
      </c>
      <c r="AJ182" s="195">
        <f>IF(Table_03[[#This Row],[Controlling LBx]]="Compact",Table_03[[#This Row],[Mp (k-in)]],IF(Table_03[[#This Row],[Controlling LBx]]="Non-Compact",Table_03[[#This Row],[Mnlb,Non-Compact (k-in)]],IF(Table_03[[#This Row],[Controlling LBx]]="Slender",Table_03[[#This Row],[Mnlb,slender (k-in)]],"ERROR")))</f>
        <v>8524.7964170001633</v>
      </c>
      <c r="AK182" s="192">
        <f>Table_03[[#This Row],[Mp (k-in)]]-(Table_03[[#This Row],[Mp (k-in)]]-0.7*Table_03[[#This Row],[Strength (ksi)]]*Table_03[[#This Row],[Static Parameters Elastic Section Modulus Sx (in3)2]])*(($B$5-Table_03[[#This Row],[Lp (ft)]])/(Table_03[[#This Row],[Lr]]-Table_03[[#This Row],[Lp (ft)]]))</f>
        <v>9149.2969757571409</v>
      </c>
      <c r="AL182" s="196">
        <f>Table_03[[#This Row],[Fcrx]]*Table_03[[#This Row],[Static Parameters Elastic Section Modulus Sx (in3)2]]</f>
        <v>105971.04315593804</v>
      </c>
      <c r="AM182" s="197" t="str">
        <f>IF($B$5&lt;Table_03[[#This Row],[Lp (ft)]],"Yielding Controls",IF(AND($B$5&gt;Table_03[[#This Row],[Lp (ft)]],Table_03[[#This Row],[Lr]]&gt;$B$5),"Mltb,p Controls","Mltb,r Controls"))</f>
        <v>Yielding Controls</v>
      </c>
      <c r="AN182" s="198">
        <f>IF(Table_03[[#This Row],[Controlling LTB]]="Yielding Controls",Table_03[[#This Row],[Mp (k-in)]],IF(Table_03[[#This Row],[Controlling LTB]]="Mltb,p Controls",Table_03[[#This Row],[Mnltbp (k-in)]],IF(Table_03[[#This Row],[Controlling LTB]]="Mltb,r Controls",Table_03[[#This Row],[Mnltbr (k-in)]],"ERROR")))</f>
        <v>8562.7908000000007</v>
      </c>
      <c r="AO182" s="199">
        <f>MIN(Table_03[[#This Row],[Strength (ksi)]]*Table_03[[#This Row],[Static Parameters Plastic Section Modulus Zy (in3)]],1.6*Table_03[[#This Row],[Strength (ksi)]]*Table_03[[#This Row],[Static Parameters Elastic Section Modulus Sy (in3)3]])</f>
        <v>4173.7628249999998</v>
      </c>
      <c r="AP182" s="169">
        <f>MIN(Table_03[[#This Row],[Mny (k-in)]],Table_03[[#This Row],[Mny (k-in)]]-(Table_03[[#This Row],[Mny (k-in)]]-0.7*Table_03[[#This Row],[Static Parameters Elastic Section Modulus Sy (in3)3]]*Table_03[[#This Row],[Strength (ksi)]])*((Table_03[[#This Row],[b/t]]-Table_03[[#This Row],[λpf]])/(Table_03[[#This Row],[λrf]]-Table_03[[#This Row],[λpf]])))</f>
        <v>4145.9987429876774</v>
      </c>
      <c r="AQ182" s="196">
        <f>MIN(Table_03[[#This Row],[Mny (k-in)]],Table_03[[#This Row],[Fcry]]*Table_03[[#This Row],[Static Parameters Elastic Section Modulus Sy (in3)3]])</f>
        <v>4173.7628249999998</v>
      </c>
      <c r="AR182" s="197" t="str">
        <f>IF(Table_03[[#This Row],[b/t]]&lt;Table_03[[#This Row],[λpf]],"Compact",IF(AND(Table_03[[#This Row],[b/t]]&gt;Table_03[[#This Row],[λpf]],Table_03[[#This Row],[λrf]]&gt;Table_03[[#This Row],[b/t]]),"Non-Compact","Slender"))</f>
        <v>Non-Compact</v>
      </c>
      <c r="AS182" s="198">
        <f>IF(Table_03[[#This Row],[Controlling Lby]]="Compact",Table_03[[#This Row],[Mny (k-in)]],IF(Table_03[[#This Row],[Controlling Lby]]="Non-Compact",Table_03[[#This Row],[Mlby,Non-Compact (k-in)]],IF(Table_03[[#This Row],[Controlling Lby]]="Slender",Table_03[[#This Row],[Mlby,Slender (k-in)]],"ERROR")))</f>
        <v>4145.9987429876774</v>
      </c>
      <c r="AT182" s="199">
        <f>MIN(Table_03[[#This Row],[LBx]],Table_03[[#This Row],[LTB]],Table_03[[#This Row],[Mp (k-in)]])</f>
        <v>8524.7964170001633</v>
      </c>
      <c r="AU182" s="169">
        <f>Table_03[[#This Row],[Mp (k-in)]]</f>
        <v>8562.7908000000007</v>
      </c>
      <c r="AV182" s="169">
        <f>MIN(Table_03[[#This Row],[LBy]],Table_03[[#This Row],[Mny (k-in)]])</f>
        <v>4145.9987429876774</v>
      </c>
      <c r="AW182" s="200">
        <f>Table_03[[#This Row],[Mny (k-in)]]</f>
        <v>4173.7628249999998</v>
      </c>
      <c r="AX182" s="165">
        <f>SQRT(((Table_03[[#This Row],[Sectional Area (in2)]]-(Table_03[[#This Row],[Flange Thickness tf (in)]]*Table_03[[#This Row],[Width w (in)]]*2+Table_03[[#This Row],[Web Thickness tw (in)]]*((Table_03[[#This Row],[Depth h (in)]]-2*Table_03[[#This Row],[Flange Thickness tf (in)]]))))/4)/(1-PI()/4))</f>
        <v>0.55833691379594175</v>
      </c>
      <c r="AY182" s="165">
        <f>IF(4/SQRT((Table_03[[#This Row],[Depth h (in)]]-Table_03[[#This Row],[Flange Thickness tf (in)]]*2)/Table_03[[#This Row],[Web Thickness tw (in)]])&lt;0.35,0.35,IF(4/SQRT(Table_03[[#This Row],[Depth h (in)]]/Table_03[[#This Row],[Web Thickness tw (in)]])&gt;0.76,0.76,4/SQRT(Table_03[[#This Row],[Depth h (in)]]/Table_03[[#This Row],[Web Thickness tw (in)]])))</f>
        <v>0.74028548470847133</v>
      </c>
      <c r="AZ182" s="165"/>
    </row>
    <row r="183" spans="1:52" ht="14.4" thickBot="1" x14ac:dyDescent="0.35">
      <c r="A183" s="201" t="s">
        <v>275</v>
      </c>
      <c r="B183" s="202">
        <v>14.17</v>
      </c>
      <c r="C183" s="202">
        <v>10.07</v>
      </c>
      <c r="D183" s="202">
        <v>0.45</v>
      </c>
      <c r="E183" s="202">
        <v>0.78500000000000003</v>
      </c>
      <c r="F183" s="203">
        <v>21.8</v>
      </c>
      <c r="G183" s="204">
        <v>74</v>
      </c>
      <c r="H183" s="203">
        <v>796</v>
      </c>
      <c r="I183" s="203">
        <v>134</v>
      </c>
      <c r="J183" s="203">
        <f>Table_03[[#This Row],[Width w (in)]]*Table_03[[#This Row],[Flange Thickness tf (in)]]*(Table_03[[#This Row],[Depth h (in)]]-Table_03[[#This Row],[Flange Thickness tf (in)]])+0.25*Table_03[[#This Row],[Web Thickness tw (in)]]*(Table_03[[#This Row],[Depth h (in)]]-2*Table_03[[#This Row],[Flange Thickness tf (in)]])^2</f>
        <v>123.66825575</v>
      </c>
      <c r="K183" s="203">
        <f>(Table_03[[#This Row],[Width w (in)]]^2*Table_03[[#This Row],[Flange Thickness tf (in)]])/2+0.25*Table_03[[#This Row],[Web Thickness tw (in)]]^2*(Table_03[[#This Row],[Depth h (in)]]-2*Table_03[[#This Row],[Flange Thickness tf (in)]])</f>
        <v>40.439298250000007</v>
      </c>
      <c r="L183" s="203">
        <v>112</v>
      </c>
      <c r="M183" s="203">
        <v>26.6</v>
      </c>
      <c r="N183" s="205">
        <v>50</v>
      </c>
      <c r="O183" s="206">
        <f>SQRT(Table_03[[#This Row],[Static Parameters Moment of Inertia Ix (in4)]]/Table_03[[#This Row],[Sectional Area (in2)]])</f>
        <v>6.0426617866541159</v>
      </c>
      <c r="P183" s="203">
        <f>SQRT(Table_03[[#This Row],[Static Parameters Moment of Inertia Iy (in4)]]/Table_03[[#This Row],[Sectional Area (in2)]])</f>
        <v>2.4792718670661529</v>
      </c>
      <c r="Q183" s="203">
        <f>($B$6*$B$5*12)/Table_03[[#This Row],[ry (in)2]]</f>
        <v>72.420456338445277</v>
      </c>
      <c r="R183" s="203">
        <f>(PI()^2*$B$4)/(Table_03[[#This Row],[KL/ry]]^2)</f>
        <v>54.572673355972718</v>
      </c>
      <c r="S183" s="203">
        <f>IF(Table_03[[#This Row],[Strength (ksi)]]/Table_03[[#This Row],[Fe,y]]&lt;2.25,(0.658^(Table_03[[#This Row],[Strength (ksi)]]/Table_03[[#This Row],[Fe,y]])*Table_03[[#This Row],[Strength (ksi)]]),0.877*Table_03[[#This Row],[Fe,y]])</f>
        <v>34.074292496624906</v>
      </c>
      <c r="T183" s="203">
        <f>Table_03[[#This Row],[Fcr,y]]*Table_03[[#This Row],[Sectional Area (in2)]]</f>
        <v>742.81957642642294</v>
      </c>
      <c r="U183" s="203">
        <f>1.76*Table_03[[#This Row],[ry (in)2]]*SQRT($B$4/Table_03[[#This Row],[Strength (ksi)]])/12</f>
        <v>8.7572867576527056</v>
      </c>
      <c r="V183"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30.444490861779354</v>
      </c>
      <c r="W183" s="203">
        <f>Table_03[[#This Row],[Depth h (in)]]-Table_03[[#This Row],[Flange Thickness tf (in)]]</f>
        <v>13.385</v>
      </c>
      <c r="X183" s="203">
        <f>(Table_03[[#This Row],[Static Parameters Moment of Inertia Iy (in4)]]*Table_03[[#This Row],[ho]]^2)/4</f>
        <v>6001.8005374999993</v>
      </c>
      <c r="Y183" s="203">
        <f>SQRT((SQRT(Table_03[[#This Row],[Static Parameters Moment of Inertia Iy (in4)]]*Table_03[[#This Row],[Cw*]])/Table_03[[#This Row],[Static Parameters Elastic Section Modulus Sx (in3)2]]))</f>
        <v>2.8296816453950635</v>
      </c>
      <c r="Z183" s="203">
        <f>(2*Table_03[[#This Row],[Width w (in)]]*Table_03[[#This Row],[Flange Thickness tf (in)]]^3/3)+((Table_03[[#This Row],[Depth h (in)]]-Table_03[[#This Row],[Flange Thickness tf (in)]]*2)*Table_03[[#This Row],[Web Thickness tw (in)]]^3)/3</f>
        <v>3.630210209166667</v>
      </c>
      <c r="AA183" s="203">
        <f>Table_03[[#This Row],[Width w (in)]]*0.5/Table_03[[#This Row],[Flange Thickness tf (in)]]</f>
        <v>6.4140127388535033</v>
      </c>
      <c r="AB183" s="203">
        <f>0.38*SQRT($B$4/Table_03[[#This Row],[Strength (ksi)]])</f>
        <v>9.1516118798821449</v>
      </c>
      <c r="AC183" s="203">
        <f>1*SQRT($B$4/Table_03[[#This Row],[Strength (ksi)]])</f>
        <v>24.083189157584592</v>
      </c>
      <c r="AD183" s="203">
        <f>(PI()^2*$B$4/(12*$B$5/Table_03[[#This Row],[rts]])^2)*SQRT(1+0.078*(Table_03[[#This Row],[J*]]/(Table_03[[#This Row],[Static Parameters Elastic Section Modulus Sx (in3)2]]*Table_03[[#This Row],[ho]])*$B$4/(12*$B$5/Table_03[[#This Row],[rts]])^2))</f>
        <v>314.44131154624745</v>
      </c>
      <c r="AE183" s="203">
        <f>0.69*$B$4/Table_03[[#This Row],[b/t]]^2</f>
        <v>486.39315259913474</v>
      </c>
      <c r="AF183" s="207">
        <f>Table_03[[#This Row],[Strength (ksi)]]*Table_03[[#This Row],[Static Parameters Plastic Section Modulus Zx (in3)]]</f>
        <v>6183.4127875000004</v>
      </c>
      <c r="AG183" s="203">
        <f>Table_03[[#This Row],[Mp (k-in)]]-(Table_03[[#This Row],[Mp (k-in)]]-0.7*Table_03[[#This Row],[Strength (ksi)]]*Table_03[[#This Row],[Static Parameters Elastic Section Modulus Sx (in3)2]])*((Table_03[[#This Row],[b/t]]-Table_03[[#This Row],[λpf]])/(Table_03[[#This Row],[λrf]]-Table_03[[#This Row],[λpf]]))</f>
        <v>6598.3935217929738</v>
      </c>
      <c r="AH183" s="208">
        <f>0.9*$B$4*Table_03[[#This Row],[kc]]*Table_03[[#This Row],[Static Parameters Elastic Section Modulus Sx (in3)2]]/Table_03[[#This Row],[b/t]]^2</f>
        <v>50650.089465617966</v>
      </c>
      <c r="AI183" s="209" t="str">
        <f>IF(Table_03[[#This Row],[b/t]]&lt;Table_03[[#This Row],[λpf]],"Compact",IF(AND(Table_03[[#This Row],[b/t]]&gt;Table_03[[#This Row],[λpf]],Table_03[[#This Row],[λrf]]&gt;Table_03[[#This Row],[b/t]]),"Non-Compact","Slender"))</f>
        <v>Compact</v>
      </c>
      <c r="AJ183" s="210">
        <f>IF(Table_03[[#This Row],[Controlling LBx]]="Compact",Table_03[[#This Row],[Mp (k-in)]],IF(Table_03[[#This Row],[Controlling LBx]]="Non-Compact",Table_03[[#This Row],[Mnlb,Non-Compact (k-in)]],IF(Table_03[[#This Row],[Controlling LBx]]="Slender",Table_03[[#This Row],[Mnlb,slender (k-in)]],"ERROR")))</f>
        <v>6183.4127875000004</v>
      </c>
      <c r="AK183" s="207">
        <f>Table_03[[#This Row],[Mp (k-in)]]-(Table_03[[#This Row],[Mp (k-in)]]-0.7*Table_03[[#This Row],[Strength (ksi)]]*Table_03[[#This Row],[Static Parameters Elastic Section Modulus Sx (in3)2]])*(($B$5-Table_03[[#This Row],[Lp (ft)]])/(Table_03[[#This Row],[Lr]]-Table_03[[#This Row],[Lp (ft)]]))</f>
        <v>6353.7684821483044</v>
      </c>
      <c r="AL183" s="211">
        <f>Table_03[[#This Row],[Fcrx]]*Table_03[[#This Row],[Static Parameters Elastic Section Modulus Sx (in3)2]]</f>
        <v>35217.426893179712</v>
      </c>
      <c r="AM183" s="212" t="str">
        <f>IF($B$5&lt;Table_03[[#This Row],[Lp (ft)]],"Yielding Controls",IF(AND($B$5&gt;Table_03[[#This Row],[Lp (ft)]],Table_03[[#This Row],[Lr]]&gt;$B$5),"Mltb,p Controls","Mltb,r Controls"))</f>
        <v>Yielding Controls</v>
      </c>
      <c r="AN183" s="213">
        <f>IF(Table_03[[#This Row],[Controlling LTB]]="Yielding Controls",Table_03[[#This Row],[Mp (k-in)]],IF(Table_03[[#This Row],[Controlling LTB]]="Mltb,p Controls",Table_03[[#This Row],[Mnltbp (k-in)]],IF(Table_03[[#This Row],[Controlling LTB]]="Mltb,r Controls",Table_03[[#This Row],[Mnltbr (k-in)]],"ERROR")))</f>
        <v>6183.4127875000004</v>
      </c>
      <c r="AO183" s="214">
        <f>MIN(Table_03[[#This Row],[Strength (ksi)]]*Table_03[[#This Row],[Static Parameters Plastic Section Modulus Zy (in3)]],1.6*Table_03[[#This Row],[Strength (ksi)]]*Table_03[[#This Row],[Static Parameters Elastic Section Modulus Sy (in3)3]])</f>
        <v>2021.9649125000003</v>
      </c>
      <c r="AP183" s="206">
        <f>MIN(Table_03[[#This Row],[Mny (k-in)]],Table_03[[#This Row],[Mny (k-in)]]-(Table_03[[#This Row],[Mny (k-in)]]-0.7*Table_03[[#This Row],[Static Parameters Elastic Section Modulus Sy (in3)3]]*Table_03[[#This Row],[Strength (ksi)]])*((Table_03[[#This Row],[b/t]]-Table_03[[#This Row],[λpf]])/(Table_03[[#This Row],[λrf]]-Table_03[[#This Row],[λpf]])))</f>
        <v>2021.9649125000003</v>
      </c>
      <c r="AQ183" s="211">
        <f>MIN(Table_03[[#This Row],[Mny (k-in)]],Table_03[[#This Row],[Fcry]]*Table_03[[#This Row],[Static Parameters Elastic Section Modulus Sy (in3)3]])</f>
        <v>2021.9649125000003</v>
      </c>
      <c r="AR183" s="212" t="str">
        <f>IF(Table_03[[#This Row],[b/t]]&lt;Table_03[[#This Row],[λpf]],"Compact",IF(AND(Table_03[[#This Row],[b/t]]&gt;Table_03[[#This Row],[λpf]],Table_03[[#This Row],[λrf]]&gt;Table_03[[#This Row],[b/t]]),"Non-Compact","Slender"))</f>
        <v>Compact</v>
      </c>
      <c r="AS183" s="213">
        <f>IF(Table_03[[#This Row],[Controlling Lby]]="Compact",Table_03[[#This Row],[Mny (k-in)]],IF(Table_03[[#This Row],[Controlling Lby]]="Non-Compact",Table_03[[#This Row],[Mlby,Non-Compact (k-in)]],IF(Table_03[[#This Row],[Controlling Lby]]="Slender",Table_03[[#This Row],[Mlby,Slender (k-in)]],"ERROR")))</f>
        <v>2021.9649125000003</v>
      </c>
      <c r="AT183" s="214">
        <f>MIN(Table_03[[#This Row],[LBx]],Table_03[[#This Row],[LTB]],Table_03[[#This Row],[Mp (k-in)]])</f>
        <v>6183.4127875000004</v>
      </c>
      <c r="AU183" s="206">
        <f>Table_03[[#This Row],[Mp (k-in)]]</f>
        <v>6183.4127875000004</v>
      </c>
      <c r="AV183" s="206">
        <f>MIN(Table_03[[#This Row],[LBy]],Table_03[[#This Row],[Mny (k-in)]])</f>
        <v>2021.9649125000003</v>
      </c>
      <c r="AW183" s="215">
        <f>Table_03[[#This Row],[Mny (k-in)]]</f>
        <v>2021.9649125000003</v>
      </c>
      <c r="AX183" s="165">
        <f>SQRT(((Table_03[[#This Row],[Sectional Area (in2)]]-(Table_03[[#This Row],[Flange Thickness tf (in)]]*Table_03[[#This Row],[Width w (in)]]*2+Table_03[[#This Row],[Web Thickness tw (in)]]*((Table_03[[#This Row],[Depth h (in)]]-2*Table_03[[#This Row],[Flange Thickness tf (in)]]))))/4)/(1-PI()/4))</f>
        <v>0.61065529074527569</v>
      </c>
      <c r="AY183" s="165">
        <f>IF(4/SQRT((Table_03[[#This Row],[Depth h (in)]]-Table_03[[#This Row],[Flange Thickness tf (in)]]*2)/Table_03[[#This Row],[Web Thickness tw (in)]])&lt;0.35,0.35,IF(4/SQRT(Table_03[[#This Row],[Depth h (in)]]/Table_03[[#This Row],[Web Thickness tw (in)]])&gt;0.76,0.76,4/SQRT(Table_03[[#This Row],[Depth h (in)]]/Table_03[[#This Row],[Web Thickness tw (in)]])))</f>
        <v>0.71282237441983798</v>
      </c>
      <c r="AZ183" s="165"/>
    </row>
    <row r="184" spans="1:52" x14ac:dyDescent="0.3">
      <c r="A184" s="179" t="s">
        <v>276</v>
      </c>
      <c r="B184" s="180">
        <v>14.31</v>
      </c>
      <c r="C184" s="180">
        <v>10.130000000000001</v>
      </c>
      <c r="D184" s="180">
        <v>0.51</v>
      </c>
      <c r="E184" s="180">
        <v>0.85499999999999998</v>
      </c>
      <c r="F184" s="181">
        <v>24.1</v>
      </c>
      <c r="G184" s="180">
        <v>82</v>
      </c>
      <c r="H184" s="180">
        <v>882</v>
      </c>
      <c r="I184" s="180">
        <v>148</v>
      </c>
      <c r="J184" s="181">
        <f>Table_03[[#This Row],[Width w (in)]]*Table_03[[#This Row],[Flange Thickness tf (in)]]*(Table_03[[#This Row],[Depth h (in)]]-Table_03[[#This Row],[Flange Thickness tf (in)]])+0.25*Table_03[[#This Row],[Web Thickness tw (in)]]*(Table_03[[#This Row],[Depth h (in)]]-2*Table_03[[#This Row],[Flange Thickness tf (in)]])^2</f>
        <v>136.77767325000002</v>
      </c>
      <c r="K184" s="181">
        <f>(Table_03[[#This Row],[Width w (in)]]^2*Table_03[[#This Row],[Flange Thickness tf (in)]])/2+0.25*Table_03[[#This Row],[Web Thickness tw (in)]]^2*(Table_03[[#This Row],[Depth h (in)]]-2*Table_03[[#This Row],[Flange Thickness tf (in)]])</f>
        <v>44.688039750000009</v>
      </c>
      <c r="L184" s="181">
        <v>123</v>
      </c>
      <c r="M184" s="181">
        <v>29.3</v>
      </c>
      <c r="N184" s="182">
        <v>50</v>
      </c>
      <c r="O184" s="181">
        <f>SQRT(Table_03[[#This Row],[Static Parameters Moment of Inertia Ix (in4)]]/Table_03[[#This Row],[Sectional Area (in2)]])</f>
        <v>6.0495876201146128</v>
      </c>
      <c r="P184" s="181">
        <f>SQRT(Table_03[[#This Row],[Static Parameters Moment of Inertia Iy (in4)]]/Table_03[[#This Row],[Sectional Area (in2)]])</f>
        <v>2.4781200209381047</v>
      </c>
      <c r="Q184" s="181">
        <f>($B$6*$B$5*12)/Table_03[[#This Row],[ry (in)2]]</f>
        <v>72.45411783244883</v>
      </c>
      <c r="R184" s="181">
        <f>(PI()^2*$B$4)/(Table_03[[#This Row],[KL/ry]]^2)</f>
        <v>54.521977245219048</v>
      </c>
      <c r="S184" s="181">
        <f>IF(Table_03[[#This Row],[Strength (ksi)]]/Table_03[[#This Row],[Fe,y]]&lt;2.25,(0.658^(Table_03[[#This Row],[Strength (ksi)]]/Table_03[[#This Row],[Fe,y]])*Table_03[[#This Row],[Strength (ksi)]]),0.877*Table_03[[#This Row],[Fe,y]])</f>
        <v>34.062144771702968</v>
      </c>
      <c r="T184" s="181">
        <f>Table_03[[#This Row],[Fcr,y]]*Table_03[[#This Row],[Sectional Area (in2)]]</f>
        <v>820.89768899804153</v>
      </c>
      <c r="U184" s="181">
        <f>1.76*Table_03[[#This Row],[ry (in)2]]*SQRT($B$4/Table_03[[#This Row],[Strength (ksi)]])/12</f>
        <v>8.7532182055193122</v>
      </c>
      <c r="V184"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32.395060197049794</v>
      </c>
      <c r="W184" s="181">
        <f>Table_03[[#This Row],[Depth h (in)]]-Table_03[[#This Row],[Flange Thickness tf (in)]]</f>
        <v>13.455</v>
      </c>
      <c r="X184" s="181">
        <f>(Table_03[[#This Row],[Static Parameters Moment of Inertia Iy (in4)]]*Table_03[[#This Row],[ho]]^2)/4</f>
        <v>6698.369925</v>
      </c>
      <c r="Y184" s="181">
        <f>SQRT((SQRT(Table_03[[#This Row],[Static Parameters Moment of Inertia Iy (in4)]]*Table_03[[#This Row],[Cw*]])/Table_03[[#This Row],[Static Parameters Elastic Section Modulus Sx (in3)2]]))</f>
        <v>2.8451499167496408</v>
      </c>
      <c r="Z184" s="181">
        <f>(2*Table_03[[#This Row],[Width w (in)]]*Table_03[[#This Row],[Flange Thickness tf (in)]]^3/3)+((Table_03[[#This Row],[Depth h (in)]]-Table_03[[#This Row],[Flange Thickness tf (in)]]*2)*Table_03[[#This Row],[Web Thickness tw (in)]]^3)/3</f>
        <v>4.7781456525000001</v>
      </c>
      <c r="AA184" s="181">
        <f>Table_03[[#This Row],[Width w (in)]]*0.5/Table_03[[#This Row],[Flange Thickness tf (in)]]</f>
        <v>5.923976608187135</v>
      </c>
      <c r="AB184" s="181">
        <f>0.38*SQRT($B$4/Table_03[[#This Row],[Strength (ksi)]])</f>
        <v>9.1516118798821449</v>
      </c>
      <c r="AC184" s="181">
        <f>1*SQRT($B$4/Table_03[[#This Row],[Strength (ksi)]])</f>
        <v>24.083189157584592</v>
      </c>
      <c r="AD184" s="181">
        <f>(PI()^2*$B$4/(12*$B$5/Table_03[[#This Row],[rts]])^2)*SQRT(1+0.078*(Table_03[[#This Row],[J*]]/(Table_03[[#This Row],[Static Parameters Elastic Section Modulus Sx (in3)2]]*Table_03[[#This Row],[ho]])*$B$4/(12*$B$5/Table_03[[#This Row],[rts]])^2))</f>
        <v>318.08304489205011</v>
      </c>
      <c r="AE184" s="181">
        <f>0.69*$B$4/Table_03[[#This Row],[b/t]]^2</f>
        <v>570.19107963697979</v>
      </c>
      <c r="AF184" s="183">
        <f>Table_03[[#This Row],[Strength (ksi)]]*Table_03[[#This Row],[Static Parameters Plastic Section Modulus Zx (in3)]]</f>
        <v>6838.8836625000013</v>
      </c>
      <c r="AG184" s="181">
        <f>Table_03[[#This Row],[Mp (k-in)]]-(Table_03[[#This Row],[Mp (k-in)]]-0.7*Table_03[[#This Row],[Strength (ksi)]]*Table_03[[#This Row],[Static Parameters Elastic Section Modulus Sx (in3)2]])*((Table_03[[#This Row],[b/t]]-Table_03[[#This Row],[λpf]])/(Table_03[[#This Row],[λrf]]-Table_03[[#This Row],[λpf]]))</f>
        <v>7386.6122869682113</v>
      </c>
      <c r="AH184" s="184">
        <f>0.9*$B$4*Table_03[[#This Row],[kc]]*Table_03[[#This Row],[Static Parameters Elastic Section Modulus Sx (in3)2]]/Table_03[[#This Row],[b/t]]^2</f>
        <v>69078.708812529207</v>
      </c>
      <c r="AI184" s="185" t="str">
        <f>IF(Table_03[[#This Row],[b/t]]&lt;Table_03[[#This Row],[λpf]],"Compact",IF(AND(Table_03[[#This Row],[b/t]]&gt;Table_03[[#This Row],[λpf]],Table_03[[#This Row],[λrf]]&gt;Table_03[[#This Row],[b/t]]),"Non-Compact","Slender"))</f>
        <v>Compact</v>
      </c>
      <c r="AJ184" s="186">
        <f>IF(Table_03[[#This Row],[Controlling LBx]]="Compact",Table_03[[#This Row],[Mp (k-in)]],IF(Table_03[[#This Row],[Controlling LBx]]="Non-Compact",Table_03[[#This Row],[Mnlb,Non-Compact (k-in)]],IF(Table_03[[#This Row],[Controlling LBx]]="Slender",Table_03[[#This Row],[Mnlb,slender (k-in)]],"ERROR")))</f>
        <v>6838.8836625000013</v>
      </c>
      <c r="AK184" s="183">
        <f>Table_03[[#This Row],[Mp (k-in)]]-(Table_03[[#This Row],[Mp (k-in)]]-0.7*Table_03[[#This Row],[Strength (ksi)]]*Table_03[[#This Row],[Static Parameters Elastic Section Modulus Sx (in3)2]])*(($B$5-Table_03[[#This Row],[Lp (ft)]])/(Table_03[[#This Row],[Lr]]-Table_03[[#This Row],[Lp (ft)]]))</f>
        <v>7013.3927177347186</v>
      </c>
      <c r="AL184" s="184">
        <f>Table_03[[#This Row],[Fcrx]]*Table_03[[#This Row],[Static Parameters Elastic Section Modulus Sx (in3)2]]</f>
        <v>39124.214521722162</v>
      </c>
      <c r="AM184" s="185" t="str">
        <f>IF($B$5&lt;Table_03[[#This Row],[Lp (ft)]],"Yielding Controls",IF(AND($B$5&gt;Table_03[[#This Row],[Lp (ft)]],Table_03[[#This Row],[Lr]]&gt;$B$5),"Mltb,p Controls","Mltb,r Controls"))</f>
        <v>Yielding Controls</v>
      </c>
      <c r="AN184" s="186">
        <f>IF(Table_03[[#This Row],[Controlling LTB]]="Yielding Controls",Table_03[[#This Row],[Mp (k-in)]],IF(Table_03[[#This Row],[Controlling LTB]]="Mltb,p Controls",Table_03[[#This Row],[Mnltbp (k-in)]],IF(Table_03[[#This Row],[Controlling LTB]]="Mltb,r Controls",Table_03[[#This Row],[Mnltbr (k-in)]],"ERROR")))</f>
        <v>6838.8836625000013</v>
      </c>
      <c r="AO184" s="183">
        <f>MIN(Table_03[[#This Row],[Strength (ksi)]]*Table_03[[#This Row],[Static Parameters Plastic Section Modulus Zy (in3)]],1.6*Table_03[[#This Row],[Strength (ksi)]]*Table_03[[#This Row],[Static Parameters Elastic Section Modulus Sy (in3)3]])</f>
        <v>2234.4019875000004</v>
      </c>
      <c r="AP184" s="181">
        <f>MIN(Table_03[[#This Row],[Mny (k-in)]],Table_03[[#This Row],[Mny (k-in)]]-(Table_03[[#This Row],[Mny (k-in)]]-0.7*Table_03[[#This Row],[Static Parameters Elastic Section Modulus Sy (in3)3]]*Table_03[[#This Row],[Strength (ksi)]])*((Table_03[[#This Row],[b/t]]-Table_03[[#This Row],[λpf]])/(Table_03[[#This Row],[λrf]]-Table_03[[#This Row],[λpf]])))</f>
        <v>2234.4019875000004</v>
      </c>
      <c r="AQ184" s="184">
        <f>MIN(Table_03[[#This Row],[Mny (k-in)]],Table_03[[#This Row],[Fcry]]*Table_03[[#This Row],[Static Parameters Elastic Section Modulus Sy (in3)3]])</f>
        <v>2234.4019875000004</v>
      </c>
      <c r="AR184" s="185" t="str">
        <f>IF(Table_03[[#This Row],[b/t]]&lt;Table_03[[#This Row],[λpf]],"Compact",IF(AND(Table_03[[#This Row],[b/t]]&gt;Table_03[[#This Row],[λpf]],Table_03[[#This Row],[λrf]]&gt;Table_03[[#This Row],[b/t]]),"Non-Compact","Slender"))</f>
        <v>Compact</v>
      </c>
      <c r="AS184" s="186">
        <f>IF(Table_03[[#This Row],[Controlling Lby]]="Compact",Table_03[[#This Row],[Mny (k-in)]],IF(Table_03[[#This Row],[Controlling Lby]]="Non-Compact",Table_03[[#This Row],[Mlby,Non-Compact (k-in)]],IF(Table_03[[#This Row],[Controlling Lby]]="Slender",Table_03[[#This Row],[Mlby,Slender (k-in)]],"ERROR")))</f>
        <v>2234.4019875000004</v>
      </c>
      <c r="AT184" s="183">
        <f>MIN(Table_03[[#This Row],[LBx]],Table_03[[#This Row],[LTB]],Table_03[[#This Row],[Mp (k-in)]])</f>
        <v>6838.8836625000013</v>
      </c>
      <c r="AU184" s="181">
        <f>Table_03[[#This Row],[Mp (k-in)]]</f>
        <v>6838.8836625000013</v>
      </c>
      <c r="AV184" s="181">
        <f>MIN(Table_03[[#This Row],[LBy]],Table_03[[#This Row],[Mny (k-in)]])</f>
        <v>2234.4019875000004</v>
      </c>
      <c r="AW184" s="187">
        <f>Table_03[[#This Row],[Mny (k-in)]]</f>
        <v>2234.4019875000004</v>
      </c>
      <c r="AX184" s="165">
        <f>SQRT(((Table_03[[#This Row],[Sectional Area (in2)]]-(Table_03[[#This Row],[Flange Thickness tf (in)]]*Table_03[[#This Row],[Width w (in)]]*2+Table_03[[#This Row],[Web Thickness tw (in)]]*((Table_03[[#This Row],[Depth h (in)]]-2*Table_03[[#This Row],[Flange Thickness tf (in)]]))))/4)/(1-PI()/4))</f>
        <v>0.64008768446921827</v>
      </c>
      <c r="AY184" s="165">
        <f>IF(4/SQRT((Table_03[[#This Row],[Depth h (in)]]-Table_03[[#This Row],[Flange Thickness tf (in)]]*2)/Table_03[[#This Row],[Web Thickness tw (in)]])&lt;0.35,0.35,IF(4/SQRT(Table_03[[#This Row],[Depth h (in)]]/Table_03[[#This Row],[Web Thickness tw (in)]])&gt;0.76,0.76,4/SQRT(Table_03[[#This Row],[Depth h (in)]]/Table_03[[#This Row],[Web Thickness tw (in)]])))</f>
        <v>0.75513615193980543</v>
      </c>
      <c r="AZ184" s="165"/>
    </row>
    <row r="185" spans="1:52" x14ac:dyDescent="0.3">
      <c r="A185" s="188" t="s">
        <v>277</v>
      </c>
      <c r="B185" s="189">
        <v>14.32</v>
      </c>
      <c r="C185" s="189">
        <v>14.605</v>
      </c>
      <c r="D185" s="189">
        <v>0.52500000000000002</v>
      </c>
      <c r="E185" s="189">
        <v>0.86</v>
      </c>
      <c r="F185" s="190">
        <v>32</v>
      </c>
      <c r="G185" s="189">
        <v>109</v>
      </c>
      <c r="H185" s="190">
        <v>1240</v>
      </c>
      <c r="I185" s="190">
        <v>447</v>
      </c>
      <c r="J185" s="190">
        <f>Table_03[[#This Row],[Width w (in)]]*Table_03[[#This Row],[Flange Thickness tf (in)]]*(Table_03[[#This Row],[Depth h (in)]]-Table_03[[#This Row],[Flange Thickness tf (in)]])+0.25*Table_03[[#This Row],[Web Thickness tw (in)]]*(Table_03[[#This Row],[Depth h (in)]]-2*Table_03[[#This Row],[Flange Thickness tf (in)]])^2</f>
        <v>189.89888800000003</v>
      </c>
      <c r="K185" s="190">
        <f>(Table_03[[#This Row],[Width w (in)]]^2*Table_03[[#This Row],[Flange Thickness tf (in)]])/2+0.25*Table_03[[#This Row],[Web Thickness tw (in)]]^2*(Table_03[[#This Row],[Depth h (in)]]-2*Table_03[[#This Row],[Flange Thickness tf (in)]])</f>
        <v>92.589809500000001</v>
      </c>
      <c r="L185" s="190">
        <v>173</v>
      </c>
      <c r="M185" s="190">
        <v>61.2</v>
      </c>
      <c r="N185" s="191">
        <v>50</v>
      </c>
      <c r="O185" s="169">
        <f>SQRT(Table_03[[#This Row],[Static Parameters Moment of Inertia Ix (in4)]]/Table_03[[#This Row],[Sectional Area (in2)]])</f>
        <v>6.2249497989943663</v>
      </c>
      <c r="P185" s="190">
        <f>SQRT(Table_03[[#This Row],[Static Parameters Moment of Inertia Iy (in4)]]/Table_03[[#This Row],[Sectional Area (in2)]])</f>
        <v>3.7374790969315135</v>
      </c>
      <c r="Q185" s="190">
        <f>($B$6*$B$5*12)/Table_03[[#This Row],[ry (in)2]]</f>
        <v>48.040402459350567</v>
      </c>
      <c r="R185" s="190">
        <f>(PI()^2*$B$4)/(Table_03[[#This Row],[KL/ry]]^2)</f>
        <v>124.01792742178449</v>
      </c>
      <c r="S185" s="190">
        <f>IF(Table_03[[#This Row],[Strength (ksi)]]/Table_03[[#This Row],[Fe,y]]&lt;2.25,(0.658^(Table_03[[#This Row],[Strength (ksi)]]/Table_03[[#This Row],[Fe,y]])*Table_03[[#This Row],[Strength (ksi)]]),0.877*Table_03[[#This Row],[Fe,y]])</f>
        <v>42.236175812542712</v>
      </c>
      <c r="T185" s="190">
        <f>Table_03[[#This Row],[Fcr,y]]*Table_03[[#This Row],[Sectional Area (in2)]]</f>
        <v>1351.5576260013668</v>
      </c>
      <c r="U185" s="190">
        <f>1.76*Table_03[[#This Row],[ry (in)2]]*SQRT($B$4/Table_03[[#This Row],[Strength (ksi)]])/12</f>
        <v>13.201527689374943</v>
      </c>
      <c r="V18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47.666106842578564</v>
      </c>
      <c r="W185" s="190">
        <f>Table_03[[#This Row],[Depth h (in)]]-Table_03[[#This Row],[Flange Thickness tf (in)]]</f>
        <v>13.46</v>
      </c>
      <c r="X185" s="190">
        <f>(Table_03[[#This Row],[Static Parameters Moment of Inertia Iy (in4)]]*Table_03[[#This Row],[ho]]^2)/4</f>
        <v>20245.926300000003</v>
      </c>
      <c r="Y185" s="190">
        <f>SQRT((SQRT(Table_03[[#This Row],[Static Parameters Moment of Inertia Iy (in4)]]*Table_03[[#This Row],[Cw*]])/Table_03[[#This Row],[Static Parameters Elastic Section Modulus Sx (in3)2]]))</f>
        <v>4.1700210004877283</v>
      </c>
      <c r="Z185" s="190">
        <f>(2*Table_03[[#This Row],[Width w (in)]]*Table_03[[#This Row],[Flange Thickness tf (in)]]^3/3)+((Table_03[[#This Row],[Depth h (in)]]-Table_03[[#This Row],[Flange Thickness tf (in)]]*2)*Table_03[[#This Row],[Web Thickness tw (in)]]^3)/3</f>
        <v>6.8008183783333331</v>
      </c>
      <c r="AA185" s="190">
        <f>Table_03[[#This Row],[Width w (in)]]*0.5/Table_03[[#This Row],[Flange Thickness tf (in)]]</f>
        <v>8.4912790697674421</v>
      </c>
      <c r="AB185" s="190">
        <f>0.38*SQRT($B$4/Table_03[[#This Row],[Strength (ksi)]])</f>
        <v>9.1516118798821449</v>
      </c>
      <c r="AC185" s="190">
        <f>1*SQRT($B$4/Table_03[[#This Row],[Strength (ksi)]])</f>
        <v>24.083189157584592</v>
      </c>
      <c r="AD185" s="190">
        <f>(PI()^2*$B$4/(12*$B$5/Table_03[[#This Row],[rts]])^2)*SQRT(1+0.078*(Table_03[[#This Row],[J*]]/(Table_03[[#This Row],[Static Parameters Elastic Section Modulus Sx (in3)2]]*Table_03[[#This Row],[ho]])*$B$4/(12*$B$5/Table_03[[#This Row],[rts]])^2))</f>
        <v>686.163911800405</v>
      </c>
      <c r="AE185" s="190">
        <f>0.69*$B$4/Table_03[[#This Row],[b/t]]^2</f>
        <v>277.52420026579182</v>
      </c>
      <c r="AF185" s="192">
        <f>Table_03[[#This Row],[Strength (ksi)]]*Table_03[[#This Row],[Static Parameters Plastic Section Modulus Zx (in3)]]</f>
        <v>9494.9444000000021</v>
      </c>
      <c r="AG185" s="190">
        <f>Table_03[[#This Row],[Mp (k-in)]]-(Table_03[[#This Row],[Mp (k-in)]]-0.7*Table_03[[#This Row],[Strength (ksi)]]*Table_03[[#This Row],[Static Parameters Elastic Section Modulus Sx (in3)2]])*((Table_03[[#This Row],[b/t]]-Table_03[[#This Row],[λpf]])/(Table_03[[#This Row],[λrf]]-Table_03[[#This Row],[λpf]]))</f>
        <v>9647.0722100795447</v>
      </c>
      <c r="AH185" s="193">
        <f>0.9*$B$4*Table_03[[#This Row],[kc]]*Table_03[[#This Row],[Static Parameters Elastic Section Modulus Sx (in3)2]]/Table_03[[#This Row],[b/t]]^2</f>
        <v>47594.193718625625</v>
      </c>
      <c r="AI185" s="194" t="str">
        <f>IF(Table_03[[#This Row],[b/t]]&lt;Table_03[[#This Row],[λpf]],"Compact",IF(AND(Table_03[[#This Row],[b/t]]&gt;Table_03[[#This Row],[λpf]],Table_03[[#This Row],[λrf]]&gt;Table_03[[#This Row],[b/t]]),"Non-Compact","Slender"))</f>
        <v>Compact</v>
      </c>
      <c r="AJ185" s="195">
        <f>IF(Table_03[[#This Row],[Controlling LBx]]="Compact",Table_03[[#This Row],[Mp (k-in)]],IF(Table_03[[#This Row],[Controlling LBx]]="Non-Compact",Table_03[[#This Row],[Mnlb,Non-Compact (k-in)]],IF(Table_03[[#This Row],[Controlling LBx]]="Slender",Table_03[[#This Row],[Mnlb,slender (k-in)]],"ERROR")))</f>
        <v>9494.9444000000021</v>
      </c>
      <c r="AK185" s="192">
        <f>Table_03[[#This Row],[Mp (k-in)]]-(Table_03[[#This Row],[Mp (k-in)]]-0.7*Table_03[[#This Row],[Strength (ksi)]]*Table_03[[#This Row],[Static Parameters Elastic Section Modulus Sx (in3)2]])*(($B$5-Table_03[[#This Row],[Lp (ft)]])/(Table_03[[#This Row],[Lr]]-Table_03[[#This Row],[Lp (ft)]]))</f>
        <v>10101.448756359372</v>
      </c>
      <c r="AL185" s="196">
        <f>Table_03[[#This Row],[Fcrx]]*Table_03[[#This Row],[Static Parameters Elastic Section Modulus Sx (in3)2]]</f>
        <v>118706.35674147007</v>
      </c>
      <c r="AM185" s="197" t="str">
        <f>IF($B$5&lt;Table_03[[#This Row],[Lp (ft)]],"Yielding Controls",IF(AND($B$5&gt;Table_03[[#This Row],[Lp (ft)]],Table_03[[#This Row],[Lr]]&gt;$B$5),"Mltb,p Controls","Mltb,r Controls"))</f>
        <v>Yielding Controls</v>
      </c>
      <c r="AN185" s="198">
        <f>IF(Table_03[[#This Row],[Controlling LTB]]="Yielding Controls",Table_03[[#This Row],[Mp (k-in)]],IF(Table_03[[#This Row],[Controlling LTB]]="Mltb,p Controls",Table_03[[#This Row],[Mnltbp (k-in)]],IF(Table_03[[#This Row],[Controlling LTB]]="Mltb,r Controls",Table_03[[#This Row],[Mnltbr (k-in)]],"ERROR")))</f>
        <v>9494.9444000000021</v>
      </c>
      <c r="AO185" s="199">
        <f>MIN(Table_03[[#This Row],[Strength (ksi)]]*Table_03[[#This Row],[Static Parameters Plastic Section Modulus Zy (in3)]],1.6*Table_03[[#This Row],[Strength (ksi)]]*Table_03[[#This Row],[Static Parameters Elastic Section Modulus Sy (in3)3]])</f>
        <v>4629.4904750000005</v>
      </c>
      <c r="AP185" s="169">
        <f>MIN(Table_03[[#This Row],[Mny (k-in)]],Table_03[[#This Row],[Mny (k-in)]]-(Table_03[[#This Row],[Mny (k-in)]]-0.7*Table_03[[#This Row],[Static Parameters Elastic Section Modulus Sy (in3)3]]*Table_03[[#This Row],[Strength (ksi)]])*((Table_03[[#This Row],[b/t]]-Table_03[[#This Row],[λpf]])/(Table_03[[#This Row],[λrf]]-Table_03[[#This Row],[λpf]])))</f>
        <v>4629.4904750000005</v>
      </c>
      <c r="AQ185" s="196">
        <f>MIN(Table_03[[#This Row],[Mny (k-in)]],Table_03[[#This Row],[Fcry]]*Table_03[[#This Row],[Static Parameters Elastic Section Modulus Sy (in3)3]])</f>
        <v>4629.4904750000005</v>
      </c>
      <c r="AR185" s="197" t="str">
        <f>IF(Table_03[[#This Row],[b/t]]&lt;Table_03[[#This Row],[λpf]],"Compact",IF(AND(Table_03[[#This Row],[b/t]]&gt;Table_03[[#This Row],[λpf]],Table_03[[#This Row],[λrf]]&gt;Table_03[[#This Row],[b/t]]),"Non-Compact","Slender"))</f>
        <v>Compact</v>
      </c>
      <c r="AS185" s="198">
        <f>IF(Table_03[[#This Row],[Controlling Lby]]="Compact",Table_03[[#This Row],[Mny (k-in)]],IF(Table_03[[#This Row],[Controlling Lby]]="Non-Compact",Table_03[[#This Row],[Mlby,Non-Compact (k-in)]],IF(Table_03[[#This Row],[Controlling Lby]]="Slender",Table_03[[#This Row],[Mlby,Slender (k-in)]],"ERROR")))</f>
        <v>4629.4904750000005</v>
      </c>
      <c r="AT185" s="199">
        <f>MIN(Table_03[[#This Row],[LBx]],Table_03[[#This Row],[LTB]],Table_03[[#This Row],[Mp (k-in)]])</f>
        <v>9494.9444000000021</v>
      </c>
      <c r="AU185" s="169">
        <f>Table_03[[#This Row],[Mp (k-in)]]</f>
        <v>9494.9444000000021</v>
      </c>
      <c r="AV185" s="169">
        <f>MIN(Table_03[[#This Row],[LBy]],Table_03[[#This Row],[Mny (k-in)]])</f>
        <v>4629.4904750000005</v>
      </c>
      <c r="AW185" s="200">
        <f>Table_03[[#This Row],[Mny (k-in)]]</f>
        <v>4629.4904750000005</v>
      </c>
      <c r="AX185" s="165">
        <f>SQRT(((Table_03[[#This Row],[Sectional Area (in2)]]-(Table_03[[#This Row],[Flange Thickness tf (in)]]*Table_03[[#This Row],[Width w (in)]]*2+Table_03[[#This Row],[Web Thickness tw (in)]]*((Table_03[[#This Row],[Depth h (in)]]-2*Table_03[[#This Row],[Flange Thickness tf (in)]]))))/4)/(1-PI()/4))</f>
        <v>0.55498853629072098</v>
      </c>
      <c r="AY185"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85" s="165"/>
    </row>
    <row r="186" spans="1:52" ht="14.4" thickBot="1" x14ac:dyDescent="0.35">
      <c r="A186" s="201" t="s">
        <v>278</v>
      </c>
      <c r="B186" s="202">
        <v>14.48</v>
      </c>
      <c r="C186" s="202">
        <v>14.67</v>
      </c>
      <c r="D186" s="202">
        <v>0.59</v>
      </c>
      <c r="E186" s="202">
        <v>0.94</v>
      </c>
      <c r="F186" s="203">
        <v>35.299999999999997</v>
      </c>
      <c r="G186" s="204">
        <v>120</v>
      </c>
      <c r="H186" s="203">
        <v>1380</v>
      </c>
      <c r="I186" s="203">
        <v>495</v>
      </c>
      <c r="J186" s="203">
        <f>Table_03[[#This Row],[Width w (in)]]*Table_03[[#This Row],[Flange Thickness tf (in)]]*(Table_03[[#This Row],[Depth h (in)]]-Table_03[[#This Row],[Flange Thickness tf (in)]])+0.25*Table_03[[#This Row],[Web Thickness tw (in)]]*(Table_03[[#This Row],[Depth h (in)]]-2*Table_03[[#This Row],[Flange Thickness tf (in)]])^2</f>
        <v>210.13099200000002</v>
      </c>
      <c r="K186" s="203">
        <f>(Table_03[[#This Row],[Width w (in)]]^2*Table_03[[#This Row],[Flange Thickness tf (in)]])/2+0.25*Table_03[[#This Row],[Web Thickness tw (in)]]^2*(Table_03[[#This Row],[Depth h (in)]]-2*Table_03[[#This Row],[Flange Thickness tf (in)]])</f>
        <v>102.24469799999999</v>
      </c>
      <c r="L186" s="203">
        <v>190</v>
      </c>
      <c r="M186" s="203">
        <v>67.5</v>
      </c>
      <c r="N186" s="205">
        <v>50</v>
      </c>
      <c r="O186" s="206">
        <f>SQRT(Table_03[[#This Row],[Static Parameters Moment of Inertia Ix (in4)]]/Table_03[[#This Row],[Sectional Area (in2)]])</f>
        <v>6.2524782621983954</v>
      </c>
      <c r="P186" s="203">
        <f>SQRT(Table_03[[#This Row],[Static Parameters Moment of Inertia Iy (in4)]]/Table_03[[#This Row],[Sectional Area (in2)]])</f>
        <v>3.7446846181645812</v>
      </c>
      <c r="Q186" s="203">
        <f>($B$6*$B$5*12)/Table_03[[#This Row],[ry (in)2]]</f>
        <v>47.947963128602431</v>
      </c>
      <c r="R186" s="203">
        <f>(PI()^2*$B$4)/(Table_03[[#This Row],[KL/ry]]^2)</f>
        <v>124.49657904196479</v>
      </c>
      <c r="S186" s="203">
        <f>IF(Table_03[[#This Row],[Strength (ksi)]]/Table_03[[#This Row],[Fe,y]]&lt;2.25,(0.658^(Table_03[[#This Row],[Strength (ksi)]]/Table_03[[#This Row],[Fe,y]])*Table_03[[#This Row],[Strength (ksi)]]),0.877*Table_03[[#This Row],[Fe,y]])</f>
        <v>42.263586557216264</v>
      </c>
      <c r="T186" s="203">
        <f>Table_03[[#This Row],[Fcr,y]]*Table_03[[#This Row],[Sectional Area (in2)]]</f>
        <v>1491.904605469734</v>
      </c>
      <c r="U186" s="203">
        <f>1.76*Table_03[[#This Row],[ry (in)2]]*SQRT($B$4/Table_03[[#This Row],[Strength (ksi)]])/12</f>
        <v>13.22697903923074</v>
      </c>
      <c r="V18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51.168003964749836</v>
      </c>
      <c r="W186" s="203">
        <f>Table_03[[#This Row],[Depth h (in)]]-Table_03[[#This Row],[Flange Thickness tf (in)]]</f>
        <v>13.540000000000001</v>
      </c>
      <c r="X186" s="203">
        <f>(Table_03[[#This Row],[Static Parameters Moment of Inertia Iy (in4)]]*Table_03[[#This Row],[ho]]^2)/4</f>
        <v>22687.285500000005</v>
      </c>
      <c r="Y186" s="203">
        <f>SQRT((SQRT(Table_03[[#This Row],[Static Parameters Moment of Inertia Iy (in4)]]*Table_03[[#This Row],[Cw*]])/Table_03[[#This Row],[Static Parameters Elastic Section Modulus Sx (in3)2]]))</f>
        <v>4.1997180356480328</v>
      </c>
      <c r="Z186" s="203">
        <f>(2*Table_03[[#This Row],[Width w (in)]]*Table_03[[#This Row],[Flange Thickness tf (in)]]^3/3)+((Table_03[[#This Row],[Depth h (in)]]-Table_03[[#This Row],[Flange Thickness tf (in)]]*2)*Table_03[[#This Row],[Web Thickness tw (in)]]^3)/3</f>
        <v>8.9857033199999989</v>
      </c>
      <c r="AA186" s="203">
        <f>Table_03[[#This Row],[Width w (in)]]*0.5/Table_03[[#This Row],[Flange Thickness tf (in)]]</f>
        <v>7.8031914893617023</v>
      </c>
      <c r="AB186" s="203">
        <f>0.38*SQRT($B$4/Table_03[[#This Row],[Strength (ksi)]])</f>
        <v>9.1516118798821449</v>
      </c>
      <c r="AC186" s="203">
        <f>1*SQRT($B$4/Table_03[[#This Row],[Strength (ksi)]])</f>
        <v>24.083189157584592</v>
      </c>
      <c r="AD186" s="203">
        <f>(PI()^2*$B$4/(12*$B$5/Table_03[[#This Row],[rts]])^2)*SQRT(1+0.078*(Table_03[[#This Row],[J*]]/(Table_03[[#This Row],[Static Parameters Elastic Section Modulus Sx (in3)2]]*Table_03[[#This Row],[ho]])*$B$4/(12*$B$5/Table_03[[#This Row],[rts]])^2))</f>
        <v>697.11783891674861</v>
      </c>
      <c r="AE186" s="203">
        <f>0.69*$B$4/Table_03[[#This Row],[b/t]]^2</f>
        <v>328.6264833842838</v>
      </c>
      <c r="AF186" s="207">
        <f>Table_03[[#This Row],[Strength (ksi)]]*Table_03[[#This Row],[Static Parameters Plastic Section Modulus Zx (in3)]]</f>
        <v>10506.5496</v>
      </c>
      <c r="AG186" s="203">
        <f>Table_03[[#This Row],[Mp (k-in)]]-(Table_03[[#This Row],[Mp (k-in)]]-0.7*Table_03[[#This Row],[Strength (ksi)]]*Table_03[[#This Row],[Static Parameters Elastic Section Modulus Sx (in3)2]])*((Table_03[[#This Row],[b/t]]-Table_03[[#This Row],[λpf]])/(Table_03[[#This Row],[λrf]]-Table_03[[#This Row],[λpf]]))</f>
        <v>10854.821589018808</v>
      </c>
      <c r="AH186" s="208">
        <f>0.9*$B$4*Table_03[[#This Row],[kc]]*Table_03[[#This Row],[Static Parameters Elastic Section Modulus Sx (in3)2]]/Table_03[[#This Row],[b/t]]^2</f>
        <v>61896.083740031194</v>
      </c>
      <c r="AI186" s="209" t="str">
        <f>IF(Table_03[[#This Row],[b/t]]&lt;Table_03[[#This Row],[λpf]],"Compact",IF(AND(Table_03[[#This Row],[b/t]]&gt;Table_03[[#This Row],[λpf]],Table_03[[#This Row],[λrf]]&gt;Table_03[[#This Row],[b/t]]),"Non-Compact","Slender"))</f>
        <v>Compact</v>
      </c>
      <c r="AJ186" s="210">
        <f>IF(Table_03[[#This Row],[Controlling LBx]]="Compact",Table_03[[#This Row],[Mp (k-in)]],IF(Table_03[[#This Row],[Controlling LBx]]="Non-Compact",Table_03[[#This Row],[Mnlb,Non-Compact (k-in)]],IF(Table_03[[#This Row],[Controlling LBx]]="Slender",Table_03[[#This Row],[Mnlb,slender (k-in)]],"ERROR")))</f>
        <v>10506.5496</v>
      </c>
      <c r="AK186" s="207">
        <f>Table_03[[#This Row],[Mp (k-in)]]-(Table_03[[#This Row],[Mp (k-in)]]-0.7*Table_03[[#This Row],[Strength (ksi)]]*Table_03[[#This Row],[Static Parameters Elastic Section Modulus Sx (in3)2]])*(($B$5-Table_03[[#This Row],[Lp (ft)]])/(Table_03[[#This Row],[Lr]]-Table_03[[#This Row],[Lp (ft)]]))</f>
        <v>11126.790747126359</v>
      </c>
      <c r="AL186" s="211">
        <f>Table_03[[#This Row],[Fcrx]]*Table_03[[#This Row],[Static Parameters Elastic Section Modulus Sx (in3)2]]</f>
        <v>132452.38939418225</v>
      </c>
      <c r="AM186" s="212" t="str">
        <f>IF($B$5&lt;Table_03[[#This Row],[Lp (ft)]],"Yielding Controls",IF(AND($B$5&gt;Table_03[[#This Row],[Lp (ft)]],Table_03[[#This Row],[Lr]]&gt;$B$5),"Mltb,p Controls","Mltb,r Controls"))</f>
        <v>Yielding Controls</v>
      </c>
      <c r="AN186" s="213">
        <f>IF(Table_03[[#This Row],[Controlling LTB]]="Yielding Controls",Table_03[[#This Row],[Mp (k-in)]],IF(Table_03[[#This Row],[Controlling LTB]]="Mltb,p Controls",Table_03[[#This Row],[Mnltbp (k-in)]],IF(Table_03[[#This Row],[Controlling LTB]]="Mltb,r Controls",Table_03[[#This Row],[Mnltbr (k-in)]],"ERROR")))</f>
        <v>10506.5496</v>
      </c>
      <c r="AO186" s="214">
        <f>MIN(Table_03[[#This Row],[Strength (ksi)]]*Table_03[[#This Row],[Static Parameters Plastic Section Modulus Zy (in3)]],1.6*Table_03[[#This Row],[Strength (ksi)]]*Table_03[[#This Row],[Static Parameters Elastic Section Modulus Sy (in3)3]])</f>
        <v>5112.2348999999995</v>
      </c>
      <c r="AP186" s="206">
        <f>MIN(Table_03[[#This Row],[Mny (k-in)]],Table_03[[#This Row],[Mny (k-in)]]-(Table_03[[#This Row],[Mny (k-in)]]-0.7*Table_03[[#This Row],[Static Parameters Elastic Section Modulus Sy (in3)3]]*Table_03[[#This Row],[Strength (ksi)]])*((Table_03[[#This Row],[b/t]]-Table_03[[#This Row],[λpf]])/(Table_03[[#This Row],[λrf]]-Table_03[[#This Row],[λpf]])))</f>
        <v>5112.2348999999995</v>
      </c>
      <c r="AQ186" s="211">
        <f>MIN(Table_03[[#This Row],[Mny (k-in)]],Table_03[[#This Row],[Fcry]]*Table_03[[#This Row],[Static Parameters Elastic Section Modulus Sy (in3)3]])</f>
        <v>5112.2348999999995</v>
      </c>
      <c r="AR186" s="212" t="str">
        <f>IF(Table_03[[#This Row],[b/t]]&lt;Table_03[[#This Row],[λpf]],"Compact",IF(AND(Table_03[[#This Row],[b/t]]&gt;Table_03[[#This Row],[λpf]],Table_03[[#This Row],[λrf]]&gt;Table_03[[#This Row],[b/t]]),"Non-Compact","Slender"))</f>
        <v>Compact</v>
      </c>
      <c r="AS186" s="213">
        <f>IF(Table_03[[#This Row],[Controlling Lby]]="Compact",Table_03[[#This Row],[Mny (k-in)]],IF(Table_03[[#This Row],[Controlling Lby]]="Non-Compact",Table_03[[#This Row],[Mlby,Non-Compact (k-in)]],IF(Table_03[[#This Row],[Controlling Lby]]="Slender",Table_03[[#This Row],[Mlby,Slender (k-in)]],"ERROR")))</f>
        <v>5112.2348999999995</v>
      </c>
      <c r="AT186" s="214">
        <f>MIN(Table_03[[#This Row],[LBx]],Table_03[[#This Row],[LTB]],Table_03[[#This Row],[Mp (k-in)]])</f>
        <v>10506.5496</v>
      </c>
      <c r="AU186" s="206">
        <f>Table_03[[#This Row],[Mp (k-in)]]</f>
        <v>10506.5496</v>
      </c>
      <c r="AV186" s="206">
        <f>MIN(Table_03[[#This Row],[LBy]],Table_03[[#This Row],[Mny (k-in)]])</f>
        <v>5112.2348999999995</v>
      </c>
      <c r="AW186" s="215">
        <f>Table_03[[#This Row],[Mny (k-in)]]</f>
        <v>5112.2348999999995</v>
      </c>
      <c r="AX186" s="165">
        <f>SQRT(((Table_03[[#This Row],[Sectional Area (in2)]]-(Table_03[[#This Row],[Flange Thickness tf (in)]]*Table_03[[#This Row],[Width w (in)]]*2+Table_03[[#This Row],[Web Thickness tw (in)]]*((Table_03[[#This Row],[Depth h (in)]]-2*Table_03[[#This Row],[Flange Thickness tf (in)]]))))/4)/(1-PI()/4))</f>
        <v>0.57761677038405435</v>
      </c>
      <c r="AY186"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86" s="165"/>
    </row>
    <row r="187" spans="1:52" x14ac:dyDescent="0.3">
      <c r="A187" s="179" t="s">
        <v>279</v>
      </c>
      <c r="B187" s="180">
        <v>14.66</v>
      </c>
      <c r="C187" s="180">
        <v>14.725</v>
      </c>
      <c r="D187" s="180">
        <v>0.64500000000000002</v>
      </c>
      <c r="E187" s="180">
        <v>1.03</v>
      </c>
      <c r="F187" s="181">
        <v>38.799999999999997</v>
      </c>
      <c r="G187" s="180">
        <v>132</v>
      </c>
      <c r="H187" s="180">
        <v>1530</v>
      </c>
      <c r="I187" s="180">
        <v>548</v>
      </c>
      <c r="J187" s="181">
        <f>Table_03[[#This Row],[Width w (in)]]*Table_03[[#This Row],[Flange Thickness tf (in)]]*(Table_03[[#This Row],[Depth h (in)]]-Table_03[[#This Row],[Flange Thickness tf (in)]])+0.25*Table_03[[#This Row],[Web Thickness tw (in)]]*(Table_03[[#This Row],[Depth h (in)]]-2*Table_03[[#This Row],[Flange Thickness tf (in)]])^2</f>
        <v>232.32285250000004</v>
      </c>
      <c r="K187" s="181">
        <f>(Table_03[[#This Row],[Width w (in)]]^2*Table_03[[#This Row],[Flange Thickness tf (in)]])/2+0.25*Table_03[[#This Row],[Web Thickness tw (in)]]^2*(Table_03[[#This Row],[Depth h (in)]]-2*Table_03[[#This Row],[Flange Thickness tf (in)]])</f>
        <v>112.97567562500001</v>
      </c>
      <c r="L187" s="181">
        <v>209</v>
      </c>
      <c r="M187" s="181">
        <v>74.5</v>
      </c>
      <c r="N187" s="182">
        <v>50</v>
      </c>
      <c r="O187" s="181">
        <f>SQRT(Table_03[[#This Row],[Static Parameters Moment of Inertia Ix (in4)]]/Table_03[[#This Row],[Sectional Area (in2)]])</f>
        <v>6.279569228117615</v>
      </c>
      <c r="P187" s="181">
        <f>SQRT(Table_03[[#This Row],[Static Parameters Moment of Inertia Iy (in4)]]/Table_03[[#This Row],[Sectional Area (in2)]])</f>
        <v>3.7581526499340319</v>
      </c>
      <c r="Q187" s="181">
        <f>($B$6*$B$5*12)/Table_03[[#This Row],[ry (in)2]]</f>
        <v>47.776132777137647</v>
      </c>
      <c r="R187" s="181">
        <f>(PI()^2*$B$4)/(Table_03[[#This Row],[KL/ry]]^2)</f>
        <v>125.39371152865685</v>
      </c>
      <c r="S187" s="181">
        <f>IF(Table_03[[#This Row],[Strength (ksi)]]/Table_03[[#This Row],[Fe,y]]&lt;2.25,(0.658^(Table_03[[#This Row],[Strength (ksi)]]/Table_03[[#This Row],[Fe,y]])*Table_03[[#This Row],[Strength (ksi)]]),0.877*Table_03[[#This Row],[Fe,y]])</f>
        <v>42.314445654600661</v>
      </c>
      <c r="T187" s="181">
        <f>Table_03[[#This Row],[Fcr,y]]*Table_03[[#This Row],[Sectional Area (in2)]]</f>
        <v>1641.8004913985055</v>
      </c>
      <c r="U187" s="181">
        <f>1.76*Table_03[[#This Row],[ry (in)2]]*SQRT($B$4/Table_03[[#This Row],[Strength (ksi)]])/12</f>
        <v>13.274550835544398</v>
      </c>
      <c r="V18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55.102606163589137</v>
      </c>
      <c r="W187" s="181">
        <f>Table_03[[#This Row],[Depth h (in)]]-Table_03[[#This Row],[Flange Thickness tf (in)]]</f>
        <v>13.63</v>
      </c>
      <c r="X187" s="181">
        <f>(Table_03[[#This Row],[Static Parameters Moment of Inertia Iy (in4)]]*Table_03[[#This Row],[ho]]^2)/4</f>
        <v>25451.435300000001</v>
      </c>
      <c r="Y187" s="181">
        <f>SQRT((SQRT(Table_03[[#This Row],[Static Parameters Moment of Inertia Iy (in4)]]*Table_03[[#This Row],[Cw*]])/Table_03[[#This Row],[Static Parameters Elastic Section Modulus Sx (in3)2]]))</f>
        <v>4.2271734309478015</v>
      </c>
      <c r="Z187" s="181">
        <f>(2*Table_03[[#This Row],[Width w (in)]]*Table_03[[#This Row],[Flange Thickness tf (in)]]^3/3)+((Table_03[[#This Row],[Depth h (in)]]-Table_03[[#This Row],[Flange Thickness tf (in)]]*2)*Table_03[[#This Row],[Web Thickness tw (in)]]^3)/3</f>
        <v>11.853948441666667</v>
      </c>
      <c r="AA187" s="181">
        <f>Table_03[[#This Row],[Width w (in)]]*0.5/Table_03[[#This Row],[Flange Thickness tf (in)]]</f>
        <v>7.1480582524271838</v>
      </c>
      <c r="AB187" s="181">
        <f>0.38*SQRT($B$4/Table_03[[#This Row],[Strength (ksi)]])</f>
        <v>9.1516118798821449</v>
      </c>
      <c r="AC187" s="181">
        <f>1*SQRT($B$4/Table_03[[#This Row],[Strength (ksi)]])</f>
        <v>24.083189157584592</v>
      </c>
      <c r="AD187" s="181">
        <f>(PI()^2*$B$4/(12*$B$5/Table_03[[#This Row],[rts]])^2)*SQRT(1+0.078*(Table_03[[#This Row],[J*]]/(Table_03[[#This Row],[Static Parameters Elastic Section Modulus Sx (in3)2]]*Table_03[[#This Row],[ho]])*$B$4/(12*$B$5/Table_03[[#This Row],[rts]])^2))</f>
        <v>707.62829437473522</v>
      </c>
      <c r="AE187" s="181">
        <f>0.69*$B$4/Table_03[[#This Row],[b/t]]^2</f>
        <v>391.62546401053845</v>
      </c>
      <c r="AF187" s="183">
        <f>Table_03[[#This Row],[Strength (ksi)]]*Table_03[[#This Row],[Static Parameters Plastic Section Modulus Zx (in3)]]</f>
        <v>11616.142625000002</v>
      </c>
      <c r="AG187" s="181">
        <f>Table_03[[#This Row],[Mp (k-in)]]-(Table_03[[#This Row],[Mp (k-in)]]-0.7*Table_03[[#This Row],[Strength (ksi)]]*Table_03[[#This Row],[Static Parameters Elastic Section Modulus Sx (in3)2]])*((Table_03[[#This Row],[b/t]]-Table_03[[#This Row],[λpf]])/(Table_03[[#This Row],[λrf]]-Table_03[[#This Row],[λpf]]))</f>
        <v>12193.27990582757</v>
      </c>
      <c r="AH187" s="184">
        <f>0.9*$B$4*Table_03[[#This Row],[kc]]*Table_03[[#This Row],[Static Parameters Elastic Section Modulus Sx (in3)2]]/Table_03[[#This Row],[b/t]]^2</f>
        <v>81137.985265348601</v>
      </c>
      <c r="AI187" s="185" t="str">
        <f>IF(Table_03[[#This Row],[b/t]]&lt;Table_03[[#This Row],[λpf]],"Compact",IF(AND(Table_03[[#This Row],[b/t]]&gt;Table_03[[#This Row],[λpf]],Table_03[[#This Row],[λrf]]&gt;Table_03[[#This Row],[b/t]]),"Non-Compact","Slender"))</f>
        <v>Compact</v>
      </c>
      <c r="AJ187" s="186">
        <f>IF(Table_03[[#This Row],[Controlling LBx]]="Compact",Table_03[[#This Row],[Mp (k-in)]],IF(Table_03[[#This Row],[Controlling LBx]]="Non-Compact",Table_03[[#This Row],[Mnlb,Non-Compact (k-in)]],IF(Table_03[[#This Row],[Controlling LBx]]="Slender",Table_03[[#This Row],[Mnlb,slender (k-in)]],"ERROR")))</f>
        <v>11616.142625000002</v>
      </c>
      <c r="AK187" s="183">
        <f>Table_03[[#This Row],[Mp (k-in)]]-(Table_03[[#This Row],[Mp (k-in)]]-0.7*Table_03[[#This Row],[Strength (ksi)]]*Table_03[[#This Row],[Static Parameters Elastic Section Modulus Sx (in3)2]])*(($B$5-Table_03[[#This Row],[Lp (ft)]])/(Table_03[[#This Row],[Lr]]-Table_03[[#This Row],[Lp (ft)]]))</f>
        <v>12248.495599957225</v>
      </c>
      <c r="AL187" s="184">
        <f>Table_03[[#This Row],[Fcrx]]*Table_03[[#This Row],[Static Parameters Elastic Section Modulus Sx (in3)2]]</f>
        <v>147894.31352431967</v>
      </c>
      <c r="AM187" s="185" t="str">
        <f>IF($B$5&lt;Table_03[[#This Row],[Lp (ft)]],"Yielding Controls",IF(AND($B$5&gt;Table_03[[#This Row],[Lp (ft)]],Table_03[[#This Row],[Lr]]&gt;$B$5),"Mltb,p Controls","Mltb,r Controls"))</f>
        <v>Yielding Controls</v>
      </c>
      <c r="AN187" s="186">
        <f>IF(Table_03[[#This Row],[Controlling LTB]]="Yielding Controls",Table_03[[#This Row],[Mp (k-in)]],IF(Table_03[[#This Row],[Controlling LTB]]="Mltb,p Controls",Table_03[[#This Row],[Mnltbp (k-in)]],IF(Table_03[[#This Row],[Controlling LTB]]="Mltb,r Controls",Table_03[[#This Row],[Mnltbr (k-in)]],"ERROR")))</f>
        <v>11616.142625000002</v>
      </c>
      <c r="AO187" s="183">
        <f>MIN(Table_03[[#This Row],[Strength (ksi)]]*Table_03[[#This Row],[Static Parameters Plastic Section Modulus Zy (in3)]],1.6*Table_03[[#This Row],[Strength (ksi)]]*Table_03[[#This Row],[Static Parameters Elastic Section Modulus Sy (in3)3]])</f>
        <v>5648.7837812500002</v>
      </c>
      <c r="AP187" s="181">
        <f>MIN(Table_03[[#This Row],[Mny (k-in)]],Table_03[[#This Row],[Mny (k-in)]]-(Table_03[[#This Row],[Mny (k-in)]]-0.7*Table_03[[#This Row],[Static Parameters Elastic Section Modulus Sy (in3)3]]*Table_03[[#This Row],[Strength (ksi)]])*((Table_03[[#This Row],[b/t]]-Table_03[[#This Row],[λpf]])/(Table_03[[#This Row],[λrf]]-Table_03[[#This Row],[λpf]])))</f>
        <v>5648.7837812500002</v>
      </c>
      <c r="AQ187" s="184">
        <f>MIN(Table_03[[#This Row],[Mny (k-in)]],Table_03[[#This Row],[Fcry]]*Table_03[[#This Row],[Static Parameters Elastic Section Modulus Sy (in3)3]])</f>
        <v>5648.7837812500002</v>
      </c>
      <c r="AR187" s="185" t="str">
        <f>IF(Table_03[[#This Row],[b/t]]&lt;Table_03[[#This Row],[λpf]],"Compact",IF(AND(Table_03[[#This Row],[b/t]]&gt;Table_03[[#This Row],[λpf]],Table_03[[#This Row],[λrf]]&gt;Table_03[[#This Row],[b/t]]),"Non-Compact","Slender"))</f>
        <v>Compact</v>
      </c>
      <c r="AS187" s="186">
        <f>IF(Table_03[[#This Row],[Controlling Lby]]="Compact",Table_03[[#This Row],[Mny (k-in)]],IF(Table_03[[#This Row],[Controlling Lby]]="Non-Compact",Table_03[[#This Row],[Mlby,Non-Compact (k-in)]],IF(Table_03[[#This Row],[Controlling Lby]]="Slender",Table_03[[#This Row],[Mlby,Slender (k-in)]],"ERROR")))</f>
        <v>5648.7837812500002</v>
      </c>
      <c r="AT187" s="183">
        <f>MIN(Table_03[[#This Row],[LBx]],Table_03[[#This Row],[LTB]],Table_03[[#This Row],[Mp (k-in)]])</f>
        <v>11616.142625000002</v>
      </c>
      <c r="AU187" s="181">
        <f>Table_03[[#This Row],[Mp (k-in)]]</f>
        <v>11616.142625000002</v>
      </c>
      <c r="AV187" s="181">
        <f>MIN(Table_03[[#This Row],[LBy]],Table_03[[#This Row],[Mny (k-in)]])</f>
        <v>5648.7837812500002</v>
      </c>
      <c r="AW187" s="187">
        <f>Table_03[[#This Row],[Mny (k-in)]]</f>
        <v>5648.7837812500002</v>
      </c>
      <c r="AX187" s="165">
        <f>SQRT(((Table_03[[#This Row],[Sectional Area (in2)]]-(Table_03[[#This Row],[Flange Thickness tf (in)]]*Table_03[[#This Row],[Width w (in)]]*2+Table_03[[#This Row],[Web Thickness tw (in)]]*((Table_03[[#This Row],[Depth h (in)]]-2*Table_03[[#This Row],[Flange Thickness tf (in)]]))))/4)/(1-PI()/4))</f>
        <v>0.62888780962256585</v>
      </c>
      <c r="AY187"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87" s="165"/>
    </row>
    <row r="188" spans="1:52" x14ac:dyDescent="0.3">
      <c r="A188" s="188" t="s">
        <v>280</v>
      </c>
      <c r="B188" s="189">
        <v>15.69</v>
      </c>
      <c r="C188" s="189">
        <v>5.5</v>
      </c>
      <c r="D188" s="189">
        <v>0.25</v>
      </c>
      <c r="E188" s="189">
        <v>0.34499999999999997</v>
      </c>
      <c r="F188" s="190">
        <v>7.68</v>
      </c>
      <c r="G188" s="189">
        <v>26</v>
      </c>
      <c r="H188" s="190">
        <v>301</v>
      </c>
      <c r="I188" s="190">
        <v>9.6</v>
      </c>
      <c r="J188" s="190">
        <f>Table_03[[#This Row],[Width w (in)]]*Table_03[[#This Row],[Flange Thickness tf (in)]]*(Table_03[[#This Row],[Depth h (in)]]-Table_03[[#This Row],[Flange Thickness tf (in)]])+0.25*Table_03[[#This Row],[Web Thickness tw (in)]]*(Table_03[[#This Row],[Depth h (in)]]-2*Table_03[[#This Row],[Flange Thickness tf (in)]])^2</f>
        <v>43.179637499999998</v>
      </c>
      <c r="K188" s="190">
        <f>(Table_03[[#This Row],[Width w (in)]]^2*Table_03[[#This Row],[Flange Thickness tf (in)]])/2+0.25*Table_03[[#This Row],[Web Thickness tw (in)]]^2*(Table_03[[#This Row],[Depth h (in)]]-2*Table_03[[#This Row],[Flange Thickness tf (in)]])</f>
        <v>5.4524999999999997</v>
      </c>
      <c r="L188" s="190">
        <v>38.4</v>
      </c>
      <c r="M188" s="190">
        <v>3.5</v>
      </c>
      <c r="N188" s="191">
        <v>50</v>
      </c>
      <c r="O188" s="169">
        <f>SQRT(Table_03[[#This Row],[Static Parameters Moment of Inertia Ix (in4)]]/Table_03[[#This Row],[Sectional Area (in2)]])</f>
        <v>6.2604080005486331</v>
      </c>
      <c r="P188" s="190">
        <f>SQRT(Table_03[[#This Row],[Static Parameters Moment of Inertia Iy (in4)]]/Table_03[[#This Row],[Sectional Area (in2)]])</f>
        <v>1.1180339887498949</v>
      </c>
      <c r="Q188" s="190">
        <f>($B$6*$B$5*12)/Table_03[[#This Row],[ry (in)2]]</f>
        <v>160.59440214403489</v>
      </c>
      <c r="R188" s="190">
        <f>(PI()^2*$B$4)/(Table_03[[#This Row],[KL/ry]]^2)</f>
        <v>11.097801111569085</v>
      </c>
      <c r="S188" s="190">
        <f>IF(Table_03[[#This Row],[Strength (ksi)]]/Table_03[[#This Row],[Fe,y]]&lt;2.25,(0.658^(Table_03[[#This Row],[Strength (ksi)]]/Table_03[[#This Row],[Fe,y]])*Table_03[[#This Row],[Strength (ksi)]]),0.877*Table_03[[#This Row],[Fe,y]])</f>
        <v>9.7327715748460868</v>
      </c>
      <c r="T188" s="190">
        <f>Table_03[[#This Row],[Fcr,y]]*Table_03[[#This Row],[Sectional Area (in2)]]</f>
        <v>74.747685694817946</v>
      </c>
      <c r="U188" s="190">
        <f>1.76*Table_03[[#This Row],[ry (in)2]]*SQRT($B$4/Table_03[[#This Row],[Strength (ksi)]])/12</f>
        <v>3.9491208585653035</v>
      </c>
      <c r="V18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11.110479584156559</v>
      </c>
      <c r="W188" s="190">
        <f>Table_03[[#This Row],[Depth h (in)]]-Table_03[[#This Row],[Flange Thickness tf (in)]]</f>
        <v>15.344999999999999</v>
      </c>
      <c r="X188" s="190">
        <f>(Table_03[[#This Row],[Static Parameters Moment of Inertia Iy (in4)]]*Table_03[[#This Row],[ho]]^2)/4</f>
        <v>565.12565999999993</v>
      </c>
      <c r="Y188" s="190">
        <f>SQRT((SQRT(Table_03[[#This Row],[Static Parameters Moment of Inertia Iy (in4)]]*Table_03[[#This Row],[Cw*]])/Table_03[[#This Row],[Static Parameters Elastic Section Modulus Sx (in3)2]]))</f>
        <v>1.3849638984464541</v>
      </c>
      <c r="Z188" s="190">
        <f>(2*Table_03[[#This Row],[Width w (in)]]*Table_03[[#This Row],[Flange Thickness tf (in)]]^3/3)+((Table_03[[#This Row],[Depth h (in)]]-Table_03[[#This Row],[Flange Thickness tf (in)]]*2)*Table_03[[#This Row],[Web Thickness tw (in)]]^3)/3</f>
        <v>0.22869162499999998</v>
      </c>
      <c r="AA188" s="190">
        <f>Table_03[[#This Row],[Width w (in)]]*0.5/Table_03[[#This Row],[Flange Thickness tf (in)]]</f>
        <v>7.9710144927536239</v>
      </c>
      <c r="AB188" s="190">
        <f>0.38*SQRT($B$4/Table_03[[#This Row],[Strength (ksi)]])</f>
        <v>9.1516118798821449</v>
      </c>
      <c r="AC188" s="190">
        <f>1*SQRT($B$4/Table_03[[#This Row],[Strength (ksi)]])</f>
        <v>24.083189157584592</v>
      </c>
      <c r="AD188" s="190">
        <f>(PI()^2*$B$4/(12*$B$5/Table_03[[#This Row],[rts]])^2)*SQRT(1+0.078*(Table_03[[#This Row],[J*]]/(Table_03[[#This Row],[Static Parameters Elastic Section Modulus Sx (in3)2]]*Table_03[[#This Row],[ho]])*$B$4/(12*$B$5/Table_03[[#This Row],[rts]])^2))</f>
        <v>75.109078521006836</v>
      </c>
      <c r="AE188" s="190">
        <f>0.69*$B$4/Table_03[[#This Row],[b/t]]^2</f>
        <v>314.93424793388425</v>
      </c>
      <c r="AF188" s="192">
        <f>Table_03[[#This Row],[Strength (ksi)]]*Table_03[[#This Row],[Static Parameters Plastic Section Modulus Zx (in3)]]</f>
        <v>2158.9818749999999</v>
      </c>
      <c r="AG188" s="190">
        <f>Table_03[[#This Row],[Mp (k-in)]]-(Table_03[[#This Row],[Mp (k-in)]]-0.7*Table_03[[#This Row],[Strength (ksi)]]*Table_03[[#This Row],[Static Parameters Elastic Section Modulus Sx (in3)2]])*((Table_03[[#This Row],[b/t]]-Table_03[[#This Row],[λpf]])/(Table_03[[#This Row],[λrf]]-Table_03[[#This Row],[λpf]]))</f>
        <v>2223.4201760774699</v>
      </c>
      <c r="AH188" s="193">
        <f>0.9*$B$4*Table_03[[#This Row],[kc]]*Table_03[[#This Row],[Static Parameters Elastic Section Modulus Sx (in3)2]]/Table_03[[#This Row],[b/t]]^2</f>
        <v>7964.5832859983229</v>
      </c>
      <c r="AI188" s="194" t="str">
        <f>IF(Table_03[[#This Row],[b/t]]&lt;Table_03[[#This Row],[λpf]],"Compact",IF(AND(Table_03[[#This Row],[b/t]]&gt;Table_03[[#This Row],[λpf]],Table_03[[#This Row],[λrf]]&gt;Table_03[[#This Row],[b/t]]),"Non-Compact","Slender"))</f>
        <v>Compact</v>
      </c>
      <c r="AJ188" s="195">
        <f>IF(Table_03[[#This Row],[Controlling LBx]]="Compact",Table_03[[#This Row],[Mp (k-in)]],IF(Table_03[[#This Row],[Controlling LBx]]="Non-Compact",Table_03[[#This Row],[Mnlb,Non-Compact (k-in)]],IF(Table_03[[#This Row],[Controlling LBx]]="Slender",Table_03[[#This Row],[Mnlb,slender (k-in)]],"ERROR")))</f>
        <v>2158.9818749999999</v>
      </c>
      <c r="AK188" s="192">
        <f>Table_03[[#This Row],[Mp (k-in)]]-(Table_03[[#This Row],[Mp (k-in)]]-0.7*Table_03[[#This Row],[Strength (ksi)]]*Table_03[[#This Row],[Static Parameters Elastic Section Modulus Sx (in3)2]])*(($B$5-Table_03[[#This Row],[Lp (ft)]])/(Table_03[[#This Row],[Lr]]-Table_03[[#This Row],[Lp (ft)]]))</f>
        <v>1797.5582909236214</v>
      </c>
      <c r="AL188" s="196">
        <f>Table_03[[#This Row],[Fcrx]]*Table_03[[#This Row],[Static Parameters Elastic Section Modulus Sx (in3)2]]</f>
        <v>2884.1886152066622</v>
      </c>
      <c r="AM188" s="197" t="str">
        <f>IF($B$5&lt;Table_03[[#This Row],[Lp (ft)]],"Yielding Controls",IF(AND($B$5&gt;Table_03[[#This Row],[Lp (ft)]],Table_03[[#This Row],[Lr]]&gt;$B$5),"Mltb,p Controls","Mltb,r Controls"))</f>
        <v>Mltb,p Controls</v>
      </c>
      <c r="AN188" s="198">
        <f>IF(Table_03[[#This Row],[Controlling LTB]]="Yielding Controls",Table_03[[#This Row],[Mp (k-in)]],IF(Table_03[[#This Row],[Controlling LTB]]="Mltb,p Controls",Table_03[[#This Row],[Mnltbp (k-in)]],IF(Table_03[[#This Row],[Controlling LTB]]="Mltb,r Controls",Table_03[[#This Row],[Mnltbr (k-in)]],"ERROR")))</f>
        <v>1797.5582909236214</v>
      </c>
      <c r="AO188" s="199">
        <f>MIN(Table_03[[#This Row],[Strength (ksi)]]*Table_03[[#This Row],[Static Parameters Plastic Section Modulus Zy (in3)]],1.6*Table_03[[#This Row],[Strength (ksi)]]*Table_03[[#This Row],[Static Parameters Elastic Section Modulus Sy (in3)3]])</f>
        <v>272.625</v>
      </c>
      <c r="AP188" s="169">
        <f>MIN(Table_03[[#This Row],[Mny (k-in)]],Table_03[[#This Row],[Mny (k-in)]]-(Table_03[[#This Row],[Mny (k-in)]]-0.7*Table_03[[#This Row],[Static Parameters Elastic Section Modulus Sy (in3)3]]*Table_03[[#This Row],[Strength (ksi)]])*((Table_03[[#This Row],[b/t]]-Table_03[[#This Row],[λpf]])/(Table_03[[#This Row],[λrf]]-Table_03[[#This Row],[λpf]])))</f>
        <v>272.625</v>
      </c>
      <c r="AQ188" s="196">
        <f>MIN(Table_03[[#This Row],[Mny (k-in)]],Table_03[[#This Row],[Fcry]]*Table_03[[#This Row],[Static Parameters Elastic Section Modulus Sy (in3)3]])</f>
        <v>272.625</v>
      </c>
      <c r="AR188" s="197" t="str">
        <f>IF(Table_03[[#This Row],[b/t]]&lt;Table_03[[#This Row],[λpf]],"Compact",IF(AND(Table_03[[#This Row],[b/t]]&gt;Table_03[[#This Row],[λpf]],Table_03[[#This Row],[λrf]]&gt;Table_03[[#This Row],[b/t]]),"Non-Compact","Slender"))</f>
        <v>Compact</v>
      </c>
      <c r="AS188" s="198">
        <f>IF(Table_03[[#This Row],[Controlling Lby]]="Compact",Table_03[[#This Row],[Mny (k-in)]],IF(Table_03[[#This Row],[Controlling Lby]]="Non-Compact",Table_03[[#This Row],[Mlby,Non-Compact (k-in)]],IF(Table_03[[#This Row],[Controlling Lby]]="Slender",Table_03[[#This Row],[Mlby,Slender (k-in)]],"ERROR")))</f>
        <v>272.625</v>
      </c>
      <c r="AT188" s="199">
        <f>MIN(Table_03[[#This Row],[LBx]],Table_03[[#This Row],[LTB]],Table_03[[#This Row],[Mp (k-in)]])</f>
        <v>1797.5582909236214</v>
      </c>
      <c r="AU188" s="169">
        <f>Table_03[[#This Row],[Mp (k-in)]]</f>
        <v>2158.9818749999999</v>
      </c>
      <c r="AV188" s="169">
        <f>MIN(Table_03[[#This Row],[LBy]],Table_03[[#This Row],[Mny (k-in)]])</f>
        <v>272.625</v>
      </c>
      <c r="AW188" s="200">
        <f>Table_03[[#This Row],[Mny (k-in)]]</f>
        <v>272.625</v>
      </c>
      <c r="AX188" s="165">
        <f>SQRT(((Table_03[[#This Row],[Sectional Area (in2)]]-(Table_03[[#This Row],[Flange Thickness tf (in)]]*Table_03[[#This Row],[Width w (in)]]*2+Table_03[[#This Row],[Web Thickness tw (in)]]*((Table_03[[#This Row],[Depth h (in)]]-2*Table_03[[#This Row],[Flange Thickness tf (in)]]))))/4)/(1-PI()/4))</f>
        <v>0.39657028678846445</v>
      </c>
      <c r="AY188" s="165">
        <f>IF(4/SQRT((Table_03[[#This Row],[Depth h (in)]]-Table_03[[#This Row],[Flange Thickness tf (in)]]*2)/Table_03[[#This Row],[Web Thickness tw (in)]])&lt;0.35,0.35,IF(4/SQRT(Table_03[[#This Row],[Depth h (in)]]/Table_03[[#This Row],[Web Thickness tw (in)]])&gt;0.76,0.76,4/SQRT(Table_03[[#This Row],[Depth h (in)]]/Table_03[[#This Row],[Web Thickness tw (in)]])))</f>
        <v>0.50491529178682881</v>
      </c>
      <c r="AZ188" s="165"/>
    </row>
    <row r="189" spans="1:52" ht="14.4" thickBot="1" x14ac:dyDescent="0.35">
      <c r="A189" s="201" t="s">
        <v>281</v>
      </c>
      <c r="B189" s="202">
        <v>15.86</v>
      </c>
      <c r="C189" s="202">
        <v>6.9850000000000003</v>
      </c>
      <c r="D189" s="202">
        <v>0.29499999999999998</v>
      </c>
      <c r="E189" s="202">
        <v>0.43</v>
      </c>
      <c r="F189" s="203">
        <v>10.6</v>
      </c>
      <c r="G189" s="204">
        <v>36</v>
      </c>
      <c r="H189" s="203">
        <v>448</v>
      </c>
      <c r="I189" s="203">
        <v>24.5</v>
      </c>
      <c r="J189" s="203">
        <f>Table_03[[#This Row],[Width w (in)]]*Table_03[[#This Row],[Flange Thickness tf (in)]]*(Table_03[[#This Row],[Depth h (in)]]-Table_03[[#This Row],[Flange Thickness tf (in)]])+0.25*Table_03[[#This Row],[Web Thickness tw (in)]]*(Table_03[[#This Row],[Depth h (in)]]-2*Table_03[[#This Row],[Flange Thickness tf (in)]])^2</f>
        <v>62.938526500000002</v>
      </c>
      <c r="K189" s="203">
        <f>(Table_03[[#This Row],[Width w (in)]]^2*Table_03[[#This Row],[Flange Thickness tf (in)]])/2+0.25*Table_03[[#This Row],[Web Thickness tw (in)]]^2*(Table_03[[#This Row],[Depth h (in)]]-2*Table_03[[#This Row],[Flange Thickness tf (in)]])</f>
        <v>10.816242125</v>
      </c>
      <c r="L189" s="203">
        <v>56.5</v>
      </c>
      <c r="M189" s="203">
        <v>7</v>
      </c>
      <c r="N189" s="205">
        <v>50</v>
      </c>
      <c r="O189" s="206">
        <f>SQRT(Table_03[[#This Row],[Static Parameters Moment of Inertia Ix (in4)]]/Table_03[[#This Row],[Sectional Area (in2)]])</f>
        <v>6.501088442976009</v>
      </c>
      <c r="P189" s="203">
        <f>SQRT(Table_03[[#This Row],[Static Parameters Moment of Inertia Iy (in4)]]/Table_03[[#This Row],[Sectional Area (in2)]])</f>
        <v>1.5203028496707427</v>
      </c>
      <c r="Q189" s="203">
        <f>($B$6*$B$5*12)/Table_03[[#This Row],[ry (in)2]]</f>
        <v>118.10146908485095</v>
      </c>
      <c r="R189" s="203">
        <f>(PI()^2*$B$4)/(Table_03[[#This Row],[KL/ry]]^2)</f>
        <v>20.520462432712637</v>
      </c>
      <c r="S189" s="203">
        <f>IF(Table_03[[#This Row],[Strength (ksi)]]/Table_03[[#This Row],[Fe,y]]&lt;2.25,(0.658^(Table_03[[#This Row],[Strength (ksi)]]/Table_03[[#This Row],[Fe,y]])*Table_03[[#This Row],[Strength (ksi)]]),0.877*Table_03[[#This Row],[Fe,y]])</f>
        <v>17.996445553488982</v>
      </c>
      <c r="T189" s="203">
        <f>Table_03[[#This Row],[Fcr,y]]*Table_03[[#This Row],[Sectional Area (in2)]]</f>
        <v>190.7623228669832</v>
      </c>
      <c r="U189" s="203">
        <f>1.76*Table_03[[#This Row],[ry (in)2]]*SQRT($B$4/Table_03[[#This Row],[Strength (ksi)]])/12</f>
        <v>5.3700153621305233</v>
      </c>
      <c r="V18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15.104049160868456</v>
      </c>
      <c r="W189" s="203">
        <f>Table_03[[#This Row],[Depth h (in)]]-Table_03[[#This Row],[Flange Thickness tf (in)]]</f>
        <v>15.43</v>
      </c>
      <c r="X189" s="203">
        <f>(Table_03[[#This Row],[Static Parameters Moment of Inertia Iy (in4)]]*Table_03[[#This Row],[ho]]^2)/4</f>
        <v>1458.2700125000001</v>
      </c>
      <c r="Y189" s="203">
        <f>SQRT((SQRT(Table_03[[#This Row],[Static Parameters Moment of Inertia Iy (in4)]]*Table_03[[#This Row],[Cw*]])/Table_03[[#This Row],[Static Parameters Elastic Section Modulus Sx (in3)2]]))</f>
        <v>1.8290550778683803</v>
      </c>
      <c r="Z189" s="203">
        <f>(2*Table_03[[#This Row],[Width w (in)]]*Table_03[[#This Row],[Flange Thickness tf (in)]]^3/3)+((Table_03[[#This Row],[Depth h (in)]]-Table_03[[#This Row],[Flange Thickness tf (in)]]*2)*Table_03[[#This Row],[Web Thickness tw (in)]]^3)/3</f>
        <v>0.49859947166666663</v>
      </c>
      <c r="AA189" s="203">
        <f>Table_03[[#This Row],[Width w (in)]]*0.5/Table_03[[#This Row],[Flange Thickness tf (in)]]</f>
        <v>8.1220930232558146</v>
      </c>
      <c r="AB189" s="203">
        <f>0.38*SQRT($B$4/Table_03[[#This Row],[Strength (ksi)]])</f>
        <v>9.1516118798821449</v>
      </c>
      <c r="AC189" s="203">
        <f>1*SQRT($B$4/Table_03[[#This Row],[Strength (ksi)]])</f>
        <v>24.083189157584592</v>
      </c>
      <c r="AD189" s="203">
        <f>(PI()^2*$B$4/(12*$B$5/Table_03[[#This Row],[rts]])^2)*SQRT(1+0.078*(Table_03[[#This Row],[J*]]/(Table_03[[#This Row],[Static Parameters Elastic Section Modulus Sx (in3)2]]*Table_03[[#This Row],[ho]])*$B$4/(12*$B$5/Table_03[[#This Row],[rts]])^2))</f>
        <v>131.02301917083102</v>
      </c>
      <c r="AE189" s="203">
        <f>0.69*$B$4/Table_03[[#This Row],[b/t]]^2</f>
        <v>303.32707012521456</v>
      </c>
      <c r="AF189" s="207">
        <f>Table_03[[#This Row],[Strength (ksi)]]*Table_03[[#This Row],[Static Parameters Plastic Section Modulus Zx (in3)]]</f>
        <v>3146.9263249999999</v>
      </c>
      <c r="AG189" s="203">
        <f>Table_03[[#This Row],[Mp (k-in)]]-(Table_03[[#This Row],[Mp (k-in)]]-0.7*Table_03[[#This Row],[Strength (ksi)]]*Table_03[[#This Row],[Static Parameters Elastic Section Modulus Sx (in3)2]])*((Table_03[[#This Row],[b/t]]-Table_03[[#This Row],[λpf]])/(Table_03[[#This Row],[λrf]]-Table_03[[#This Row],[λpf]]))</f>
        <v>3227.5572208947424</v>
      </c>
      <c r="AH189" s="208">
        <f>0.9*$B$4*Table_03[[#This Row],[kc]]*Table_03[[#This Row],[Static Parameters Elastic Section Modulus Sx (in3)2]]/Table_03[[#This Row],[b/t]]^2</f>
        <v>12194.737171576769</v>
      </c>
      <c r="AI189" s="209" t="str">
        <f>IF(Table_03[[#This Row],[b/t]]&lt;Table_03[[#This Row],[λpf]],"Compact",IF(AND(Table_03[[#This Row],[b/t]]&gt;Table_03[[#This Row],[λpf]],Table_03[[#This Row],[λrf]]&gt;Table_03[[#This Row],[b/t]]),"Non-Compact","Slender"))</f>
        <v>Compact</v>
      </c>
      <c r="AJ189" s="210">
        <f>IF(Table_03[[#This Row],[Controlling LBx]]="Compact",Table_03[[#This Row],[Mp (k-in)]],IF(Table_03[[#This Row],[Controlling LBx]]="Non-Compact",Table_03[[#This Row],[Mnlb,Non-Compact (k-in)]],IF(Table_03[[#This Row],[Controlling LBx]]="Slender",Table_03[[#This Row],[Mnlb,slender (k-in)]],"ERROR")))</f>
        <v>3146.9263249999999</v>
      </c>
      <c r="AK189" s="207">
        <f>Table_03[[#This Row],[Mp (k-in)]]-(Table_03[[#This Row],[Mp (k-in)]]-0.7*Table_03[[#This Row],[Strength (ksi)]]*Table_03[[#This Row],[Static Parameters Elastic Section Modulus Sx (in3)2]])*(($B$5-Table_03[[#This Row],[Lp (ft)]])/(Table_03[[#This Row],[Lr]]-Table_03[[#This Row],[Lp (ft)]]))</f>
        <v>2936.0861658296822</v>
      </c>
      <c r="AL189" s="211">
        <f>Table_03[[#This Row],[Fcrx]]*Table_03[[#This Row],[Static Parameters Elastic Section Modulus Sx (in3)2]]</f>
        <v>7402.8005831519522</v>
      </c>
      <c r="AM189" s="212" t="str">
        <f>IF($B$5&lt;Table_03[[#This Row],[Lp (ft)]],"Yielding Controls",IF(AND($B$5&gt;Table_03[[#This Row],[Lp (ft)]],Table_03[[#This Row],[Lr]]&gt;$B$5),"Mltb,p Controls","Mltb,r Controls"))</f>
        <v>Mltb,p Controls</v>
      </c>
      <c r="AN189" s="213">
        <f>IF(Table_03[[#This Row],[Controlling LTB]]="Yielding Controls",Table_03[[#This Row],[Mp (k-in)]],IF(Table_03[[#This Row],[Controlling LTB]]="Mltb,p Controls",Table_03[[#This Row],[Mnltbp (k-in)]],IF(Table_03[[#This Row],[Controlling LTB]]="Mltb,r Controls",Table_03[[#This Row],[Mnltbr (k-in)]],"ERROR")))</f>
        <v>2936.0861658296822</v>
      </c>
      <c r="AO189" s="214">
        <f>MIN(Table_03[[#This Row],[Strength (ksi)]]*Table_03[[#This Row],[Static Parameters Plastic Section Modulus Zy (in3)]],1.6*Table_03[[#This Row],[Strength (ksi)]]*Table_03[[#This Row],[Static Parameters Elastic Section Modulus Sy (in3)3]])</f>
        <v>540.81210625000006</v>
      </c>
      <c r="AP189" s="206">
        <f>MIN(Table_03[[#This Row],[Mny (k-in)]],Table_03[[#This Row],[Mny (k-in)]]-(Table_03[[#This Row],[Mny (k-in)]]-0.7*Table_03[[#This Row],[Static Parameters Elastic Section Modulus Sy (in3)3]]*Table_03[[#This Row],[Strength (ksi)]])*((Table_03[[#This Row],[b/t]]-Table_03[[#This Row],[λpf]])/(Table_03[[#This Row],[λrf]]-Table_03[[#This Row],[λpf]])))</f>
        <v>540.81210625000006</v>
      </c>
      <c r="AQ189" s="211">
        <f>MIN(Table_03[[#This Row],[Mny (k-in)]],Table_03[[#This Row],[Fcry]]*Table_03[[#This Row],[Static Parameters Elastic Section Modulus Sy (in3)3]])</f>
        <v>540.81210625000006</v>
      </c>
      <c r="AR189" s="212" t="str">
        <f>IF(Table_03[[#This Row],[b/t]]&lt;Table_03[[#This Row],[λpf]],"Compact",IF(AND(Table_03[[#This Row],[b/t]]&gt;Table_03[[#This Row],[λpf]],Table_03[[#This Row],[λrf]]&gt;Table_03[[#This Row],[b/t]]),"Non-Compact","Slender"))</f>
        <v>Compact</v>
      </c>
      <c r="AS189" s="213">
        <f>IF(Table_03[[#This Row],[Controlling Lby]]="Compact",Table_03[[#This Row],[Mny (k-in)]],IF(Table_03[[#This Row],[Controlling Lby]]="Non-Compact",Table_03[[#This Row],[Mlby,Non-Compact (k-in)]],IF(Table_03[[#This Row],[Controlling Lby]]="Slender",Table_03[[#This Row],[Mlby,Slender (k-in)]],"ERROR")))</f>
        <v>540.81210625000006</v>
      </c>
      <c r="AT189" s="214">
        <f>MIN(Table_03[[#This Row],[LBx]],Table_03[[#This Row],[LTB]],Table_03[[#This Row],[Mp (k-in)]])</f>
        <v>2936.0861658296822</v>
      </c>
      <c r="AU189" s="206">
        <f>Table_03[[#This Row],[Mp (k-in)]]</f>
        <v>3146.9263249999999</v>
      </c>
      <c r="AV189" s="206">
        <f>MIN(Table_03[[#This Row],[LBy]],Table_03[[#This Row],[Mny (k-in)]])</f>
        <v>540.81210625000006</v>
      </c>
      <c r="AW189" s="215">
        <f>Table_03[[#This Row],[Mny (k-in)]]</f>
        <v>540.81210625000006</v>
      </c>
      <c r="AX189" s="165">
        <f>SQRT(((Table_03[[#This Row],[Sectional Area (in2)]]-(Table_03[[#This Row],[Flange Thickness tf (in)]]*Table_03[[#This Row],[Width w (in)]]*2+Table_03[[#This Row],[Web Thickness tw (in)]]*((Table_03[[#This Row],[Depth h (in)]]-2*Table_03[[#This Row],[Flange Thickness tf (in)]]))))/4)/(1-PI()/4))</f>
        <v>0.44226099147054754</v>
      </c>
      <c r="AY189" s="165">
        <f>IF(4/SQRT((Table_03[[#This Row],[Depth h (in)]]-Table_03[[#This Row],[Flange Thickness tf (in)]]*2)/Table_03[[#This Row],[Web Thickness tw (in)]])&lt;0.35,0.35,IF(4/SQRT(Table_03[[#This Row],[Depth h (in)]]/Table_03[[#This Row],[Web Thickness tw (in)]])&gt;0.76,0.76,4/SQRT(Table_03[[#This Row],[Depth h (in)]]/Table_03[[#This Row],[Web Thickness tw (in)]])))</f>
        <v>0.54553096640699816</v>
      </c>
      <c r="AZ189" s="165"/>
    </row>
    <row r="190" spans="1:52" x14ac:dyDescent="0.3">
      <c r="A190" s="179" t="s">
        <v>282</v>
      </c>
      <c r="B190" s="180">
        <v>15.88</v>
      </c>
      <c r="C190" s="180">
        <v>5.5250000000000004</v>
      </c>
      <c r="D190" s="180">
        <v>0.27500000000000002</v>
      </c>
      <c r="E190" s="180">
        <v>0.44</v>
      </c>
      <c r="F190" s="181">
        <v>9.1199999999999992</v>
      </c>
      <c r="G190" s="180">
        <v>31</v>
      </c>
      <c r="H190" s="180">
        <v>375</v>
      </c>
      <c r="I190" s="180">
        <v>12.4</v>
      </c>
      <c r="J190" s="181">
        <f>Table_03[[#This Row],[Width w (in)]]*Table_03[[#This Row],[Flange Thickness tf (in)]]*(Table_03[[#This Row],[Depth h (in)]]-Table_03[[#This Row],[Flange Thickness tf (in)]])+0.25*Table_03[[#This Row],[Web Thickness tw (in)]]*(Table_03[[#This Row],[Depth h (in)]]-2*Table_03[[#This Row],[Flange Thickness tf (in)]])^2</f>
        <v>53.003390000000003</v>
      </c>
      <c r="K190" s="181">
        <f>(Table_03[[#This Row],[Width w (in)]]^2*Table_03[[#This Row],[Flange Thickness tf (in)]])/2+0.25*Table_03[[#This Row],[Web Thickness tw (in)]]^2*(Table_03[[#This Row],[Depth h (in)]]-2*Table_03[[#This Row],[Flange Thickness tf (in)]])</f>
        <v>6.9992312500000011</v>
      </c>
      <c r="L190" s="181">
        <v>47.2</v>
      </c>
      <c r="M190" s="181">
        <v>4.5</v>
      </c>
      <c r="N190" s="182">
        <v>50</v>
      </c>
      <c r="O190" s="181">
        <f>SQRT(Table_03[[#This Row],[Static Parameters Moment of Inertia Ix (in4)]]/Table_03[[#This Row],[Sectional Area (in2)]])</f>
        <v>6.4123647005322137</v>
      </c>
      <c r="P190" s="181">
        <f>SQRT(Table_03[[#This Row],[Static Parameters Moment of Inertia Iy (in4)]]/Table_03[[#This Row],[Sectional Area (in2)]])</f>
        <v>1.1660399319092882</v>
      </c>
      <c r="Q190" s="181">
        <f>($B$6*$B$5*12)/Table_03[[#This Row],[ry (in)2]]</f>
        <v>153.98271970497839</v>
      </c>
      <c r="R190" s="181">
        <f>(PI()^2*$B$4)/(Table_03[[#This Row],[KL/ry]]^2)</f>
        <v>12.071292437145317</v>
      </c>
      <c r="S190" s="181">
        <f>IF(Table_03[[#This Row],[Strength (ksi)]]/Table_03[[#This Row],[Fe,y]]&lt;2.25,(0.658^(Table_03[[#This Row],[Strength (ksi)]]/Table_03[[#This Row],[Fe,y]])*Table_03[[#This Row],[Strength (ksi)]]),0.877*Table_03[[#This Row],[Fe,y]])</f>
        <v>10.586523467376443</v>
      </c>
      <c r="T190" s="181">
        <f>Table_03[[#This Row],[Fcr,y]]*Table_03[[#This Row],[Sectional Area (in2)]]</f>
        <v>96.549094022473156</v>
      </c>
      <c r="U190" s="181">
        <f>1.76*Table_03[[#This Row],[ry (in)2]]*SQRT($B$4/Table_03[[#This Row],[Strength (ksi)]])/12</f>
        <v>4.1186875026687053</v>
      </c>
      <c r="V190"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11.762604775085558</v>
      </c>
      <c r="W190" s="181">
        <f>Table_03[[#This Row],[Depth h (in)]]-Table_03[[#This Row],[Flange Thickness tf (in)]]</f>
        <v>15.440000000000001</v>
      </c>
      <c r="X190" s="181">
        <f>(Table_03[[#This Row],[Static Parameters Moment of Inertia Iy (in4)]]*Table_03[[#This Row],[ho]]^2)/4</f>
        <v>739.02016000000015</v>
      </c>
      <c r="Y190" s="181">
        <f>SQRT((SQRT(Table_03[[#This Row],[Static Parameters Moment of Inertia Iy (in4)]]*Table_03[[#This Row],[Cw*]])/Table_03[[#This Row],[Static Parameters Elastic Section Modulus Sx (in3)2]]))</f>
        <v>1.424126256067326</v>
      </c>
      <c r="Z190" s="181">
        <f>(2*Table_03[[#This Row],[Width w (in)]]*Table_03[[#This Row],[Flange Thickness tf (in)]]^3/3)+((Table_03[[#This Row],[Depth h (in)]]-Table_03[[#This Row],[Flange Thickness tf (in)]]*2)*Table_03[[#This Row],[Web Thickness tw (in)]]^3)/3</f>
        <v>0.41774544166666666</v>
      </c>
      <c r="AA190" s="181">
        <f>Table_03[[#This Row],[Width w (in)]]*0.5/Table_03[[#This Row],[Flange Thickness tf (in)]]</f>
        <v>6.2784090909090917</v>
      </c>
      <c r="AB190" s="181">
        <f>0.38*SQRT($B$4/Table_03[[#This Row],[Strength (ksi)]])</f>
        <v>9.1516118798821449</v>
      </c>
      <c r="AC190" s="181">
        <f>1*SQRT($B$4/Table_03[[#This Row],[Strength (ksi)]])</f>
        <v>24.083189157584592</v>
      </c>
      <c r="AD190" s="181">
        <f>(PI()^2*$B$4/(12*$B$5/Table_03[[#This Row],[rts]])^2)*SQRT(1+0.078*(Table_03[[#This Row],[J*]]/(Table_03[[#This Row],[Static Parameters Elastic Section Modulus Sx (in3)2]]*Table_03[[#This Row],[ho]])*$B$4/(12*$B$5/Table_03[[#This Row],[rts]])^2))</f>
        <v>79.421960195983914</v>
      </c>
      <c r="AE190" s="181">
        <f>0.69*$B$4/Table_03[[#This Row],[b/t]]^2</f>
        <v>507.63068733236412</v>
      </c>
      <c r="AF190" s="183">
        <f>Table_03[[#This Row],[Strength (ksi)]]*Table_03[[#This Row],[Static Parameters Plastic Section Modulus Zx (in3)]]</f>
        <v>2650.1695</v>
      </c>
      <c r="AG190" s="181">
        <f>Table_03[[#This Row],[Mp (k-in)]]-(Table_03[[#This Row],[Mp (k-in)]]-0.7*Table_03[[#This Row],[Strength (ksi)]]*Table_03[[#This Row],[Static Parameters Elastic Section Modulus Sx (in3)2]])*((Table_03[[#This Row],[b/t]]-Table_03[[#This Row],[λpf]])/(Table_03[[#This Row],[λrf]]-Table_03[[#This Row],[λpf]]))</f>
        <v>2842.2418670332258</v>
      </c>
      <c r="AH190" s="184">
        <f>0.9*$B$4*Table_03[[#This Row],[kc]]*Table_03[[#This Row],[Static Parameters Elastic Section Modulus Sx (in3)2]]/Table_03[[#This Row],[b/t]]^2</f>
        <v>16450.699706319778</v>
      </c>
      <c r="AI190" s="185" t="str">
        <f>IF(Table_03[[#This Row],[b/t]]&lt;Table_03[[#This Row],[λpf]],"Compact",IF(AND(Table_03[[#This Row],[b/t]]&gt;Table_03[[#This Row],[λpf]],Table_03[[#This Row],[λrf]]&gt;Table_03[[#This Row],[b/t]]),"Non-Compact","Slender"))</f>
        <v>Compact</v>
      </c>
      <c r="AJ190" s="186">
        <f>IF(Table_03[[#This Row],[Controlling LBx]]="Compact",Table_03[[#This Row],[Mp (k-in)]],IF(Table_03[[#This Row],[Controlling LBx]]="Non-Compact",Table_03[[#This Row],[Mnlb,Non-Compact (k-in)]],IF(Table_03[[#This Row],[Controlling LBx]]="Slender",Table_03[[#This Row],[Mnlb,slender (k-in)]],"ERROR")))</f>
        <v>2650.1695</v>
      </c>
      <c r="AK190" s="183">
        <f>Table_03[[#This Row],[Mp (k-in)]]-(Table_03[[#This Row],[Mp (k-in)]]-0.7*Table_03[[#This Row],[Strength (ksi)]]*Table_03[[#This Row],[Static Parameters Elastic Section Modulus Sx (in3)2]])*(($B$5-Table_03[[#This Row],[Lp (ft)]])/(Table_03[[#This Row],[Lr]]-Table_03[[#This Row],[Lp (ft)]]))</f>
        <v>2257.5946806552934</v>
      </c>
      <c r="AL190" s="184">
        <f>Table_03[[#This Row],[Fcrx]]*Table_03[[#This Row],[Static Parameters Elastic Section Modulus Sx (in3)2]]</f>
        <v>3748.716521250441</v>
      </c>
      <c r="AM190" s="185" t="str">
        <f>IF($B$5&lt;Table_03[[#This Row],[Lp (ft)]],"Yielding Controls",IF(AND($B$5&gt;Table_03[[#This Row],[Lp (ft)]],Table_03[[#This Row],[Lr]]&gt;$B$5),"Mltb,p Controls","Mltb,r Controls"))</f>
        <v>Mltb,p Controls</v>
      </c>
      <c r="AN190" s="186">
        <f>IF(Table_03[[#This Row],[Controlling LTB]]="Yielding Controls",Table_03[[#This Row],[Mp (k-in)]],IF(Table_03[[#This Row],[Controlling LTB]]="Mltb,p Controls",Table_03[[#This Row],[Mnltbp (k-in)]],IF(Table_03[[#This Row],[Controlling LTB]]="Mltb,r Controls",Table_03[[#This Row],[Mnltbr (k-in)]],"ERROR")))</f>
        <v>2257.5946806552934</v>
      </c>
      <c r="AO190" s="183">
        <f>MIN(Table_03[[#This Row],[Strength (ksi)]]*Table_03[[#This Row],[Static Parameters Plastic Section Modulus Zy (in3)]],1.6*Table_03[[#This Row],[Strength (ksi)]]*Table_03[[#This Row],[Static Parameters Elastic Section Modulus Sy (in3)3]])</f>
        <v>349.96156250000007</v>
      </c>
      <c r="AP190" s="181">
        <f>MIN(Table_03[[#This Row],[Mny (k-in)]],Table_03[[#This Row],[Mny (k-in)]]-(Table_03[[#This Row],[Mny (k-in)]]-0.7*Table_03[[#This Row],[Static Parameters Elastic Section Modulus Sy (in3)3]]*Table_03[[#This Row],[Strength (ksi)]])*((Table_03[[#This Row],[b/t]]-Table_03[[#This Row],[λpf]])/(Table_03[[#This Row],[λrf]]-Table_03[[#This Row],[λpf]])))</f>
        <v>349.96156250000007</v>
      </c>
      <c r="AQ190" s="184">
        <f>MIN(Table_03[[#This Row],[Mny (k-in)]],Table_03[[#This Row],[Fcry]]*Table_03[[#This Row],[Static Parameters Elastic Section Modulus Sy (in3)3]])</f>
        <v>349.96156250000007</v>
      </c>
      <c r="AR190" s="185" t="str">
        <f>IF(Table_03[[#This Row],[b/t]]&lt;Table_03[[#This Row],[λpf]],"Compact",IF(AND(Table_03[[#This Row],[b/t]]&gt;Table_03[[#This Row],[λpf]],Table_03[[#This Row],[λrf]]&gt;Table_03[[#This Row],[b/t]]),"Non-Compact","Slender"))</f>
        <v>Compact</v>
      </c>
      <c r="AS190" s="186">
        <f>IF(Table_03[[#This Row],[Controlling Lby]]="Compact",Table_03[[#This Row],[Mny (k-in)]],IF(Table_03[[#This Row],[Controlling Lby]]="Non-Compact",Table_03[[#This Row],[Mlby,Non-Compact (k-in)]],IF(Table_03[[#This Row],[Controlling Lby]]="Slender",Table_03[[#This Row],[Mlby,Slender (k-in)]],"ERROR")))</f>
        <v>349.96156250000007</v>
      </c>
      <c r="AT190" s="183">
        <f>MIN(Table_03[[#This Row],[LBx]],Table_03[[#This Row],[LTB]],Table_03[[#This Row],[Mp (k-in)]])</f>
        <v>2257.5946806552934</v>
      </c>
      <c r="AU190" s="181">
        <f>Table_03[[#This Row],[Mp (k-in)]]</f>
        <v>2650.1695</v>
      </c>
      <c r="AV190" s="181">
        <f>MIN(Table_03[[#This Row],[LBy]],Table_03[[#This Row],[Mny (k-in)]])</f>
        <v>349.96156250000007</v>
      </c>
      <c r="AW190" s="187">
        <f>Table_03[[#This Row],[Mny (k-in)]]</f>
        <v>349.96156250000007</v>
      </c>
      <c r="AX190" s="165">
        <f>SQRT(((Table_03[[#This Row],[Sectional Area (in2)]]-(Table_03[[#This Row],[Flange Thickness tf (in)]]*Table_03[[#This Row],[Width w (in)]]*2+Table_03[[#This Row],[Web Thickness tw (in)]]*((Table_03[[#This Row],[Depth h (in)]]-2*Table_03[[#This Row],[Flange Thickness tf (in)]]))))/4)/(1-PI()/4))</f>
        <v>0.3936217679198159</v>
      </c>
      <c r="AY190" s="165">
        <f>IF(4/SQRT((Table_03[[#This Row],[Depth h (in)]]-Table_03[[#This Row],[Flange Thickness tf (in)]]*2)/Table_03[[#This Row],[Web Thickness tw (in)]])&lt;0.35,0.35,IF(4/SQRT(Table_03[[#This Row],[Depth h (in)]]/Table_03[[#This Row],[Web Thickness tw (in)]])&gt;0.76,0.76,4/SQRT(Table_03[[#This Row],[Depth h (in)]]/Table_03[[#This Row],[Web Thickness tw (in)]])))</f>
        <v>0.52638207192334863</v>
      </c>
      <c r="AZ190" s="165"/>
    </row>
    <row r="191" spans="1:52" x14ac:dyDescent="0.3">
      <c r="A191" s="188" t="s">
        <v>283</v>
      </c>
      <c r="B191" s="189">
        <v>16.010000000000002</v>
      </c>
      <c r="C191" s="189">
        <v>6.9950000000000001</v>
      </c>
      <c r="D191" s="189">
        <v>0.30499999999999999</v>
      </c>
      <c r="E191" s="189">
        <v>0.505</v>
      </c>
      <c r="F191" s="190">
        <v>11.8</v>
      </c>
      <c r="G191" s="189">
        <v>40</v>
      </c>
      <c r="H191" s="190">
        <v>518</v>
      </c>
      <c r="I191" s="190">
        <v>28.9</v>
      </c>
      <c r="J191" s="190">
        <f>Table_03[[#This Row],[Width w (in)]]*Table_03[[#This Row],[Flange Thickness tf (in)]]*(Table_03[[#This Row],[Depth h (in)]]-Table_03[[#This Row],[Flange Thickness tf (in)]])+0.25*Table_03[[#This Row],[Web Thickness tw (in)]]*(Table_03[[#This Row],[Depth h (in)]]-2*Table_03[[#This Row],[Flange Thickness tf (in)]])^2</f>
        <v>71.927274875000009</v>
      </c>
      <c r="K191" s="190">
        <f>(Table_03[[#This Row],[Width w (in)]]^2*Table_03[[#This Row],[Flange Thickness tf (in)]])/2+0.25*Table_03[[#This Row],[Web Thickness tw (in)]]^2*(Table_03[[#This Row],[Depth h (in)]]-2*Table_03[[#This Row],[Flange Thickness tf (in)]])</f>
        <v>12.7036750625</v>
      </c>
      <c r="L191" s="190">
        <v>64.7</v>
      </c>
      <c r="M191" s="190">
        <v>8.3000000000000007</v>
      </c>
      <c r="N191" s="191">
        <v>50</v>
      </c>
      <c r="O191" s="169">
        <f>SQRT(Table_03[[#This Row],[Static Parameters Moment of Inertia Ix (in4)]]/Table_03[[#This Row],[Sectional Area (in2)]])</f>
        <v>6.6255796036834207</v>
      </c>
      <c r="P191" s="190">
        <f>SQRT(Table_03[[#This Row],[Static Parameters Moment of Inertia Iy (in4)]]/Table_03[[#This Row],[Sectional Area (in2)]])</f>
        <v>1.5649768504271497</v>
      </c>
      <c r="Q191" s="190">
        <f>($B$6*$B$5*12)/Table_03[[#This Row],[ry (in)2]]</f>
        <v>114.73013159970581</v>
      </c>
      <c r="R191" s="190">
        <f>(PI()^2*$B$4)/(Table_03[[#This Row],[KL/ry]]^2)</f>
        <v>21.744166245718404</v>
      </c>
      <c r="S191" s="190">
        <f>IF(Table_03[[#This Row],[Strength (ksi)]]/Table_03[[#This Row],[Fe,y]]&lt;2.25,(0.658^(Table_03[[#This Row],[Strength (ksi)]]/Table_03[[#This Row],[Fe,y]])*Table_03[[#This Row],[Strength (ksi)]]),0.877*Table_03[[#This Row],[Fe,y]])</f>
        <v>19.06963379749504</v>
      </c>
      <c r="T191" s="190">
        <f>Table_03[[#This Row],[Fcr,y]]*Table_03[[#This Row],[Sectional Area (in2)]]</f>
        <v>225.0216788104415</v>
      </c>
      <c r="U191" s="190">
        <f>1.76*Table_03[[#This Row],[ry (in)2]]*SQRT($B$4/Table_03[[#This Row],[Strength (ksi)]])/12</f>
        <v>5.5278129156914417</v>
      </c>
      <c r="V19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15.775184396300437</v>
      </c>
      <c r="W191" s="190">
        <f>Table_03[[#This Row],[Depth h (in)]]-Table_03[[#This Row],[Flange Thickness tf (in)]]</f>
        <v>15.505000000000001</v>
      </c>
      <c r="X191" s="190">
        <f>(Table_03[[#This Row],[Static Parameters Moment of Inertia Iy (in4)]]*Table_03[[#This Row],[ho]]^2)/4</f>
        <v>1736.9263056250002</v>
      </c>
      <c r="Y191" s="190">
        <f>SQRT((SQRT(Table_03[[#This Row],[Static Parameters Moment of Inertia Iy (in4)]]*Table_03[[#This Row],[Cw*]])/Table_03[[#This Row],[Static Parameters Elastic Section Modulus Sx (in3)2]]))</f>
        <v>1.8608770015338767</v>
      </c>
      <c r="Z191" s="190">
        <f>(2*Table_03[[#This Row],[Width w (in)]]*Table_03[[#This Row],[Flange Thickness tf (in)]]^3/3)+((Table_03[[#This Row],[Depth h (in)]]-Table_03[[#This Row],[Flange Thickness tf (in)]]*2)*Table_03[[#This Row],[Web Thickness tw (in)]]^3)/3</f>
        <v>0.74244274958333334</v>
      </c>
      <c r="AA191" s="190">
        <f>Table_03[[#This Row],[Width w (in)]]*0.5/Table_03[[#This Row],[Flange Thickness tf (in)]]</f>
        <v>6.9257425742574261</v>
      </c>
      <c r="AB191" s="190">
        <f>0.38*SQRT($B$4/Table_03[[#This Row],[Strength (ksi)]])</f>
        <v>9.1516118798821449</v>
      </c>
      <c r="AC191" s="190">
        <f>1*SQRT($B$4/Table_03[[#This Row],[Strength (ksi)]])</f>
        <v>24.083189157584592</v>
      </c>
      <c r="AD191" s="190">
        <f>(PI()^2*$B$4/(12*$B$5/Table_03[[#This Row],[rts]])^2)*SQRT(1+0.078*(Table_03[[#This Row],[J*]]/(Table_03[[#This Row],[Static Parameters Elastic Section Modulus Sx (in3)2]]*Table_03[[#This Row],[ho]])*$B$4/(12*$B$5/Table_03[[#This Row],[rts]])^2))</f>
        <v>135.63537863554126</v>
      </c>
      <c r="AE191" s="190">
        <f>0.69*$B$4/Table_03[[#This Row],[b/t]]^2</f>
        <v>417.17127673652317</v>
      </c>
      <c r="AF191" s="192">
        <f>Table_03[[#This Row],[Strength (ksi)]]*Table_03[[#This Row],[Static Parameters Plastic Section Modulus Zx (in3)]]</f>
        <v>3596.3637437500006</v>
      </c>
      <c r="AG191" s="190">
        <f>Table_03[[#This Row],[Mp (k-in)]]-(Table_03[[#This Row],[Mp (k-in)]]-0.7*Table_03[[#This Row],[Strength (ksi)]]*Table_03[[#This Row],[Static Parameters Elastic Section Modulus Sx (in3)2]])*((Table_03[[#This Row],[b/t]]-Table_03[[#This Row],[λpf]])/(Table_03[[#This Row],[λrf]]-Table_03[[#This Row],[λpf]]))</f>
        <v>3794.9063739994231</v>
      </c>
      <c r="AH191" s="193">
        <f>0.9*$B$4*Table_03[[#This Row],[kc]]*Table_03[[#This Row],[Static Parameters Elastic Section Modulus Sx (in3)2]]/Table_03[[#This Row],[b/t]]^2</f>
        <v>19436.870581095212</v>
      </c>
      <c r="AI191" s="194" t="str">
        <f>IF(Table_03[[#This Row],[b/t]]&lt;Table_03[[#This Row],[λpf]],"Compact",IF(AND(Table_03[[#This Row],[b/t]]&gt;Table_03[[#This Row],[λpf]],Table_03[[#This Row],[λrf]]&gt;Table_03[[#This Row],[b/t]]),"Non-Compact","Slender"))</f>
        <v>Compact</v>
      </c>
      <c r="AJ191" s="195">
        <f>IF(Table_03[[#This Row],[Controlling LBx]]="Compact",Table_03[[#This Row],[Mp (k-in)]],IF(Table_03[[#This Row],[Controlling LBx]]="Non-Compact",Table_03[[#This Row],[Mnlb,Non-Compact (k-in)]],IF(Table_03[[#This Row],[Controlling LBx]]="Slender",Table_03[[#This Row],[Mnlb,slender (k-in)]],"ERROR")))</f>
        <v>3596.3637437500006</v>
      </c>
      <c r="AK191" s="192">
        <f>Table_03[[#This Row],[Mp (k-in)]]-(Table_03[[#This Row],[Mp (k-in)]]-0.7*Table_03[[#This Row],[Strength (ksi)]]*Table_03[[#This Row],[Static Parameters Elastic Section Modulus Sx (in3)2]])*(($B$5-Table_03[[#This Row],[Lp (ft)]])/(Table_03[[#This Row],[Lr]]-Table_03[[#This Row],[Lp (ft)]]))</f>
        <v>3388.7753320678739</v>
      </c>
      <c r="AL191" s="196">
        <f>Table_03[[#This Row],[Fcrx]]*Table_03[[#This Row],[Static Parameters Elastic Section Modulus Sx (in3)2]]</f>
        <v>8775.6089977195206</v>
      </c>
      <c r="AM191" s="197" t="str">
        <f>IF($B$5&lt;Table_03[[#This Row],[Lp (ft)]],"Yielding Controls",IF(AND($B$5&gt;Table_03[[#This Row],[Lp (ft)]],Table_03[[#This Row],[Lr]]&gt;$B$5),"Mltb,p Controls","Mltb,r Controls"))</f>
        <v>Mltb,p Controls</v>
      </c>
      <c r="AN191" s="198">
        <f>IF(Table_03[[#This Row],[Controlling LTB]]="Yielding Controls",Table_03[[#This Row],[Mp (k-in)]],IF(Table_03[[#This Row],[Controlling LTB]]="Mltb,p Controls",Table_03[[#This Row],[Mnltbp (k-in)]],IF(Table_03[[#This Row],[Controlling LTB]]="Mltb,r Controls",Table_03[[#This Row],[Mnltbr (k-in)]],"ERROR")))</f>
        <v>3388.7753320678739</v>
      </c>
      <c r="AO191" s="199">
        <f>MIN(Table_03[[#This Row],[Strength (ksi)]]*Table_03[[#This Row],[Static Parameters Plastic Section Modulus Zy (in3)]],1.6*Table_03[[#This Row],[Strength (ksi)]]*Table_03[[#This Row],[Static Parameters Elastic Section Modulus Sy (in3)3]])</f>
        <v>635.18375312500007</v>
      </c>
      <c r="AP191" s="169">
        <f>MIN(Table_03[[#This Row],[Mny (k-in)]],Table_03[[#This Row],[Mny (k-in)]]-(Table_03[[#This Row],[Mny (k-in)]]-0.7*Table_03[[#This Row],[Static Parameters Elastic Section Modulus Sy (in3)3]]*Table_03[[#This Row],[Strength (ksi)]])*((Table_03[[#This Row],[b/t]]-Table_03[[#This Row],[λpf]])/(Table_03[[#This Row],[λrf]]-Table_03[[#This Row],[λpf]])))</f>
        <v>635.18375312500007</v>
      </c>
      <c r="AQ191" s="196">
        <f>MIN(Table_03[[#This Row],[Mny (k-in)]],Table_03[[#This Row],[Fcry]]*Table_03[[#This Row],[Static Parameters Elastic Section Modulus Sy (in3)3]])</f>
        <v>635.18375312500007</v>
      </c>
      <c r="AR191" s="197" t="str">
        <f>IF(Table_03[[#This Row],[b/t]]&lt;Table_03[[#This Row],[λpf]],"Compact",IF(AND(Table_03[[#This Row],[b/t]]&gt;Table_03[[#This Row],[λpf]],Table_03[[#This Row],[λrf]]&gt;Table_03[[#This Row],[b/t]]),"Non-Compact","Slender"))</f>
        <v>Compact</v>
      </c>
      <c r="AS191" s="198">
        <f>IF(Table_03[[#This Row],[Controlling Lby]]="Compact",Table_03[[#This Row],[Mny (k-in)]],IF(Table_03[[#This Row],[Controlling Lby]]="Non-Compact",Table_03[[#This Row],[Mlby,Non-Compact (k-in)]],IF(Table_03[[#This Row],[Controlling Lby]]="Slender",Table_03[[#This Row],[Mlby,Slender (k-in)]],"ERROR")))</f>
        <v>635.18375312500007</v>
      </c>
      <c r="AT191" s="199">
        <f>MIN(Table_03[[#This Row],[LBx]],Table_03[[#This Row],[LTB]],Table_03[[#This Row],[Mp (k-in)]])</f>
        <v>3388.7753320678739</v>
      </c>
      <c r="AU191" s="169">
        <f>Table_03[[#This Row],[Mp (k-in)]]</f>
        <v>3596.3637437500006</v>
      </c>
      <c r="AV191" s="169">
        <f>MIN(Table_03[[#This Row],[LBy]],Table_03[[#This Row],[Mny (k-in)]])</f>
        <v>635.18375312500007</v>
      </c>
      <c r="AW191" s="200">
        <f>Table_03[[#This Row],[Mny (k-in)]]</f>
        <v>635.18375312500007</v>
      </c>
      <c r="AX191" s="165">
        <f>SQRT(((Table_03[[#This Row],[Sectional Area (in2)]]-(Table_03[[#This Row],[Flange Thickness tf (in)]]*Table_03[[#This Row],[Width w (in)]]*2+Table_03[[#This Row],[Web Thickness tw (in)]]*((Table_03[[#This Row],[Depth h (in)]]-2*Table_03[[#This Row],[Flange Thickness tf (in)]]))))/4)/(1-PI()/4))</f>
        <v>0.43179849705342721</v>
      </c>
      <c r="AY191" s="165">
        <f>IF(4/SQRT((Table_03[[#This Row],[Depth h (in)]]-Table_03[[#This Row],[Flange Thickness tf (in)]]*2)/Table_03[[#This Row],[Web Thickness tw (in)]])&lt;0.35,0.35,IF(4/SQRT(Table_03[[#This Row],[Depth h (in)]]/Table_03[[#This Row],[Web Thickness tw (in)]])&gt;0.76,0.76,4/SQRT(Table_03[[#This Row],[Depth h (in)]]/Table_03[[#This Row],[Web Thickness tw (in)]])))</f>
        <v>0.55209554794999804</v>
      </c>
      <c r="AZ191" s="165"/>
    </row>
    <row r="192" spans="1:52" ht="14.4" thickBot="1" x14ac:dyDescent="0.35">
      <c r="A192" s="201" t="s">
        <v>284</v>
      </c>
      <c r="B192" s="202">
        <v>16.13</v>
      </c>
      <c r="C192" s="202">
        <v>7.0350000000000001</v>
      </c>
      <c r="D192" s="202">
        <v>0.34499999999999997</v>
      </c>
      <c r="E192" s="202">
        <v>0.56499999999999995</v>
      </c>
      <c r="F192" s="203">
        <v>13.3</v>
      </c>
      <c r="G192" s="204">
        <v>45</v>
      </c>
      <c r="H192" s="203">
        <v>586</v>
      </c>
      <c r="I192" s="203">
        <v>32.799999999999997</v>
      </c>
      <c r="J192" s="203">
        <f>Table_03[[#This Row],[Width w (in)]]*Table_03[[#This Row],[Flange Thickness tf (in)]]*(Table_03[[#This Row],[Depth h (in)]]-Table_03[[#This Row],[Flange Thickness tf (in)]])+0.25*Table_03[[#This Row],[Web Thickness tw (in)]]*(Table_03[[#This Row],[Depth h (in)]]-2*Table_03[[#This Row],[Flange Thickness tf (in)]])^2</f>
        <v>81.273622875000001</v>
      </c>
      <c r="K192" s="203">
        <f>(Table_03[[#This Row],[Width w (in)]]^2*Table_03[[#This Row],[Flange Thickness tf (in)]])/2+0.25*Table_03[[#This Row],[Web Thickness tw (in)]]^2*(Table_03[[#This Row],[Depth h (in)]]-2*Table_03[[#This Row],[Flange Thickness tf (in)]])</f>
        <v>14.4276148125</v>
      </c>
      <c r="L192" s="203">
        <v>72.7</v>
      </c>
      <c r="M192" s="203">
        <v>9.3000000000000007</v>
      </c>
      <c r="N192" s="205">
        <v>50</v>
      </c>
      <c r="O192" s="206">
        <f>SQRT(Table_03[[#This Row],[Static Parameters Moment of Inertia Ix (in4)]]/Table_03[[#This Row],[Sectional Area (in2)]])</f>
        <v>6.6377820373932019</v>
      </c>
      <c r="P192" s="203">
        <f>SQRT(Table_03[[#This Row],[Static Parameters Moment of Inertia Iy (in4)]]/Table_03[[#This Row],[Sectional Area (in2)]])</f>
        <v>1.5704029462319009</v>
      </c>
      <c r="Q192" s="203">
        <f>($B$6*$B$5*12)/Table_03[[#This Row],[ry (in)2]]</f>
        <v>114.3337131599382</v>
      </c>
      <c r="R192" s="203">
        <f>(PI()^2*$B$4)/(Table_03[[#This Row],[KL/ry]]^2)</f>
        <v>21.895210614103213</v>
      </c>
      <c r="S192" s="203">
        <f>IF(Table_03[[#This Row],[Strength (ksi)]]/Table_03[[#This Row],[Fe,y]]&lt;2.25,(0.658^(Table_03[[#This Row],[Strength (ksi)]]/Table_03[[#This Row],[Fe,y]])*Table_03[[#This Row],[Strength (ksi)]]),0.877*Table_03[[#This Row],[Fe,y]])</f>
        <v>19.202099708568518</v>
      </c>
      <c r="T192" s="203">
        <f>Table_03[[#This Row],[Fcr,y]]*Table_03[[#This Row],[Sectional Area (in2)]]</f>
        <v>255.38792612396131</v>
      </c>
      <c r="U192" s="203">
        <f>1.76*Table_03[[#This Row],[ry (in)2]]*SQRT($B$4/Table_03[[#This Row],[Strength (ksi)]])/12</f>
        <v>5.5469789771338824</v>
      </c>
      <c r="V19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16.353733069350337</v>
      </c>
      <c r="W192" s="203">
        <f>Table_03[[#This Row],[Depth h (in)]]-Table_03[[#This Row],[Flange Thickness tf (in)]]</f>
        <v>15.565</v>
      </c>
      <c r="X192" s="203">
        <f>(Table_03[[#This Row],[Static Parameters Moment of Inertia Iy (in4)]]*Table_03[[#This Row],[ho]]^2)/4</f>
        <v>1986.6076449999996</v>
      </c>
      <c r="Y192" s="203">
        <f>SQRT((SQRT(Table_03[[#This Row],[Static Parameters Moment of Inertia Iy (in4)]]*Table_03[[#This Row],[Cw*]])/Table_03[[#This Row],[Static Parameters Elastic Section Modulus Sx (in3)2]]))</f>
        <v>1.8738260882692406</v>
      </c>
      <c r="Z192" s="203">
        <f>(2*Table_03[[#This Row],[Width w (in)]]*Table_03[[#This Row],[Flange Thickness tf (in)]]^3/3)+((Table_03[[#This Row],[Depth h (in)]]-Table_03[[#This Row],[Flange Thickness tf (in)]]*2)*Table_03[[#This Row],[Web Thickness tw (in)]]^3)/3</f>
        <v>1.0512164912499997</v>
      </c>
      <c r="AA192" s="203">
        <f>Table_03[[#This Row],[Width w (in)]]*0.5/Table_03[[#This Row],[Flange Thickness tf (in)]]</f>
        <v>6.22566371681416</v>
      </c>
      <c r="AB192" s="203">
        <f>0.38*SQRT($B$4/Table_03[[#This Row],[Strength (ksi)]])</f>
        <v>9.1516118798821449</v>
      </c>
      <c r="AC192" s="203">
        <f>1*SQRT($B$4/Table_03[[#This Row],[Strength (ksi)]])</f>
        <v>24.083189157584592</v>
      </c>
      <c r="AD192" s="203">
        <f>(PI()^2*$B$4/(12*$B$5/Table_03[[#This Row],[rts]])^2)*SQRT(1+0.078*(Table_03[[#This Row],[J*]]/(Table_03[[#This Row],[Static Parameters Elastic Section Modulus Sx (in3)2]]*Table_03[[#This Row],[ho]])*$B$4/(12*$B$5/Table_03[[#This Row],[rts]])^2))</f>
        <v>137.54447054024959</v>
      </c>
      <c r="AE192" s="203">
        <f>0.69*$B$4/Table_03[[#This Row],[b/t]]^2</f>
        <v>516.2686718706193</v>
      </c>
      <c r="AF192" s="207">
        <f>Table_03[[#This Row],[Strength (ksi)]]*Table_03[[#This Row],[Static Parameters Plastic Section Modulus Zx (in3)]]</f>
        <v>4063.68114375</v>
      </c>
      <c r="AG192" s="203">
        <f>Table_03[[#This Row],[Mp (k-in)]]-(Table_03[[#This Row],[Mp (k-in)]]-0.7*Table_03[[#This Row],[Strength (ksi)]]*Table_03[[#This Row],[Static Parameters Elastic Section Modulus Sx (in3)2]])*((Table_03[[#This Row],[b/t]]-Table_03[[#This Row],[λpf]])/(Table_03[[#This Row],[λrf]]-Table_03[[#This Row],[λpf]]))</f>
        <v>4361.3754324545625</v>
      </c>
      <c r="AH192" s="208">
        <f>0.9*$B$4*Table_03[[#This Row],[kc]]*Table_03[[#This Row],[Static Parameters Elastic Section Modulus Sx (in3)2]]/Table_03[[#This Row],[b/t]]^2</f>
        <v>28638.875190883198</v>
      </c>
      <c r="AI192" s="209" t="str">
        <f>IF(Table_03[[#This Row],[b/t]]&lt;Table_03[[#This Row],[λpf]],"Compact",IF(AND(Table_03[[#This Row],[b/t]]&gt;Table_03[[#This Row],[λpf]],Table_03[[#This Row],[λrf]]&gt;Table_03[[#This Row],[b/t]]),"Non-Compact","Slender"))</f>
        <v>Compact</v>
      </c>
      <c r="AJ192" s="210">
        <f>IF(Table_03[[#This Row],[Controlling LBx]]="Compact",Table_03[[#This Row],[Mp (k-in)]],IF(Table_03[[#This Row],[Controlling LBx]]="Non-Compact",Table_03[[#This Row],[Mnlb,Non-Compact (k-in)]],IF(Table_03[[#This Row],[Controlling LBx]]="Slender",Table_03[[#This Row],[Mnlb,slender (k-in)]],"ERROR")))</f>
        <v>4063.68114375</v>
      </c>
      <c r="AK192" s="207">
        <f>Table_03[[#This Row],[Mp (k-in)]]-(Table_03[[#This Row],[Mp (k-in)]]-0.7*Table_03[[#This Row],[Strength (ksi)]]*Table_03[[#This Row],[Static Parameters Elastic Section Modulus Sx (in3)2]])*(($B$5-Table_03[[#This Row],[Lp (ft)]])/(Table_03[[#This Row],[Lr]]-Table_03[[#This Row],[Lp (ft)]]))</f>
        <v>3841.8476716525879</v>
      </c>
      <c r="AL192" s="211">
        <f>Table_03[[#This Row],[Fcrx]]*Table_03[[#This Row],[Static Parameters Elastic Section Modulus Sx (in3)2]]</f>
        <v>9999.4830082761455</v>
      </c>
      <c r="AM192" s="212" t="str">
        <f>IF($B$5&lt;Table_03[[#This Row],[Lp (ft)]],"Yielding Controls",IF(AND($B$5&gt;Table_03[[#This Row],[Lp (ft)]],Table_03[[#This Row],[Lr]]&gt;$B$5),"Mltb,p Controls","Mltb,r Controls"))</f>
        <v>Mltb,p Controls</v>
      </c>
      <c r="AN192" s="213">
        <f>IF(Table_03[[#This Row],[Controlling LTB]]="Yielding Controls",Table_03[[#This Row],[Mp (k-in)]],IF(Table_03[[#This Row],[Controlling LTB]]="Mltb,p Controls",Table_03[[#This Row],[Mnltbp (k-in)]],IF(Table_03[[#This Row],[Controlling LTB]]="Mltb,r Controls",Table_03[[#This Row],[Mnltbr (k-in)]],"ERROR")))</f>
        <v>3841.8476716525879</v>
      </c>
      <c r="AO192" s="214">
        <f>MIN(Table_03[[#This Row],[Strength (ksi)]]*Table_03[[#This Row],[Static Parameters Plastic Section Modulus Zy (in3)]],1.6*Table_03[[#This Row],[Strength (ksi)]]*Table_03[[#This Row],[Static Parameters Elastic Section Modulus Sy (in3)3]])</f>
        <v>721.38074062500004</v>
      </c>
      <c r="AP192" s="206">
        <f>MIN(Table_03[[#This Row],[Mny (k-in)]],Table_03[[#This Row],[Mny (k-in)]]-(Table_03[[#This Row],[Mny (k-in)]]-0.7*Table_03[[#This Row],[Static Parameters Elastic Section Modulus Sy (in3)3]]*Table_03[[#This Row],[Strength (ksi)]])*((Table_03[[#This Row],[b/t]]-Table_03[[#This Row],[λpf]])/(Table_03[[#This Row],[λrf]]-Table_03[[#This Row],[λpf]])))</f>
        <v>721.38074062500004</v>
      </c>
      <c r="AQ192" s="211">
        <f>MIN(Table_03[[#This Row],[Mny (k-in)]],Table_03[[#This Row],[Fcry]]*Table_03[[#This Row],[Static Parameters Elastic Section Modulus Sy (in3)3]])</f>
        <v>721.38074062500004</v>
      </c>
      <c r="AR192" s="212" t="str">
        <f>IF(Table_03[[#This Row],[b/t]]&lt;Table_03[[#This Row],[λpf]],"Compact",IF(AND(Table_03[[#This Row],[b/t]]&gt;Table_03[[#This Row],[λpf]],Table_03[[#This Row],[λrf]]&gt;Table_03[[#This Row],[b/t]]),"Non-Compact","Slender"))</f>
        <v>Compact</v>
      </c>
      <c r="AS192" s="213">
        <f>IF(Table_03[[#This Row],[Controlling Lby]]="Compact",Table_03[[#This Row],[Mny (k-in)]],IF(Table_03[[#This Row],[Controlling Lby]]="Non-Compact",Table_03[[#This Row],[Mlby,Non-Compact (k-in)]],IF(Table_03[[#This Row],[Controlling Lby]]="Slender",Table_03[[#This Row],[Mlby,Slender (k-in)]],"ERROR")))</f>
        <v>721.38074062500004</v>
      </c>
      <c r="AT192" s="214">
        <f>MIN(Table_03[[#This Row],[LBx]],Table_03[[#This Row],[LTB]],Table_03[[#This Row],[Mp (k-in)]])</f>
        <v>3841.8476716525879</v>
      </c>
      <c r="AU192" s="206">
        <f>Table_03[[#This Row],[Mp (k-in)]]</f>
        <v>4063.68114375</v>
      </c>
      <c r="AV192" s="206">
        <f>MIN(Table_03[[#This Row],[LBy]],Table_03[[#This Row],[Mny (k-in)]])</f>
        <v>721.38074062500004</v>
      </c>
      <c r="AW192" s="215">
        <f>Table_03[[#This Row],[Mny (k-in)]]</f>
        <v>721.38074062500004</v>
      </c>
      <c r="AX192" s="165">
        <f>SQRT(((Table_03[[#This Row],[Sectional Area (in2)]]-(Table_03[[#This Row],[Flange Thickness tf (in)]]*Table_03[[#This Row],[Width w (in)]]*2+Table_03[[#This Row],[Web Thickness tw (in)]]*((Table_03[[#This Row],[Depth h (in)]]-2*Table_03[[#This Row],[Flange Thickness tf (in)]]))))/4)/(1-PI()/4))</f>
        <v>0.45209528051944242</v>
      </c>
      <c r="AY192" s="165">
        <f>IF(4/SQRT((Table_03[[#This Row],[Depth h (in)]]-Table_03[[#This Row],[Flange Thickness tf (in)]]*2)/Table_03[[#This Row],[Web Thickness tw (in)]])&lt;0.35,0.35,IF(4/SQRT(Table_03[[#This Row],[Depth h (in)]]/Table_03[[#This Row],[Web Thickness tw (in)]])&gt;0.76,0.76,4/SQRT(Table_03[[#This Row],[Depth h (in)]]/Table_03[[#This Row],[Web Thickness tw (in)]])))</f>
        <v>0.58499527077745683</v>
      </c>
      <c r="AZ192" s="165"/>
    </row>
    <row r="193" spans="1:52" x14ac:dyDescent="0.3">
      <c r="A193" s="179" t="s">
        <v>285</v>
      </c>
      <c r="B193" s="180">
        <v>16.260000000000002</v>
      </c>
      <c r="C193" s="180">
        <v>7.07</v>
      </c>
      <c r="D193" s="180">
        <v>0.38</v>
      </c>
      <c r="E193" s="180">
        <v>0.63</v>
      </c>
      <c r="F193" s="181">
        <v>14.7</v>
      </c>
      <c r="G193" s="180">
        <v>50</v>
      </c>
      <c r="H193" s="180">
        <v>659</v>
      </c>
      <c r="I193" s="180">
        <v>37.200000000000003</v>
      </c>
      <c r="J193" s="181">
        <f>Table_03[[#This Row],[Width w (in)]]*Table_03[[#This Row],[Flange Thickness tf (in)]]*(Table_03[[#This Row],[Depth h (in)]]-Table_03[[#This Row],[Flange Thickness tf (in)]])+0.25*Table_03[[#This Row],[Web Thickness tw (in)]]*(Table_03[[#This Row],[Depth h (in)]]-2*Table_03[[#This Row],[Flange Thickness tf (in)]])^2</f>
        <v>90.992583000000025</v>
      </c>
      <c r="K193" s="181">
        <f>(Table_03[[#This Row],[Width w (in)]]^2*Table_03[[#This Row],[Flange Thickness tf (in)]])/2+0.25*Table_03[[#This Row],[Web Thickness tw (in)]]^2*(Table_03[[#This Row],[Depth h (in)]]-2*Table_03[[#This Row],[Flange Thickness tf (in)]])</f>
        <v>16.2867435</v>
      </c>
      <c r="L193" s="181">
        <v>81</v>
      </c>
      <c r="M193" s="181">
        <v>10.5</v>
      </c>
      <c r="N193" s="182">
        <v>50</v>
      </c>
      <c r="O193" s="181">
        <f>SQRT(Table_03[[#This Row],[Static Parameters Moment of Inertia Ix (in4)]]/Table_03[[#This Row],[Sectional Area (in2)]])</f>
        <v>6.6955158108086881</v>
      </c>
      <c r="P193" s="181">
        <f>SQRT(Table_03[[#This Row],[Static Parameters Moment of Inertia Iy (in4)]]/Table_03[[#This Row],[Sectional Area (in2)]])</f>
        <v>1.5907898179514348</v>
      </c>
      <c r="Q193" s="181">
        <f>($B$6*$B$5*12)/Table_03[[#This Row],[ry (in)2]]</f>
        <v>112.86846192617602</v>
      </c>
      <c r="R193" s="181">
        <f>(PI()^2*$B$4)/(Table_03[[#This Row],[KL/ry]]^2)</f>
        <v>22.467385107503119</v>
      </c>
      <c r="S193" s="181">
        <f>IF(Table_03[[#This Row],[Strength (ksi)]]/Table_03[[#This Row],[Fe,y]]&lt;2.25,(0.658^(Table_03[[#This Row],[Strength (ksi)]]/Table_03[[#This Row],[Fe,y]])*Table_03[[#This Row],[Strength (ksi)]]),0.877*Table_03[[#This Row],[Fe,y]])</f>
        <v>19.698863035733581</v>
      </c>
      <c r="T193" s="181">
        <f>Table_03[[#This Row],[Fcr,y]]*Table_03[[#This Row],[Sectional Area (in2)]]</f>
        <v>289.57328662528363</v>
      </c>
      <c r="U193" s="181">
        <f>1.76*Table_03[[#This Row],[ry (in)2]]*SQRT($B$4/Table_03[[#This Row],[Strength (ksi)]])/12</f>
        <v>5.6189895073669804</v>
      </c>
      <c r="V193"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17.090025734641742</v>
      </c>
      <c r="W193" s="181">
        <f>Table_03[[#This Row],[Depth h (in)]]-Table_03[[#This Row],[Flange Thickness tf (in)]]</f>
        <v>15.63</v>
      </c>
      <c r="X193" s="181">
        <f>(Table_03[[#This Row],[Static Parameters Moment of Inertia Iy (in4)]]*Table_03[[#This Row],[ho]]^2)/4</f>
        <v>2271.9611700000005</v>
      </c>
      <c r="Y193" s="181">
        <f>SQRT((SQRT(Table_03[[#This Row],[Static Parameters Moment of Inertia Iy (in4)]]*Table_03[[#This Row],[Cw*]])/Table_03[[#This Row],[Static Parameters Elastic Section Modulus Sx (in3)2]]))</f>
        <v>1.8944949488217464</v>
      </c>
      <c r="Z193" s="181">
        <f>(2*Table_03[[#This Row],[Width w (in)]]*Table_03[[#This Row],[Flange Thickness tf (in)]]^3/3)+((Table_03[[#This Row],[Depth h (in)]]-Table_03[[#This Row],[Flange Thickness tf (in)]]*2)*Table_03[[#This Row],[Web Thickness tw (in)]]^3)/3</f>
        <v>1.4529148600000004</v>
      </c>
      <c r="AA193" s="181">
        <f>Table_03[[#This Row],[Width w (in)]]*0.5/Table_03[[#This Row],[Flange Thickness tf (in)]]</f>
        <v>5.6111111111111116</v>
      </c>
      <c r="AB193" s="181">
        <f>0.38*SQRT($B$4/Table_03[[#This Row],[Strength (ksi)]])</f>
        <v>9.1516118798821449</v>
      </c>
      <c r="AC193" s="181">
        <f>1*SQRT($B$4/Table_03[[#This Row],[Strength (ksi)]])</f>
        <v>24.083189157584592</v>
      </c>
      <c r="AD193" s="181">
        <f>(PI()^2*$B$4/(12*$B$5/Table_03[[#This Row],[rts]])^2)*SQRT(1+0.078*(Table_03[[#This Row],[J*]]/(Table_03[[#This Row],[Static Parameters Elastic Section Modulus Sx (in3)2]]*Table_03[[#This Row],[ho]])*$B$4/(12*$B$5/Table_03[[#This Row],[rts]])^2))</f>
        <v>140.6141407719735</v>
      </c>
      <c r="AE193" s="181">
        <f>0.69*$B$4/Table_03[[#This Row],[b/t]]^2</f>
        <v>635.54945593569244</v>
      </c>
      <c r="AF193" s="183">
        <f>Table_03[[#This Row],[Strength (ksi)]]*Table_03[[#This Row],[Static Parameters Plastic Section Modulus Zx (in3)]]</f>
        <v>4549.6291500000016</v>
      </c>
      <c r="AG193" s="181">
        <f>Table_03[[#This Row],[Mp (k-in)]]-(Table_03[[#This Row],[Mp (k-in)]]-0.7*Table_03[[#This Row],[Strength (ksi)]]*Table_03[[#This Row],[Static Parameters Elastic Section Modulus Sx (in3)2]])*((Table_03[[#This Row],[b/t]]-Table_03[[#This Row],[λpf]])/(Table_03[[#This Row],[λrf]]-Table_03[[#This Row],[λpf]]))</f>
        <v>4956.1934205273774</v>
      </c>
      <c r="AH193" s="184">
        <f>0.9*$B$4*Table_03[[#This Row],[kc]]*Table_03[[#This Row],[Static Parameters Elastic Section Modulus Sx (in3)2]]/Table_03[[#This Row],[b/t]]^2</f>
        <v>41060.034303563196</v>
      </c>
      <c r="AI193" s="185" t="str">
        <f>IF(Table_03[[#This Row],[b/t]]&lt;Table_03[[#This Row],[λpf]],"Compact",IF(AND(Table_03[[#This Row],[b/t]]&gt;Table_03[[#This Row],[λpf]],Table_03[[#This Row],[λrf]]&gt;Table_03[[#This Row],[b/t]]),"Non-Compact","Slender"))</f>
        <v>Compact</v>
      </c>
      <c r="AJ193" s="186">
        <f>IF(Table_03[[#This Row],[Controlling LBx]]="Compact",Table_03[[#This Row],[Mp (k-in)]],IF(Table_03[[#This Row],[Controlling LBx]]="Non-Compact",Table_03[[#This Row],[Mnlb,Non-Compact (k-in)]],IF(Table_03[[#This Row],[Controlling LBx]]="Slender",Table_03[[#This Row],[Mnlb,slender (k-in)]],"ERROR")))</f>
        <v>4549.6291500000016</v>
      </c>
      <c r="AK193" s="183">
        <f>Table_03[[#This Row],[Mp (k-in)]]-(Table_03[[#This Row],[Mp (k-in)]]-0.7*Table_03[[#This Row],[Strength (ksi)]]*Table_03[[#This Row],[Static Parameters Elastic Section Modulus Sx (in3)2]])*(($B$5-Table_03[[#This Row],[Lp (ft)]])/(Table_03[[#This Row],[Lr]]-Table_03[[#This Row],[Lp (ft)]]))</f>
        <v>4324.5187554626182</v>
      </c>
      <c r="AL193" s="184">
        <f>Table_03[[#This Row],[Fcrx]]*Table_03[[#This Row],[Static Parameters Elastic Section Modulus Sx (in3)2]]</f>
        <v>11389.745402529854</v>
      </c>
      <c r="AM193" s="185" t="str">
        <f>IF($B$5&lt;Table_03[[#This Row],[Lp (ft)]],"Yielding Controls",IF(AND($B$5&gt;Table_03[[#This Row],[Lp (ft)]],Table_03[[#This Row],[Lr]]&gt;$B$5),"Mltb,p Controls","Mltb,r Controls"))</f>
        <v>Mltb,p Controls</v>
      </c>
      <c r="AN193" s="186">
        <f>IF(Table_03[[#This Row],[Controlling LTB]]="Yielding Controls",Table_03[[#This Row],[Mp (k-in)]],IF(Table_03[[#This Row],[Controlling LTB]]="Mltb,p Controls",Table_03[[#This Row],[Mnltbp (k-in)]],IF(Table_03[[#This Row],[Controlling LTB]]="Mltb,r Controls",Table_03[[#This Row],[Mnltbr (k-in)]],"ERROR")))</f>
        <v>4324.5187554626182</v>
      </c>
      <c r="AO193" s="183">
        <f>MIN(Table_03[[#This Row],[Strength (ksi)]]*Table_03[[#This Row],[Static Parameters Plastic Section Modulus Zy (in3)]],1.6*Table_03[[#This Row],[Strength (ksi)]]*Table_03[[#This Row],[Static Parameters Elastic Section Modulus Sy (in3)3]])</f>
        <v>814.337175</v>
      </c>
      <c r="AP193" s="181">
        <f>MIN(Table_03[[#This Row],[Mny (k-in)]],Table_03[[#This Row],[Mny (k-in)]]-(Table_03[[#This Row],[Mny (k-in)]]-0.7*Table_03[[#This Row],[Static Parameters Elastic Section Modulus Sy (in3)3]]*Table_03[[#This Row],[Strength (ksi)]])*((Table_03[[#This Row],[b/t]]-Table_03[[#This Row],[λpf]])/(Table_03[[#This Row],[λrf]]-Table_03[[#This Row],[λpf]])))</f>
        <v>814.337175</v>
      </c>
      <c r="AQ193" s="184">
        <f>MIN(Table_03[[#This Row],[Mny (k-in)]],Table_03[[#This Row],[Fcry]]*Table_03[[#This Row],[Static Parameters Elastic Section Modulus Sy (in3)3]])</f>
        <v>814.337175</v>
      </c>
      <c r="AR193" s="185" t="str">
        <f>IF(Table_03[[#This Row],[b/t]]&lt;Table_03[[#This Row],[λpf]],"Compact",IF(AND(Table_03[[#This Row],[b/t]]&gt;Table_03[[#This Row],[λpf]],Table_03[[#This Row],[λrf]]&gt;Table_03[[#This Row],[b/t]]),"Non-Compact","Slender"))</f>
        <v>Compact</v>
      </c>
      <c r="AS193" s="186">
        <f>IF(Table_03[[#This Row],[Controlling Lby]]="Compact",Table_03[[#This Row],[Mny (k-in)]],IF(Table_03[[#This Row],[Controlling Lby]]="Non-Compact",Table_03[[#This Row],[Mlby,Non-Compact (k-in)]],IF(Table_03[[#This Row],[Controlling Lby]]="Slender",Table_03[[#This Row],[Mlby,Slender (k-in)]],"ERROR")))</f>
        <v>814.337175</v>
      </c>
      <c r="AT193" s="183">
        <f>MIN(Table_03[[#This Row],[LBx]],Table_03[[#This Row],[LTB]],Table_03[[#This Row],[Mp (k-in)]])</f>
        <v>4324.5187554626182</v>
      </c>
      <c r="AU193" s="181">
        <f>Table_03[[#This Row],[Mp (k-in)]]</f>
        <v>4549.6291500000016</v>
      </c>
      <c r="AV193" s="181">
        <f>MIN(Table_03[[#This Row],[LBy]],Table_03[[#This Row],[Mny (k-in)]])</f>
        <v>814.337175</v>
      </c>
      <c r="AW193" s="187">
        <f>Table_03[[#This Row],[Mny (k-in)]]</f>
        <v>814.337175</v>
      </c>
      <c r="AX193" s="165">
        <f>SQRT(((Table_03[[#This Row],[Sectional Area (in2)]]-(Table_03[[#This Row],[Flange Thickness tf (in)]]*Table_03[[#This Row],[Width w (in)]]*2+Table_03[[#This Row],[Web Thickness tw (in)]]*((Table_03[[#This Row],[Depth h (in)]]-2*Table_03[[#This Row],[Flange Thickness tf (in)]]))))/4)/(1-PI()/4))</f>
        <v>0.32702023608206104</v>
      </c>
      <c r="AY193" s="165">
        <f>IF(4/SQRT((Table_03[[#This Row],[Depth h (in)]]-Table_03[[#This Row],[Flange Thickness tf (in)]]*2)/Table_03[[#This Row],[Web Thickness tw (in)]])&lt;0.35,0.35,IF(4/SQRT(Table_03[[#This Row],[Depth h (in)]]/Table_03[[#This Row],[Web Thickness tw (in)]])&gt;0.76,0.76,4/SQRT(Table_03[[#This Row],[Depth h (in)]]/Table_03[[#This Row],[Web Thickness tw (in)]])))</f>
        <v>0.61149304103758395</v>
      </c>
      <c r="AZ193" s="165"/>
    </row>
    <row r="194" spans="1:52" x14ac:dyDescent="0.3">
      <c r="A194" s="188" t="s">
        <v>286</v>
      </c>
      <c r="B194" s="189">
        <v>16.329999999999998</v>
      </c>
      <c r="C194" s="189">
        <v>10.234999999999999</v>
      </c>
      <c r="D194" s="189">
        <v>0.39500000000000002</v>
      </c>
      <c r="E194" s="189">
        <v>0.66500000000000004</v>
      </c>
      <c r="F194" s="190">
        <v>19.7</v>
      </c>
      <c r="G194" s="189">
        <v>67</v>
      </c>
      <c r="H194" s="190">
        <v>954</v>
      </c>
      <c r="I194" s="190">
        <v>119</v>
      </c>
      <c r="J194" s="190">
        <f>Table_03[[#This Row],[Width w (in)]]*Table_03[[#This Row],[Flange Thickness tf (in)]]*(Table_03[[#This Row],[Depth h (in)]]-Table_03[[#This Row],[Flange Thickness tf (in)]])+0.25*Table_03[[#This Row],[Web Thickness tw (in)]]*(Table_03[[#This Row],[Depth h (in)]]-2*Table_03[[#This Row],[Flange Thickness tf (in)]])^2</f>
        <v>128.83904787500001</v>
      </c>
      <c r="K194" s="190">
        <f>(Table_03[[#This Row],[Width w (in)]]^2*Table_03[[#This Row],[Flange Thickness tf (in)]])/2+0.25*Table_03[[#This Row],[Web Thickness tw (in)]]^2*(Table_03[[#This Row],[Depth h (in)]]-2*Table_03[[#This Row],[Flange Thickness tf (in)]])</f>
        <v>35.416206062499995</v>
      </c>
      <c r="L194" s="190">
        <v>117</v>
      </c>
      <c r="M194" s="190">
        <v>23.2</v>
      </c>
      <c r="N194" s="191">
        <v>50</v>
      </c>
      <c r="O194" s="169">
        <f>SQRT(Table_03[[#This Row],[Static Parameters Moment of Inertia Ix (in4)]]/Table_03[[#This Row],[Sectional Area (in2)]])</f>
        <v>6.9589076685271731</v>
      </c>
      <c r="P194" s="190">
        <f>SQRT(Table_03[[#This Row],[Static Parameters Moment of Inertia Iy (in4)]]/Table_03[[#This Row],[Sectional Area (in2)]])</f>
        <v>2.4577650695409923</v>
      </c>
      <c r="Q194" s="190">
        <f>($B$6*$B$5*12)/Table_03[[#This Row],[ry (in)2]]</f>
        <v>73.054175203788887</v>
      </c>
      <c r="R194" s="190">
        <f>(PI()^2*$B$4)/(Table_03[[#This Row],[KL/ry]]^2)</f>
        <v>53.6299830366181</v>
      </c>
      <c r="S194" s="190">
        <f>IF(Table_03[[#This Row],[Strength (ksi)]]/Table_03[[#This Row],[Fe,y]]&lt;2.25,(0.658^(Table_03[[#This Row],[Strength (ksi)]]/Table_03[[#This Row],[Fe,y]])*Table_03[[#This Row],[Strength (ksi)]]),0.877*Table_03[[#This Row],[Fe,y]])</f>
        <v>33.845380887314796</v>
      </c>
      <c r="T194" s="190">
        <f>Table_03[[#This Row],[Fcr,y]]*Table_03[[#This Row],[Sectional Area (in2)]]</f>
        <v>666.75400348010146</v>
      </c>
      <c r="U194" s="190">
        <f>1.76*Table_03[[#This Row],[ry (in)2]]*SQRT($B$4/Table_03[[#This Row],[Strength (ksi)]])/12</f>
        <v>8.6813204242834328</v>
      </c>
      <c r="V19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25.901849406219778</v>
      </c>
      <c r="W194" s="190">
        <f>Table_03[[#This Row],[Depth h (in)]]-Table_03[[#This Row],[Flange Thickness tf (in)]]</f>
        <v>15.664999999999999</v>
      </c>
      <c r="X194" s="190">
        <f>(Table_03[[#This Row],[Static Parameters Moment of Inertia Iy (in4)]]*Table_03[[#This Row],[ho]]^2)/4</f>
        <v>7300.418693749999</v>
      </c>
      <c r="Y194" s="190">
        <f>SQRT((SQRT(Table_03[[#This Row],[Static Parameters Moment of Inertia Iy (in4)]]*Table_03[[#This Row],[Cw*]])/Table_03[[#This Row],[Static Parameters Elastic Section Modulus Sx (in3)2]]))</f>
        <v>2.822479209646882</v>
      </c>
      <c r="Z194" s="190">
        <f>(2*Table_03[[#This Row],[Width w (in)]]*Table_03[[#This Row],[Flange Thickness tf (in)]]^3/3)+((Table_03[[#This Row],[Depth h (in)]]-Table_03[[#This Row],[Flange Thickness tf (in)]]*2)*Table_03[[#This Row],[Web Thickness tw (in)]]^3)/3</f>
        <v>2.3147526829166667</v>
      </c>
      <c r="AA194" s="190">
        <f>Table_03[[#This Row],[Width w (in)]]*0.5/Table_03[[#This Row],[Flange Thickness tf (in)]]</f>
        <v>7.6954887218045105</v>
      </c>
      <c r="AB194" s="190">
        <f>0.38*SQRT($B$4/Table_03[[#This Row],[Strength (ksi)]])</f>
        <v>9.1516118798821449</v>
      </c>
      <c r="AC194" s="190">
        <f>1*SQRT($B$4/Table_03[[#This Row],[Strength (ksi)]])</f>
        <v>24.083189157584592</v>
      </c>
      <c r="AD194" s="190">
        <f>(PI()^2*$B$4/(12*$B$5/Table_03[[#This Row],[rts]])^2)*SQRT(1+0.078*(Table_03[[#This Row],[J*]]/(Table_03[[#This Row],[Static Parameters Elastic Section Modulus Sx (in3)2]]*Table_03[[#This Row],[ho]])*$B$4/(12*$B$5/Table_03[[#This Row],[rts]])^2))</f>
        <v>312.39350414005099</v>
      </c>
      <c r="AE194" s="190">
        <f>0.69*$B$4/Table_03[[#This Row],[b/t]]^2</f>
        <v>337.88948474885149</v>
      </c>
      <c r="AF194" s="192">
        <f>Table_03[[#This Row],[Strength (ksi)]]*Table_03[[#This Row],[Static Parameters Plastic Section Modulus Zx (in3)]]</f>
        <v>6441.9523937499998</v>
      </c>
      <c r="AG194" s="190">
        <f>Table_03[[#This Row],[Mp (k-in)]]-(Table_03[[#This Row],[Mp (k-in)]]-0.7*Table_03[[#This Row],[Strength (ksi)]]*Table_03[[#This Row],[Static Parameters Elastic Section Modulus Sx (in3)2]])*((Table_03[[#This Row],[b/t]]-Table_03[[#This Row],[λpf]])/(Table_03[[#This Row],[λrf]]-Table_03[[#This Row],[λpf]]))</f>
        <v>6670.82652190714</v>
      </c>
      <c r="AH194" s="193">
        <f>0.9*$B$4*Table_03[[#This Row],[kc]]*Table_03[[#This Row],[Static Parameters Elastic Section Modulus Sx (in3)2]]/Table_03[[#This Row],[b/t]]^2</f>
        <v>32078.895278685723</v>
      </c>
      <c r="AI194" s="194" t="str">
        <f>IF(Table_03[[#This Row],[b/t]]&lt;Table_03[[#This Row],[λpf]],"Compact",IF(AND(Table_03[[#This Row],[b/t]]&gt;Table_03[[#This Row],[λpf]],Table_03[[#This Row],[λrf]]&gt;Table_03[[#This Row],[b/t]]),"Non-Compact","Slender"))</f>
        <v>Compact</v>
      </c>
      <c r="AJ194" s="195">
        <f>IF(Table_03[[#This Row],[Controlling LBx]]="Compact",Table_03[[#This Row],[Mp (k-in)]],IF(Table_03[[#This Row],[Controlling LBx]]="Non-Compact",Table_03[[#This Row],[Mnlb,Non-Compact (k-in)]],IF(Table_03[[#This Row],[Controlling LBx]]="Slender",Table_03[[#This Row],[Mnlb,slender (k-in)]],"ERROR")))</f>
        <v>6441.9523937499998</v>
      </c>
      <c r="AK194" s="192">
        <f>Table_03[[#This Row],[Mp (k-in)]]-(Table_03[[#This Row],[Mp (k-in)]]-0.7*Table_03[[#This Row],[Strength (ksi)]]*Table_03[[#This Row],[Static Parameters Elastic Section Modulus Sx (in3)2]])*(($B$5-Table_03[[#This Row],[Lp (ft)]])/(Table_03[[#This Row],[Lr]]-Table_03[[#This Row],[Lp (ft)]]))</f>
        <v>6654.0602766754</v>
      </c>
      <c r="AL194" s="196">
        <f>Table_03[[#This Row],[Fcrx]]*Table_03[[#This Row],[Static Parameters Elastic Section Modulus Sx (in3)2]]</f>
        <v>36550.039984385963</v>
      </c>
      <c r="AM194" s="197" t="str">
        <f>IF($B$5&lt;Table_03[[#This Row],[Lp (ft)]],"Yielding Controls",IF(AND($B$5&gt;Table_03[[#This Row],[Lp (ft)]],Table_03[[#This Row],[Lr]]&gt;$B$5),"Mltb,p Controls","Mltb,r Controls"))</f>
        <v>Yielding Controls</v>
      </c>
      <c r="AN194" s="198">
        <f>IF(Table_03[[#This Row],[Controlling LTB]]="Yielding Controls",Table_03[[#This Row],[Mp (k-in)]],IF(Table_03[[#This Row],[Controlling LTB]]="Mltb,p Controls",Table_03[[#This Row],[Mnltbp (k-in)]],IF(Table_03[[#This Row],[Controlling LTB]]="Mltb,r Controls",Table_03[[#This Row],[Mnltbr (k-in)]],"ERROR")))</f>
        <v>6441.9523937499998</v>
      </c>
      <c r="AO194" s="199">
        <f>MIN(Table_03[[#This Row],[Strength (ksi)]]*Table_03[[#This Row],[Static Parameters Plastic Section Modulus Zy (in3)]],1.6*Table_03[[#This Row],[Strength (ksi)]]*Table_03[[#This Row],[Static Parameters Elastic Section Modulus Sy (in3)3]])</f>
        <v>1770.8103031249998</v>
      </c>
      <c r="AP194" s="169">
        <f>MIN(Table_03[[#This Row],[Mny (k-in)]],Table_03[[#This Row],[Mny (k-in)]]-(Table_03[[#This Row],[Mny (k-in)]]-0.7*Table_03[[#This Row],[Static Parameters Elastic Section Modulus Sy (in3)3]]*Table_03[[#This Row],[Strength (ksi)]])*((Table_03[[#This Row],[b/t]]-Table_03[[#This Row],[λpf]])/(Table_03[[#This Row],[λrf]]-Table_03[[#This Row],[λpf]])))</f>
        <v>1770.8103031249998</v>
      </c>
      <c r="AQ194" s="196">
        <f>MIN(Table_03[[#This Row],[Mny (k-in)]],Table_03[[#This Row],[Fcry]]*Table_03[[#This Row],[Static Parameters Elastic Section Modulus Sy (in3)3]])</f>
        <v>1770.8103031249998</v>
      </c>
      <c r="AR194" s="197" t="str">
        <f>IF(Table_03[[#This Row],[b/t]]&lt;Table_03[[#This Row],[λpf]],"Compact",IF(AND(Table_03[[#This Row],[b/t]]&gt;Table_03[[#This Row],[λpf]],Table_03[[#This Row],[λrf]]&gt;Table_03[[#This Row],[b/t]]),"Non-Compact","Slender"))</f>
        <v>Compact</v>
      </c>
      <c r="AS194" s="198">
        <f>IF(Table_03[[#This Row],[Controlling Lby]]="Compact",Table_03[[#This Row],[Mny (k-in)]],IF(Table_03[[#This Row],[Controlling Lby]]="Non-Compact",Table_03[[#This Row],[Mlby,Non-Compact (k-in)]],IF(Table_03[[#This Row],[Controlling Lby]]="Slender",Table_03[[#This Row],[Mlby,Slender (k-in)]],"ERROR")))</f>
        <v>1770.8103031249998</v>
      </c>
      <c r="AT194" s="199">
        <f>MIN(Table_03[[#This Row],[LBx]],Table_03[[#This Row],[LTB]],Table_03[[#This Row],[Mp (k-in)]])</f>
        <v>6441.9523937499998</v>
      </c>
      <c r="AU194" s="169">
        <f>Table_03[[#This Row],[Mp (k-in)]]</f>
        <v>6441.9523937499998</v>
      </c>
      <c r="AV194" s="169">
        <f>MIN(Table_03[[#This Row],[LBy]],Table_03[[#This Row],[Mny (k-in)]])</f>
        <v>1770.8103031249998</v>
      </c>
      <c r="AW194" s="200">
        <f>Table_03[[#This Row],[Mny (k-in)]]</f>
        <v>1770.8103031249998</v>
      </c>
      <c r="AX194" s="165">
        <f>SQRT(((Table_03[[#This Row],[Sectional Area (in2)]]-(Table_03[[#This Row],[Flange Thickness tf (in)]]*Table_03[[#This Row],[Width w (in)]]*2+Table_03[[#This Row],[Web Thickness tw (in)]]*((Table_03[[#This Row],[Depth h (in)]]-2*Table_03[[#This Row],[Flange Thickness tf (in)]]))))/4)/(1-PI()/4))</f>
        <v>0.43502392747686136</v>
      </c>
      <c r="AY194" s="165">
        <f>IF(4/SQRT((Table_03[[#This Row],[Depth h (in)]]-Table_03[[#This Row],[Flange Thickness tf (in)]]*2)/Table_03[[#This Row],[Web Thickness tw (in)]])&lt;0.35,0.35,IF(4/SQRT(Table_03[[#This Row],[Depth h (in)]]/Table_03[[#This Row],[Web Thickness tw (in)]])&gt;0.76,0.76,4/SQRT(Table_03[[#This Row],[Depth h (in)]]/Table_03[[#This Row],[Web Thickness tw (in)]])))</f>
        <v>0.62210751379988227</v>
      </c>
      <c r="AZ194" s="165"/>
    </row>
    <row r="195" spans="1:52" ht="14.4" thickBot="1" x14ac:dyDescent="0.35">
      <c r="A195" s="201" t="s">
        <v>287</v>
      </c>
      <c r="B195" s="202">
        <v>16.43</v>
      </c>
      <c r="C195" s="202">
        <v>7.12</v>
      </c>
      <c r="D195" s="202">
        <v>0.43</v>
      </c>
      <c r="E195" s="202">
        <v>0.71499999999999997</v>
      </c>
      <c r="F195" s="203">
        <v>16.8</v>
      </c>
      <c r="G195" s="204">
        <v>57</v>
      </c>
      <c r="H195" s="203">
        <v>758</v>
      </c>
      <c r="I195" s="203">
        <v>43.1</v>
      </c>
      <c r="J195" s="203">
        <f>Table_03[[#This Row],[Width w (in)]]*Table_03[[#This Row],[Flange Thickness tf (in)]]*(Table_03[[#This Row],[Depth h (in)]]-Table_03[[#This Row],[Flange Thickness tf (in)]])+0.25*Table_03[[#This Row],[Web Thickness tw (in)]]*(Table_03[[#This Row],[Depth h (in)]]-2*Table_03[[#This Row],[Flange Thickness tf (in)]])^2</f>
        <v>104.18942199999999</v>
      </c>
      <c r="K195" s="203">
        <f>(Table_03[[#This Row],[Width w (in)]]^2*Table_03[[#This Row],[Flange Thickness tf (in)]])/2+0.25*Table_03[[#This Row],[Web Thickness tw (in)]]^2*(Table_03[[#This Row],[Depth h (in)]]-2*Table_03[[#This Row],[Flange Thickness tf (in)]])</f>
        <v>18.816623</v>
      </c>
      <c r="L195" s="203">
        <v>92.2</v>
      </c>
      <c r="M195" s="203">
        <v>12.1</v>
      </c>
      <c r="N195" s="205">
        <v>50</v>
      </c>
      <c r="O195" s="206">
        <f>SQRT(Table_03[[#This Row],[Static Parameters Moment of Inertia Ix (in4)]]/Table_03[[#This Row],[Sectional Area (in2)]])</f>
        <v>6.7170713572990737</v>
      </c>
      <c r="P195" s="203">
        <f>SQRT(Table_03[[#This Row],[Static Parameters Moment of Inertia Iy (in4)]]/Table_03[[#This Row],[Sectional Area (in2)]])</f>
        <v>1.6017103953200122</v>
      </c>
      <c r="Q195" s="203">
        <f>($B$6*$B$5*12)/Table_03[[#This Row],[ry (in)2]]</f>
        <v>112.09891658605798</v>
      </c>
      <c r="R195" s="203">
        <f>(PI()^2*$B$4)/(Table_03[[#This Row],[KL/ry]]^2)</f>
        <v>22.776915614696541</v>
      </c>
      <c r="S195" s="203">
        <f>IF(Table_03[[#This Row],[Strength (ksi)]]/Table_03[[#This Row],[Fe,y]]&lt;2.25,(0.658^(Table_03[[#This Row],[Strength (ksi)]]/Table_03[[#This Row],[Fe,y]])*Table_03[[#This Row],[Strength (ksi)]]),0.877*Table_03[[#This Row],[Fe,y]])</f>
        <v>19.949801070749174</v>
      </c>
      <c r="T195" s="203">
        <f>Table_03[[#This Row],[Fcr,y]]*Table_03[[#This Row],[Sectional Area (in2)]]</f>
        <v>335.15665798858612</v>
      </c>
      <c r="U195" s="203">
        <f>1.76*Table_03[[#This Row],[ry (in)2]]*SQRT($B$4/Table_03[[#This Row],[Strength (ksi)]])/12</f>
        <v>5.6575631825036794</v>
      </c>
      <c r="V19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18.132802492633662</v>
      </c>
      <c r="W195" s="203">
        <f>Table_03[[#This Row],[Depth h (in)]]-Table_03[[#This Row],[Flange Thickness tf (in)]]</f>
        <v>15.715</v>
      </c>
      <c r="X195" s="203">
        <f>(Table_03[[#This Row],[Static Parameters Moment of Inertia Iy (in4)]]*Table_03[[#This Row],[ho]]^2)/4</f>
        <v>2661.0071993749998</v>
      </c>
      <c r="Y195" s="203">
        <f>SQRT((SQRT(Table_03[[#This Row],[Static Parameters Moment of Inertia Iy (in4)]]*Table_03[[#This Row],[Cw*]])/Table_03[[#This Row],[Static Parameters Elastic Section Modulus Sx (in3)2]]))</f>
        <v>1.916528886242113</v>
      </c>
      <c r="Z195" s="203">
        <f>(2*Table_03[[#This Row],[Width w (in)]]*Table_03[[#This Row],[Flange Thickness tf (in)]]^3/3)+((Table_03[[#This Row],[Depth h (in)]]-Table_03[[#This Row],[Flange Thickness tf (in)]]*2)*Table_03[[#This Row],[Web Thickness tw (in)]]^3)/3</f>
        <v>2.1325644866666664</v>
      </c>
      <c r="AA195" s="203">
        <f>Table_03[[#This Row],[Width w (in)]]*0.5/Table_03[[#This Row],[Flange Thickness tf (in)]]</f>
        <v>4.9790209790209792</v>
      </c>
      <c r="AB195" s="203">
        <f>0.38*SQRT($B$4/Table_03[[#This Row],[Strength (ksi)]])</f>
        <v>9.1516118798821449</v>
      </c>
      <c r="AC195" s="203">
        <f>1*SQRT($B$4/Table_03[[#This Row],[Strength (ksi)]])</f>
        <v>24.083189157584592</v>
      </c>
      <c r="AD195" s="203">
        <f>(PI()^2*$B$4/(12*$B$5/Table_03[[#This Row],[rts]])^2)*SQRT(1+0.078*(Table_03[[#This Row],[J*]]/(Table_03[[#This Row],[Static Parameters Elastic Section Modulus Sx (in3)2]]*Table_03[[#This Row],[ho]])*$B$4/(12*$B$5/Table_03[[#This Row],[rts]])^2))</f>
        <v>143.93260854837933</v>
      </c>
      <c r="AE195" s="203">
        <f>0.69*$B$4/Table_03[[#This Row],[b/t]]^2</f>
        <v>807.15915367377852</v>
      </c>
      <c r="AF195" s="207">
        <f>Table_03[[#This Row],[Strength (ksi)]]*Table_03[[#This Row],[Static Parameters Plastic Section Modulus Zx (in3)]]</f>
        <v>5209.4710999999998</v>
      </c>
      <c r="AG195" s="203">
        <f>Table_03[[#This Row],[Mp (k-in)]]-(Table_03[[#This Row],[Mp (k-in)]]-0.7*Table_03[[#This Row],[Strength (ksi)]]*Table_03[[#This Row],[Static Parameters Elastic Section Modulus Sx (in3)2]])*((Table_03[[#This Row],[b/t]]-Table_03[[#This Row],[λpf]])/(Table_03[[#This Row],[λrf]]-Table_03[[#This Row],[λpf]]))</f>
        <v>5763.4675545763685</v>
      </c>
      <c r="AH195" s="208">
        <f>0.9*$B$4*Table_03[[#This Row],[kc]]*Table_03[[#This Row],[Static Parameters Elastic Section Modulus Sx (in3)2]]/Table_03[[#This Row],[b/t]]^2</f>
        <v>62814.36205904396</v>
      </c>
      <c r="AI195" s="209" t="str">
        <f>IF(Table_03[[#This Row],[b/t]]&lt;Table_03[[#This Row],[λpf]],"Compact",IF(AND(Table_03[[#This Row],[b/t]]&gt;Table_03[[#This Row],[λpf]],Table_03[[#This Row],[λrf]]&gt;Table_03[[#This Row],[b/t]]),"Non-Compact","Slender"))</f>
        <v>Compact</v>
      </c>
      <c r="AJ195" s="210">
        <f>IF(Table_03[[#This Row],[Controlling LBx]]="Compact",Table_03[[#This Row],[Mp (k-in)]],IF(Table_03[[#This Row],[Controlling LBx]]="Non-Compact",Table_03[[#This Row],[Mnlb,Non-Compact (k-in)]],IF(Table_03[[#This Row],[Controlling LBx]]="Slender",Table_03[[#This Row],[Mnlb,slender (k-in)]],"ERROR")))</f>
        <v>5209.4710999999998</v>
      </c>
      <c r="AK195" s="207">
        <f>Table_03[[#This Row],[Mp (k-in)]]-(Table_03[[#This Row],[Mp (k-in)]]-0.7*Table_03[[#This Row],[Strength (ksi)]]*Table_03[[#This Row],[Static Parameters Elastic Section Modulus Sx (in3)2]])*(($B$5-Table_03[[#This Row],[Lp (ft)]])/(Table_03[[#This Row],[Lr]]-Table_03[[#This Row],[Lp (ft)]]))</f>
        <v>4976.2770898939025</v>
      </c>
      <c r="AL195" s="211">
        <f>Table_03[[#This Row],[Fcrx]]*Table_03[[#This Row],[Static Parameters Elastic Section Modulus Sx (in3)2]]</f>
        <v>13270.586508160575</v>
      </c>
      <c r="AM195" s="212" t="str">
        <f>IF($B$5&lt;Table_03[[#This Row],[Lp (ft)]],"Yielding Controls",IF(AND($B$5&gt;Table_03[[#This Row],[Lp (ft)]],Table_03[[#This Row],[Lr]]&gt;$B$5),"Mltb,p Controls","Mltb,r Controls"))</f>
        <v>Mltb,p Controls</v>
      </c>
      <c r="AN195" s="213">
        <f>IF(Table_03[[#This Row],[Controlling LTB]]="Yielding Controls",Table_03[[#This Row],[Mp (k-in)]],IF(Table_03[[#This Row],[Controlling LTB]]="Mltb,p Controls",Table_03[[#This Row],[Mnltbp (k-in)]],IF(Table_03[[#This Row],[Controlling LTB]]="Mltb,r Controls",Table_03[[#This Row],[Mnltbr (k-in)]],"ERROR")))</f>
        <v>4976.2770898939025</v>
      </c>
      <c r="AO195" s="214">
        <f>MIN(Table_03[[#This Row],[Strength (ksi)]]*Table_03[[#This Row],[Static Parameters Plastic Section Modulus Zy (in3)]],1.6*Table_03[[#This Row],[Strength (ksi)]]*Table_03[[#This Row],[Static Parameters Elastic Section Modulus Sy (in3)3]])</f>
        <v>940.83114999999998</v>
      </c>
      <c r="AP195" s="206">
        <f>MIN(Table_03[[#This Row],[Mny (k-in)]],Table_03[[#This Row],[Mny (k-in)]]-(Table_03[[#This Row],[Mny (k-in)]]-0.7*Table_03[[#This Row],[Static Parameters Elastic Section Modulus Sy (in3)3]]*Table_03[[#This Row],[Strength (ksi)]])*((Table_03[[#This Row],[b/t]]-Table_03[[#This Row],[λpf]])/(Table_03[[#This Row],[λrf]]-Table_03[[#This Row],[λpf]])))</f>
        <v>940.83114999999998</v>
      </c>
      <c r="AQ195" s="211">
        <f>MIN(Table_03[[#This Row],[Mny (k-in)]],Table_03[[#This Row],[Fcry]]*Table_03[[#This Row],[Static Parameters Elastic Section Modulus Sy (in3)3]])</f>
        <v>940.83114999999998</v>
      </c>
      <c r="AR195" s="212" t="str">
        <f>IF(Table_03[[#This Row],[b/t]]&lt;Table_03[[#This Row],[λpf]],"Compact",IF(AND(Table_03[[#This Row],[b/t]]&gt;Table_03[[#This Row],[λpf]],Table_03[[#This Row],[λrf]]&gt;Table_03[[#This Row],[b/t]]),"Non-Compact","Slender"))</f>
        <v>Compact</v>
      </c>
      <c r="AS195" s="213">
        <f>IF(Table_03[[#This Row],[Controlling Lby]]="Compact",Table_03[[#This Row],[Mny (k-in)]],IF(Table_03[[#This Row],[Controlling Lby]]="Non-Compact",Table_03[[#This Row],[Mlby,Non-Compact (k-in)]],IF(Table_03[[#This Row],[Controlling Lby]]="Slender",Table_03[[#This Row],[Mlby,Slender (k-in)]],"ERROR")))</f>
        <v>940.83114999999998</v>
      </c>
      <c r="AT195" s="214">
        <f>MIN(Table_03[[#This Row],[LBx]],Table_03[[#This Row],[LTB]],Table_03[[#This Row],[Mp (k-in)]])</f>
        <v>4976.2770898939025</v>
      </c>
      <c r="AU195" s="206">
        <f>Table_03[[#This Row],[Mp (k-in)]]</f>
        <v>5209.4710999999998</v>
      </c>
      <c r="AV195" s="206">
        <f>MIN(Table_03[[#This Row],[LBy]],Table_03[[#This Row],[Mny (k-in)]])</f>
        <v>940.83114999999998</v>
      </c>
      <c r="AW195" s="215">
        <f>Table_03[[#This Row],[Mny (k-in)]]</f>
        <v>940.83114999999998</v>
      </c>
      <c r="AX195" s="165">
        <f>SQRT(((Table_03[[#This Row],[Sectional Area (in2)]]-(Table_03[[#This Row],[Flange Thickness tf (in)]]*Table_03[[#This Row],[Width w (in)]]*2+Table_03[[#This Row],[Web Thickness tw (in)]]*((Table_03[[#This Row],[Depth h (in)]]-2*Table_03[[#This Row],[Flange Thickness tf (in)]]))))/4)/(1-PI()/4))</f>
        <v>0.44291902038894787</v>
      </c>
      <c r="AY195" s="165">
        <f>IF(4/SQRT((Table_03[[#This Row],[Depth h (in)]]-Table_03[[#This Row],[Flange Thickness tf (in)]]*2)/Table_03[[#This Row],[Web Thickness tw (in)]])&lt;0.35,0.35,IF(4/SQRT(Table_03[[#This Row],[Depth h (in)]]/Table_03[[#This Row],[Web Thickness tw (in)]])&gt;0.76,0.76,4/SQRT(Table_03[[#This Row],[Depth h (in)]]/Table_03[[#This Row],[Web Thickness tw (in)]])))</f>
        <v>0.64710601603057127</v>
      </c>
      <c r="AZ195" s="165"/>
    </row>
    <row r="196" spans="1:52" x14ac:dyDescent="0.3">
      <c r="A196" s="179" t="s">
        <v>288</v>
      </c>
      <c r="B196" s="180">
        <v>16.52</v>
      </c>
      <c r="C196" s="180">
        <v>10.295</v>
      </c>
      <c r="D196" s="180">
        <v>0.45500000000000002</v>
      </c>
      <c r="E196" s="180">
        <v>0.76</v>
      </c>
      <c r="F196" s="181">
        <v>22.6</v>
      </c>
      <c r="G196" s="180">
        <v>77</v>
      </c>
      <c r="H196" s="180">
        <v>1100</v>
      </c>
      <c r="I196" s="180">
        <v>138</v>
      </c>
      <c r="J196" s="181">
        <f>Table_03[[#This Row],[Width w (in)]]*Table_03[[#This Row],[Flange Thickness tf (in)]]*(Table_03[[#This Row],[Depth h (in)]]-Table_03[[#This Row],[Flange Thickness tf (in)]])+0.25*Table_03[[#This Row],[Web Thickness tw (in)]]*(Table_03[[#This Row],[Depth h (in)]]-2*Table_03[[#This Row],[Flange Thickness tf (in)]])^2</f>
        <v>148.903142</v>
      </c>
      <c r="K196" s="181">
        <f>(Table_03[[#This Row],[Width w (in)]]^2*Table_03[[#This Row],[Flange Thickness tf (in)]])/2+0.25*Table_03[[#This Row],[Web Thickness tw (in)]]^2*(Table_03[[#This Row],[Depth h (in)]]-2*Table_03[[#This Row],[Flange Thickness tf (in)]])</f>
        <v>41.051413250000003</v>
      </c>
      <c r="L196" s="181">
        <v>134</v>
      </c>
      <c r="M196" s="181">
        <v>26.9</v>
      </c>
      <c r="N196" s="182">
        <v>50</v>
      </c>
      <c r="O196" s="181">
        <f>SQRT(Table_03[[#This Row],[Static Parameters Moment of Inertia Ix (in4)]]/Table_03[[#This Row],[Sectional Area (in2)]])</f>
        <v>6.9765726808857522</v>
      </c>
      <c r="P196" s="181">
        <f>SQRT(Table_03[[#This Row],[Static Parameters Moment of Inertia Iy (in4)]]/Table_03[[#This Row],[Sectional Area (in2)]])</f>
        <v>2.471071567208341</v>
      </c>
      <c r="Q196" s="181">
        <f>($B$6*$B$5*12)/Table_03[[#This Row],[ry (in)2]]</f>
        <v>72.660785054819016</v>
      </c>
      <c r="R196" s="181">
        <f>(PI()^2*$B$4)/(Table_03[[#This Row],[KL/ry]]^2)</f>
        <v>54.212267376868425</v>
      </c>
      <c r="S196" s="181">
        <f>IF(Table_03[[#This Row],[Strength (ksi)]]/Table_03[[#This Row],[Fe,y]]&lt;2.25,(0.658^(Table_03[[#This Row],[Strength (ksi)]]/Table_03[[#This Row],[Fe,y]])*Table_03[[#This Row],[Strength (ksi)]]),0.877*Table_03[[#This Row],[Fe,y]])</f>
        <v>33.987534349403603</v>
      </c>
      <c r="T196" s="181">
        <f>Table_03[[#This Row],[Fcr,y]]*Table_03[[#This Row],[Sectional Area (in2)]]</f>
        <v>768.11827629652146</v>
      </c>
      <c r="U196" s="181">
        <f>1.76*Table_03[[#This Row],[ry (in)2]]*SQRT($B$4/Table_03[[#This Row],[Strength (ksi)]])/12</f>
        <v>8.7283216496677642</v>
      </c>
      <c r="V196"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27.645082700348269</v>
      </c>
      <c r="W196" s="181">
        <f>Table_03[[#This Row],[Depth h (in)]]-Table_03[[#This Row],[Flange Thickness tf (in)]]</f>
        <v>15.76</v>
      </c>
      <c r="X196" s="181">
        <f>(Table_03[[#This Row],[Static Parameters Moment of Inertia Iy (in4)]]*Table_03[[#This Row],[ho]]^2)/4</f>
        <v>8569.0272000000004</v>
      </c>
      <c r="Y196" s="181">
        <f>SQRT((SQRT(Table_03[[#This Row],[Static Parameters Moment of Inertia Iy (in4)]]*Table_03[[#This Row],[Cw*]])/Table_03[[#This Row],[Static Parameters Elastic Section Modulus Sx (in3)2]]))</f>
        <v>2.8487232018216542</v>
      </c>
      <c r="Z196" s="181">
        <f>(2*Table_03[[#This Row],[Width w (in)]]*Table_03[[#This Row],[Flange Thickness tf (in)]]^3/3)+((Table_03[[#This Row],[Depth h (in)]]-Table_03[[#This Row],[Flange Thickness tf (in)]]*2)*Table_03[[#This Row],[Web Thickness tw (in)]]^3)/3</f>
        <v>3.4838204883333335</v>
      </c>
      <c r="AA196" s="181">
        <f>Table_03[[#This Row],[Width w (in)]]*0.5/Table_03[[#This Row],[Flange Thickness tf (in)]]</f>
        <v>6.7730263157894735</v>
      </c>
      <c r="AB196" s="181">
        <f>0.38*SQRT($B$4/Table_03[[#This Row],[Strength (ksi)]])</f>
        <v>9.1516118798821449</v>
      </c>
      <c r="AC196" s="181">
        <f>1*SQRT($B$4/Table_03[[#This Row],[Strength (ksi)]])</f>
        <v>24.083189157584592</v>
      </c>
      <c r="AD196" s="181">
        <f>(PI()^2*$B$4/(12*$B$5/Table_03[[#This Row],[rts]])^2)*SQRT(1+0.078*(Table_03[[#This Row],[J*]]/(Table_03[[#This Row],[Static Parameters Elastic Section Modulus Sx (in3)2]]*Table_03[[#This Row],[ho]])*$B$4/(12*$B$5/Table_03[[#This Row],[rts]])^2))</f>
        <v>318.39312356756602</v>
      </c>
      <c r="AE196" s="181">
        <f>0.69*$B$4/Table_03[[#This Row],[b/t]]^2</f>
        <v>436.19588341120061</v>
      </c>
      <c r="AF196" s="183">
        <f>Table_03[[#This Row],[Strength (ksi)]]*Table_03[[#This Row],[Static Parameters Plastic Section Modulus Zx (in3)]]</f>
        <v>7445.1571000000004</v>
      </c>
      <c r="AG196" s="181">
        <f>Table_03[[#This Row],[Mp (k-in)]]-(Table_03[[#This Row],[Mp (k-in)]]-0.7*Table_03[[#This Row],[Strength (ksi)]]*Table_03[[#This Row],[Static Parameters Elastic Section Modulus Sx (in3)2]])*((Table_03[[#This Row],[b/t]]-Table_03[[#This Row],[λpf]])/(Table_03[[#This Row],[λrf]]-Table_03[[#This Row],[λpf]]))</f>
        <v>7884.0509142960755</v>
      </c>
      <c r="AH196" s="184">
        <f>0.9*$B$4*Table_03[[#This Row],[kc]]*Table_03[[#This Row],[Static Parameters Elastic Section Modulus Sx (in3)2]]/Table_03[[#This Row],[b/t]]^2</f>
        <v>50610.479019252518</v>
      </c>
      <c r="AI196" s="185" t="str">
        <f>IF(Table_03[[#This Row],[b/t]]&lt;Table_03[[#This Row],[λpf]],"Compact",IF(AND(Table_03[[#This Row],[b/t]]&gt;Table_03[[#This Row],[λpf]],Table_03[[#This Row],[λrf]]&gt;Table_03[[#This Row],[b/t]]),"Non-Compact","Slender"))</f>
        <v>Compact</v>
      </c>
      <c r="AJ196" s="186">
        <f>IF(Table_03[[#This Row],[Controlling LBx]]="Compact",Table_03[[#This Row],[Mp (k-in)]],IF(Table_03[[#This Row],[Controlling LBx]]="Non-Compact",Table_03[[#This Row],[Mnlb,Non-Compact (k-in)]],IF(Table_03[[#This Row],[Controlling LBx]]="Slender",Table_03[[#This Row],[Mnlb,slender (k-in)]],"ERROR")))</f>
        <v>7445.1571000000004</v>
      </c>
      <c r="AK196" s="183">
        <f>Table_03[[#This Row],[Mp (k-in)]]-(Table_03[[#This Row],[Mp (k-in)]]-0.7*Table_03[[#This Row],[Strength (ksi)]]*Table_03[[#This Row],[Static Parameters Elastic Section Modulus Sx (in3)2]])*(($B$5-Table_03[[#This Row],[Lp (ft)]])/(Table_03[[#This Row],[Lr]]-Table_03[[#This Row],[Lp (ft)]]))</f>
        <v>7678.6750376020582</v>
      </c>
      <c r="AL196" s="184">
        <f>Table_03[[#This Row],[Fcrx]]*Table_03[[#This Row],[Static Parameters Elastic Section Modulus Sx (in3)2]]</f>
        <v>42664.678558053849</v>
      </c>
      <c r="AM196" s="185" t="str">
        <f>IF($B$5&lt;Table_03[[#This Row],[Lp (ft)]],"Yielding Controls",IF(AND($B$5&gt;Table_03[[#This Row],[Lp (ft)]],Table_03[[#This Row],[Lr]]&gt;$B$5),"Mltb,p Controls","Mltb,r Controls"))</f>
        <v>Yielding Controls</v>
      </c>
      <c r="AN196" s="186">
        <f>IF(Table_03[[#This Row],[Controlling LTB]]="Yielding Controls",Table_03[[#This Row],[Mp (k-in)]],IF(Table_03[[#This Row],[Controlling LTB]]="Mltb,p Controls",Table_03[[#This Row],[Mnltbp (k-in)]],IF(Table_03[[#This Row],[Controlling LTB]]="Mltb,r Controls",Table_03[[#This Row],[Mnltbr (k-in)]],"ERROR")))</f>
        <v>7445.1571000000004</v>
      </c>
      <c r="AO196" s="183">
        <f>MIN(Table_03[[#This Row],[Strength (ksi)]]*Table_03[[#This Row],[Static Parameters Plastic Section Modulus Zy (in3)]],1.6*Table_03[[#This Row],[Strength (ksi)]]*Table_03[[#This Row],[Static Parameters Elastic Section Modulus Sy (in3)3]])</f>
        <v>2052.5706625000003</v>
      </c>
      <c r="AP196" s="181">
        <f>MIN(Table_03[[#This Row],[Mny (k-in)]],Table_03[[#This Row],[Mny (k-in)]]-(Table_03[[#This Row],[Mny (k-in)]]-0.7*Table_03[[#This Row],[Static Parameters Elastic Section Modulus Sy (in3)3]]*Table_03[[#This Row],[Strength (ksi)]])*((Table_03[[#This Row],[b/t]]-Table_03[[#This Row],[λpf]])/(Table_03[[#This Row],[λrf]]-Table_03[[#This Row],[λpf]])))</f>
        <v>2052.5706625000003</v>
      </c>
      <c r="AQ196" s="184">
        <f>MIN(Table_03[[#This Row],[Mny (k-in)]],Table_03[[#This Row],[Fcry]]*Table_03[[#This Row],[Static Parameters Elastic Section Modulus Sy (in3)3]])</f>
        <v>2052.5706625000003</v>
      </c>
      <c r="AR196" s="185" t="str">
        <f>IF(Table_03[[#This Row],[b/t]]&lt;Table_03[[#This Row],[λpf]],"Compact",IF(AND(Table_03[[#This Row],[b/t]]&gt;Table_03[[#This Row],[λpf]],Table_03[[#This Row],[λrf]]&gt;Table_03[[#This Row],[b/t]]),"Non-Compact","Slender"))</f>
        <v>Compact</v>
      </c>
      <c r="AS196" s="186">
        <f>IF(Table_03[[#This Row],[Controlling Lby]]="Compact",Table_03[[#This Row],[Mny (k-in)]],IF(Table_03[[#This Row],[Controlling Lby]]="Non-Compact",Table_03[[#This Row],[Mlby,Non-Compact (k-in)]],IF(Table_03[[#This Row],[Controlling Lby]]="Slender",Table_03[[#This Row],[Mlby,Slender (k-in)]],"ERROR")))</f>
        <v>2052.5706625000003</v>
      </c>
      <c r="AT196" s="183">
        <f>MIN(Table_03[[#This Row],[LBx]],Table_03[[#This Row],[LTB]],Table_03[[#This Row],[Mp (k-in)]])</f>
        <v>7445.1571000000004</v>
      </c>
      <c r="AU196" s="181">
        <f>Table_03[[#This Row],[Mp (k-in)]]</f>
        <v>7445.1571000000004</v>
      </c>
      <c r="AV196" s="181">
        <f>MIN(Table_03[[#This Row],[LBy]],Table_03[[#This Row],[Mny (k-in)]])</f>
        <v>2052.5706625000003</v>
      </c>
      <c r="AW196" s="187">
        <f>Table_03[[#This Row],[Mny (k-in)]]</f>
        <v>2052.5706625000003</v>
      </c>
      <c r="AX196" s="165">
        <f>SQRT(((Table_03[[#This Row],[Sectional Area (in2)]]-(Table_03[[#This Row],[Flange Thickness tf (in)]]*Table_03[[#This Row],[Width w (in)]]*2+Table_03[[#This Row],[Web Thickness tw (in)]]*((Table_03[[#This Row],[Depth h (in)]]-2*Table_03[[#This Row],[Flange Thickness tf (in)]]))))/4)/(1-PI()/4))</f>
        <v>0.38403441042984865</v>
      </c>
      <c r="AY196" s="165">
        <f>IF(4/SQRT((Table_03[[#This Row],[Depth h (in)]]-Table_03[[#This Row],[Flange Thickness tf (in)]]*2)/Table_03[[#This Row],[Web Thickness tw (in)]])&lt;0.35,0.35,IF(4/SQRT(Table_03[[#This Row],[Depth h (in)]]/Table_03[[#This Row],[Web Thickness tw (in)]])&gt;0.76,0.76,4/SQRT(Table_03[[#This Row],[Depth h (in)]]/Table_03[[#This Row],[Web Thickness tw (in)]])))</f>
        <v>0.66383579754461486</v>
      </c>
      <c r="AZ196" s="165"/>
    </row>
    <row r="197" spans="1:52" x14ac:dyDescent="0.3">
      <c r="A197" s="188" t="s">
        <v>289</v>
      </c>
      <c r="B197" s="189">
        <v>16.75</v>
      </c>
      <c r="C197" s="189">
        <v>10.365</v>
      </c>
      <c r="D197" s="189">
        <v>0.52500000000000002</v>
      </c>
      <c r="E197" s="189">
        <v>0.875</v>
      </c>
      <c r="F197" s="190">
        <v>26.2</v>
      </c>
      <c r="G197" s="189">
        <v>89</v>
      </c>
      <c r="H197" s="190">
        <v>1300</v>
      </c>
      <c r="I197" s="190">
        <v>163</v>
      </c>
      <c r="J197" s="190">
        <f>Table_03[[#This Row],[Width w (in)]]*Table_03[[#This Row],[Flange Thickness tf (in)]]*(Table_03[[#This Row],[Depth h (in)]]-Table_03[[#This Row],[Flange Thickness tf (in)]])+0.25*Table_03[[#This Row],[Web Thickness tw (in)]]*(Table_03[[#This Row],[Depth h (in)]]-2*Table_03[[#This Row],[Flange Thickness tf (in)]])^2</f>
        <v>173.50757812500001</v>
      </c>
      <c r="K197" s="190">
        <f>(Table_03[[#This Row],[Width w (in)]]^2*Table_03[[#This Row],[Flange Thickness tf (in)]])/2+0.25*Table_03[[#This Row],[Web Thickness tw (in)]]^2*(Table_03[[#This Row],[Depth h (in)]]-2*Table_03[[#This Row],[Flange Thickness tf (in)]])</f>
        <v>48.035629687500006</v>
      </c>
      <c r="L197" s="190">
        <v>155</v>
      </c>
      <c r="M197" s="190">
        <v>31.4</v>
      </c>
      <c r="N197" s="191">
        <v>50</v>
      </c>
      <c r="O197" s="169">
        <f>SQRT(Table_03[[#This Row],[Static Parameters Moment of Inertia Ix (in4)]]/Table_03[[#This Row],[Sectional Area (in2)]])</f>
        <v>7.044027300535328</v>
      </c>
      <c r="P197" s="190">
        <f>SQRT(Table_03[[#This Row],[Static Parameters Moment of Inertia Iy (in4)]]/Table_03[[#This Row],[Sectional Area (in2)]])</f>
        <v>2.494268238542424</v>
      </c>
      <c r="Q197" s="190">
        <f>($B$6*$B$5*12)/Table_03[[#This Row],[ry (in)2]]</f>
        <v>71.985040432108335</v>
      </c>
      <c r="R197" s="190">
        <f>(PI()^2*$B$4)/(Table_03[[#This Row],[KL/ry]]^2)</f>
        <v>55.23485744078657</v>
      </c>
      <c r="S197" s="190">
        <f>IF(Table_03[[#This Row],[Strength (ksi)]]/Table_03[[#This Row],[Fe,y]]&lt;2.25,(0.658^(Table_03[[#This Row],[Strength (ksi)]]/Table_03[[#This Row],[Fe,y]])*Table_03[[#This Row],[Strength (ksi)]]),0.877*Table_03[[#This Row],[Fe,y]])</f>
        <v>34.231304738878407</v>
      </c>
      <c r="T197" s="190">
        <f>Table_03[[#This Row],[Fcr,y]]*Table_03[[#This Row],[Sectional Area (in2)]]</f>
        <v>896.86018415861429</v>
      </c>
      <c r="U197" s="190">
        <f>1.76*Table_03[[#This Row],[ry (in)2]]*SQRT($B$4/Table_03[[#This Row],[Strength (ksi)]])/12</f>
        <v>8.8102569571239702</v>
      </c>
      <c r="V19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30.115819259231575</v>
      </c>
      <c r="W197" s="190">
        <f>Table_03[[#This Row],[Depth h (in)]]-Table_03[[#This Row],[Flange Thickness tf (in)]]</f>
        <v>15.875</v>
      </c>
      <c r="X197" s="190">
        <f>(Table_03[[#This Row],[Static Parameters Moment of Inertia Iy (in4)]]*Table_03[[#This Row],[ho]]^2)/4</f>
        <v>10269.63671875</v>
      </c>
      <c r="Y197" s="190">
        <f>SQRT((SQRT(Table_03[[#This Row],[Static Parameters Moment of Inertia Iy (in4)]]*Table_03[[#This Row],[Cw*]])/Table_03[[#This Row],[Static Parameters Elastic Section Modulus Sx (in3)2]]))</f>
        <v>2.88914821692395</v>
      </c>
      <c r="Z197" s="190">
        <f>(2*Table_03[[#This Row],[Width w (in)]]*Table_03[[#This Row],[Flange Thickness tf (in)]]^3/3)+((Table_03[[#This Row],[Depth h (in)]]-Table_03[[#This Row],[Flange Thickness tf (in)]]*2)*Table_03[[#This Row],[Web Thickness tw (in)]]^3)/3</f>
        <v>5.3526757812500003</v>
      </c>
      <c r="AA197" s="190">
        <f>Table_03[[#This Row],[Width w (in)]]*0.5/Table_03[[#This Row],[Flange Thickness tf (in)]]</f>
        <v>5.9228571428571426</v>
      </c>
      <c r="AB197" s="190">
        <f>0.38*SQRT($B$4/Table_03[[#This Row],[Strength (ksi)]])</f>
        <v>9.1516118798821449</v>
      </c>
      <c r="AC197" s="190">
        <f>1*SQRT($B$4/Table_03[[#This Row],[Strength (ksi)]])</f>
        <v>24.083189157584592</v>
      </c>
      <c r="AD197" s="190">
        <f>(PI()^2*$B$4/(12*$B$5/Table_03[[#This Row],[rts]])^2)*SQRT(1+0.078*(Table_03[[#This Row],[J*]]/(Table_03[[#This Row],[Static Parameters Elastic Section Modulus Sx (in3)2]]*Table_03[[#This Row],[ho]])*$B$4/(12*$B$5/Table_03[[#This Row],[rts]])^2))</f>
        <v>327.7342273573197</v>
      </c>
      <c r="AE197" s="190">
        <f>0.69*$B$4/Table_03[[#This Row],[b/t]]^2</f>
        <v>570.40664096232797</v>
      </c>
      <c r="AF197" s="192">
        <f>Table_03[[#This Row],[Strength (ksi)]]*Table_03[[#This Row],[Static Parameters Plastic Section Modulus Zx (in3)]]</f>
        <v>8675.37890625</v>
      </c>
      <c r="AG197" s="190">
        <f>Table_03[[#This Row],[Mp (k-in)]]-(Table_03[[#This Row],[Mp (k-in)]]-0.7*Table_03[[#This Row],[Strength (ksi)]]*Table_03[[#This Row],[Static Parameters Elastic Section Modulus Sx (in3)2]])*((Table_03[[#This Row],[b/t]]-Table_03[[#This Row],[λpf]])/(Table_03[[#This Row],[λrf]]-Table_03[[#This Row],[λpf]]))</f>
        <v>9378.2300582413372</v>
      </c>
      <c r="AH197" s="193">
        <f>0.9*$B$4*Table_03[[#This Row],[kc]]*Table_03[[#This Row],[Static Parameters Elastic Section Modulus Sx (in3)2]]/Table_03[[#This Row],[b/t]]^2</f>
        <v>81666.120911041769</v>
      </c>
      <c r="AI197" s="194" t="str">
        <f>IF(Table_03[[#This Row],[b/t]]&lt;Table_03[[#This Row],[λpf]],"Compact",IF(AND(Table_03[[#This Row],[b/t]]&gt;Table_03[[#This Row],[λpf]],Table_03[[#This Row],[λrf]]&gt;Table_03[[#This Row],[b/t]]),"Non-Compact","Slender"))</f>
        <v>Compact</v>
      </c>
      <c r="AJ197" s="195">
        <f>IF(Table_03[[#This Row],[Controlling LBx]]="Compact",Table_03[[#This Row],[Mp (k-in)]],IF(Table_03[[#This Row],[Controlling LBx]]="Non-Compact",Table_03[[#This Row],[Mnlb,Non-Compact (k-in)]],IF(Table_03[[#This Row],[Controlling LBx]]="Slender",Table_03[[#This Row],[Mnlb,slender (k-in)]],"ERROR")))</f>
        <v>8675.37890625</v>
      </c>
      <c r="AK197" s="192">
        <f>Table_03[[#This Row],[Mp (k-in)]]-(Table_03[[#This Row],[Mp (k-in)]]-0.7*Table_03[[#This Row],[Strength (ksi)]]*Table_03[[#This Row],[Static Parameters Elastic Section Modulus Sx (in3)2]])*(($B$5-Table_03[[#This Row],[Lp (ft)]])/(Table_03[[#This Row],[Lr]]-Table_03[[#This Row],[Lp (ft)]]))</f>
        <v>8932.4818912533556</v>
      </c>
      <c r="AL197" s="196">
        <f>Table_03[[#This Row],[Fcrx]]*Table_03[[#This Row],[Static Parameters Elastic Section Modulus Sx (in3)2]]</f>
        <v>50798.80524038455</v>
      </c>
      <c r="AM197" s="197" t="str">
        <f>IF($B$5&lt;Table_03[[#This Row],[Lp (ft)]],"Yielding Controls",IF(AND($B$5&gt;Table_03[[#This Row],[Lp (ft)]],Table_03[[#This Row],[Lr]]&gt;$B$5),"Mltb,p Controls","Mltb,r Controls"))</f>
        <v>Yielding Controls</v>
      </c>
      <c r="AN197" s="198">
        <f>IF(Table_03[[#This Row],[Controlling LTB]]="Yielding Controls",Table_03[[#This Row],[Mp (k-in)]],IF(Table_03[[#This Row],[Controlling LTB]]="Mltb,p Controls",Table_03[[#This Row],[Mnltbp (k-in)]],IF(Table_03[[#This Row],[Controlling LTB]]="Mltb,r Controls",Table_03[[#This Row],[Mnltbr (k-in)]],"ERROR")))</f>
        <v>8675.37890625</v>
      </c>
      <c r="AO197" s="199">
        <f>MIN(Table_03[[#This Row],[Strength (ksi)]]*Table_03[[#This Row],[Static Parameters Plastic Section Modulus Zy (in3)]],1.6*Table_03[[#This Row],[Strength (ksi)]]*Table_03[[#This Row],[Static Parameters Elastic Section Modulus Sy (in3)3]])</f>
        <v>2401.7814843750002</v>
      </c>
      <c r="AP197" s="169">
        <f>MIN(Table_03[[#This Row],[Mny (k-in)]],Table_03[[#This Row],[Mny (k-in)]]-(Table_03[[#This Row],[Mny (k-in)]]-0.7*Table_03[[#This Row],[Static Parameters Elastic Section Modulus Sy (in3)3]]*Table_03[[#This Row],[Strength (ksi)]])*((Table_03[[#This Row],[b/t]]-Table_03[[#This Row],[λpf]])/(Table_03[[#This Row],[λrf]]-Table_03[[#This Row],[λpf]])))</f>
        <v>2401.7814843750002</v>
      </c>
      <c r="AQ197" s="196">
        <f>MIN(Table_03[[#This Row],[Mny (k-in)]],Table_03[[#This Row],[Fcry]]*Table_03[[#This Row],[Static Parameters Elastic Section Modulus Sy (in3)3]])</f>
        <v>2401.7814843750002</v>
      </c>
      <c r="AR197" s="197" t="str">
        <f>IF(Table_03[[#This Row],[b/t]]&lt;Table_03[[#This Row],[λpf]],"Compact",IF(AND(Table_03[[#This Row],[b/t]]&gt;Table_03[[#This Row],[λpf]],Table_03[[#This Row],[λrf]]&gt;Table_03[[#This Row],[b/t]]),"Non-Compact","Slender"))</f>
        <v>Compact</v>
      </c>
      <c r="AS197" s="198">
        <f>IF(Table_03[[#This Row],[Controlling Lby]]="Compact",Table_03[[#This Row],[Mny (k-in)]],IF(Table_03[[#This Row],[Controlling Lby]]="Non-Compact",Table_03[[#This Row],[Mlby,Non-Compact (k-in)]],IF(Table_03[[#This Row],[Controlling Lby]]="Slender",Table_03[[#This Row],[Mlby,Slender (k-in)]],"ERROR")))</f>
        <v>2401.7814843750002</v>
      </c>
      <c r="AT197" s="199">
        <f>MIN(Table_03[[#This Row],[LBx]],Table_03[[#This Row],[LTB]],Table_03[[#This Row],[Mp (k-in)]])</f>
        <v>8675.37890625</v>
      </c>
      <c r="AU197" s="169">
        <f>Table_03[[#This Row],[Mp (k-in)]]</f>
        <v>8675.37890625</v>
      </c>
      <c r="AV197" s="169">
        <f>MIN(Table_03[[#This Row],[LBy]],Table_03[[#This Row],[Mny (k-in)]])</f>
        <v>2401.7814843750002</v>
      </c>
      <c r="AW197" s="200">
        <f>Table_03[[#This Row],[Mny (k-in)]]</f>
        <v>2401.7814843750002</v>
      </c>
      <c r="AX197" s="165">
        <f>SQRT(((Table_03[[#This Row],[Sectional Area (in2)]]-(Table_03[[#This Row],[Flange Thickness tf (in)]]*Table_03[[#This Row],[Width w (in)]]*2+Table_03[[#This Row],[Web Thickness tw (in)]]*((Table_03[[#This Row],[Depth h (in)]]-2*Table_03[[#This Row],[Flange Thickness tf (in)]]))))/4)/(1-PI()/4))</f>
        <v>0.46580208464220907</v>
      </c>
      <c r="AY197" s="165">
        <f>IF(4/SQRT((Table_03[[#This Row],[Depth h (in)]]-Table_03[[#This Row],[Flange Thickness tf (in)]]*2)/Table_03[[#This Row],[Web Thickness tw (in)]])&lt;0.35,0.35,IF(4/SQRT(Table_03[[#This Row],[Depth h (in)]]/Table_03[[#This Row],[Web Thickness tw (in)]])&gt;0.76,0.76,4/SQRT(Table_03[[#This Row],[Depth h (in)]]/Table_03[[#This Row],[Web Thickness tw (in)]])))</f>
        <v>0.70816137801593848</v>
      </c>
      <c r="AZ197" s="165"/>
    </row>
    <row r="198" spans="1:52" ht="14.4" thickBot="1" x14ac:dyDescent="0.35">
      <c r="A198" s="201" t="s">
        <v>290</v>
      </c>
      <c r="B198" s="202">
        <v>16.97</v>
      </c>
      <c r="C198" s="202">
        <v>10.425000000000001</v>
      </c>
      <c r="D198" s="202">
        <v>0.58499999999999996</v>
      </c>
      <c r="E198" s="202">
        <v>0.98499999999999999</v>
      </c>
      <c r="F198" s="203">
        <v>29.4</v>
      </c>
      <c r="G198" s="204">
        <v>100</v>
      </c>
      <c r="H198" s="203">
        <v>1490</v>
      </c>
      <c r="I198" s="203">
        <v>186</v>
      </c>
      <c r="J198" s="203">
        <f>Table_03[[#This Row],[Width w (in)]]*Table_03[[#This Row],[Flange Thickness tf (in)]]*(Table_03[[#This Row],[Depth h (in)]]-Table_03[[#This Row],[Flange Thickness tf (in)]])+0.25*Table_03[[#This Row],[Web Thickness tw (in)]]*(Table_03[[#This Row],[Depth h (in)]]-2*Table_03[[#This Row],[Flange Thickness tf (in)]])^2</f>
        <v>197.05022062500001</v>
      </c>
      <c r="K198" s="203">
        <f>(Table_03[[#This Row],[Width w (in)]]^2*Table_03[[#This Row],[Flange Thickness tf (in)]])/2+0.25*Table_03[[#This Row],[Web Thickness tw (in)]]^2*(Table_03[[#This Row],[Depth h (in)]]-2*Table_03[[#This Row],[Flange Thickness tf (in)]])</f>
        <v>54.808551562500007</v>
      </c>
      <c r="L198" s="203">
        <v>175</v>
      </c>
      <c r="M198" s="203">
        <v>35.700000000000003</v>
      </c>
      <c r="N198" s="205">
        <v>50</v>
      </c>
      <c r="O198" s="206">
        <f>SQRT(Table_03[[#This Row],[Static Parameters Moment of Inertia Ix (in4)]]/Table_03[[#This Row],[Sectional Area (in2)]])</f>
        <v>7.1190078036790734</v>
      </c>
      <c r="P198" s="203">
        <f>SQRT(Table_03[[#This Row],[Static Parameters Moment of Inertia Iy (in4)]]/Table_03[[#This Row],[Sectional Area (in2)]])</f>
        <v>2.5152595516655727</v>
      </c>
      <c r="Q198" s="203">
        <f>($B$6*$B$5*12)/Table_03[[#This Row],[ry (in)2]]</f>
        <v>71.384283137342351</v>
      </c>
      <c r="R198" s="203">
        <f>(PI()^2*$B$4)/(Table_03[[#This Row],[KL/ry]]^2)</f>
        <v>56.168462768757799</v>
      </c>
      <c r="S198" s="203">
        <f>IF(Table_03[[#This Row],[Strength (ksi)]]/Table_03[[#This Row],[Fe,y]]&lt;2.25,(0.658^(Table_03[[#This Row],[Strength (ksi)]]/Table_03[[#This Row],[Fe,y]])*Table_03[[#This Row],[Strength (ksi)]]),0.877*Table_03[[#This Row],[Fe,y]])</f>
        <v>34.447560125872187</v>
      </c>
      <c r="T198" s="203">
        <f>Table_03[[#This Row],[Fcr,y]]*Table_03[[#This Row],[Sectional Area (in2)]]</f>
        <v>1012.7582677006423</v>
      </c>
      <c r="U198" s="203">
        <f>1.76*Table_03[[#This Row],[ry (in)2]]*SQRT($B$4/Table_03[[#This Row],[Strength (ksi)]])/12</f>
        <v>8.8844024959335659</v>
      </c>
      <c r="V19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32.580842634811511</v>
      </c>
      <c r="W198" s="203">
        <f>Table_03[[#This Row],[Depth h (in)]]-Table_03[[#This Row],[Flange Thickness tf (in)]]</f>
        <v>15.984999999999999</v>
      </c>
      <c r="X198" s="203">
        <f>(Table_03[[#This Row],[Static Parameters Moment of Inertia Iy (in4)]]*Table_03[[#This Row],[ho]]^2)/4</f>
        <v>11881.690462499999</v>
      </c>
      <c r="Y198" s="203">
        <f>SQRT((SQRT(Table_03[[#This Row],[Static Parameters Moment of Inertia Iy (in4)]]*Table_03[[#This Row],[Cw*]])/Table_03[[#This Row],[Static Parameters Elastic Section Modulus Sx (in3)2]]))</f>
        <v>2.9145987226864891</v>
      </c>
      <c r="Z198" s="203">
        <f>(2*Table_03[[#This Row],[Width w (in)]]*Table_03[[#This Row],[Flange Thickness tf (in)]]^3/3)+((Table_03[[#This Row],[Depth h (in)]]-Table_03[[#This Row],[Flange Thickness tf (in)]]*2)*Table_03[[#This Row],[Web Thickness tw (in)]]^3)/3</f>
        <v>7.6429259187499996</v>
      </c>
      <c r="AA198" s="203">
        <f>Table_03[[#This Row],[Width w (in)]]*0.5/Table_03[[#This Row],[Flange Thickness tf (in)]]</f>
        <v>5.2918781725888326</v>
      </c>
      <c r="AB198" s="203">
        <f>0.38*SQRT($B$4/Table_03[[#This Row],[Strength (ksi)]])</f>
        <v>9.1516118798821449</v>
      </c>
      <c r="AC198" s="203">
        <f>1*SQRT($B$4/Table_03[[#This Row],[Strength (ksi)]])</f>
        <v>24.083189157584592</v>
      </c>
      <c r="AD198" s="203">
        <f>(PI()^2*$B$4/(12*$B$5/Table_03[[#This Row],[rts]])^2)*SQRT(1+0.078*(Table_03[[#This Row],[J*]]/(Table_03[[#This Row],[Static Parameters Elastic Section Modulus Sx (in3)2]]*Table_03[[#This Row],[ho]])*$B$4/(12*$B$5/Table_03[[#This Row],[rts]])^2))</f>
        <v>333.79280111945747</v>
      </c>
      <c r="AE198" s="203">
        <f>0.69*$B$4/Table_03[[#This Row],[b/t]]^2</f>
        <v>714.54142815244199</v>
      </c>
      <c r="AF198" s="207">
        <f>Table_03[[#This Row],[Strength (ksi)]]*Table_03[[#This Row],[Static Parameters Plastic Section Modulus Zx (in3)]]</f>
        <v>9852.5110312500001</v>
      </c>
      <c r="AG198" s="203">
        <f>Table_03[[#This Row],[Mp (k-in)]]-(Table_03[[#This Row],[Mp (k-in)]]-0.7*Table_03[[#This Row],[Strength (ksi)]]*Table_03[[#This Row],[Static Parameters Elastic Section Modulus Sx (in3)2]])*((Table_03[[#This Row],[b/t]]-Table_03[[#This Row],[λpf]])/(Table_03[[#This Row],[λrf]]-Table_03[[#This Row],[λpf]]))</f>
        <v>10816.052906568686</v>
      </c>
      <c r="AH198" s="208">
        <f>0.9*$B$4*Table_03[[#This Row],[kc]]*Table_03[[#This Row],[Static Parameters Elastic Section Modulus Sx (in3)2]]/Table_03[[#This Row],[b/t]]^2</f>
        <v>121131.16224492155</v>
      </c>
      <c r="AI198" s="209" t="str">
        <f>IF(Table_03[[#This Row],[b/t]]&lt;Table_03[[#This Row],[λpf]],"Compact",IF(AND(Table_03[[#This Row],[b/t]]&gt;Table_03[[#This Row],[λpf]],Table_03[[#This Row],[λrf]]&gt;Table_03[[#This Row],[b/t]]),"Non-Compact","Slender"))</f>
        <v>Compact</v>
      </c>
      <c r="AJ198" s="210">
        <f>IF(Table_03[[#This Row],[Controlling LBx]]="Compact",Table_03[[#This Row],[Mp (k-in)]],IF(Table_03[[#This Row],[Controlling LBx]]="Non-Compact",Table_03[[#This Row],[Mnlb,Non-Compact (k-in)]],IF(Table_03[[#This Row],[Controlling LBx]]="Slender",Table_03[[#This Row],[Mnlb,slender (k-in)]],"ERROR")))</f>
        <v>9852.5110312500001</v>
      </c>
      <c r="AK198" s="207">
        <f>Table_03[[#This Row],[Mp (k-in)]]-(Table_03[[#This Row],[Mp (k-in)]]-0.7*Table_03[[#This Row],[Strength (ksi)]]*Table_03[[#This Row],[Static Parameters Elastic Section Modulus Sx (in3)2]])*(($B$5-Table_03[[#This Row],[Lp (ft)]])/(Table_03[[#This Row],[Lr]]-Table_03[[#This Row],[Lp (ft)]]))</f>
        <v>10129.26957276786</v>
      </c>
      <c r="AL198" s="211">
        <f>Table_03[[#This Row],[Fcrx]]*Table_03[[#This Row],[Static Parameters Elastic Section Modulus Sx (in3)2]]</f>
        <v>58413.740195905055</v>
      </c>
      <c r="AM198" s="212" t="str">
        <f>IF($B$5&lt;Table_03[[#This Row],[Lp (ft)]],"Yielding Controls",IF(AND($B$5&gt;Table_03[[#This Row],[Lp (ft)]],Table_03[[#This Row],[Lr]]&gt;$B$5),"Mltb,p Controls","Mltb,r Controls"))</f>
        <v>Yielding Controls</v>
      </c>
      <c r="AN198" s="213">
        <f>IF(Table_03[[#This Row],[Controlling LTB]]="Yielding Controls",Table_03[[#This Row],[Mp (k-in)]],IF(Table_03[[#This Row],[Controlling LTB]]="Mltb,p Controls",Table_03[[#This Row],[Mnltbp (k-in)]],IF(Table_03[[#This Row],[Controlling LTB]]="Mltb,r Controls",Table_03[[#This Row],[Mnltbr (k-in)]],"ERROR")))</f>
        <v>9852.5110312500001</v>
      </c>
      <c r="AO198" s="214">
        <f>MIN(Table_03[[#This Row],[Strength (ksi)]]*Table_03[[#This Row],[Static Parameters Plastic Section Modulus Zy (in3)]],1.6*Table_03[[#This Row],[Strength (ksi)]]*Table_03[[#This Row],[Static Parameters Elastic Section Modulus Sy (in3)3]])</f>
        <v>2740.4275781250003</v>
      </c>
      <c r="AP198" s="206">
        <f>MIN(Table_03[[#This Row],[Mny (k-in)]],Table_03[[#This Row],[Mny (k-in)]]-(Table_03[[#This Row],[Mny (k-in)]]-0.7*Table_03[[#This Row],[Static Parameters Elastic Section Modulus Sy (in3)3]]*Table_03[[#This Row],[Strength (ksi)]])*((Table_03[[#This Row],[b/t]]-Table_03[[#This Row],[λpf]])/(Table_03[[#This Row],[λrf]]-Table_03[[#This Row],[λpf]])))</f>
        <v>2740.4275781250003</v>
      </c>
      <c r="AQ198" s="211">
        <f>MIN(Table_03[[#This Row],[Mny (k-in)]],Table_03[[#This Row],[Fcry]]*Table_03[[#This Row],[Static Parameters Elastic Section Modulus Sy (in3)3]])</f>
        <v>2740.4275781250003</v>
      </c>
      <c r="AR198" s="212" t="str">
        <f>IF(Table_03[[#This Row],[b/t]]&lt;Table_03[[#This Row],[λpf]],"Compact",IF(AND(Table_03[[#This Row],[b/t]]&gt;Table_03[[#This Row],[λpf]],Table_03[[#This Row],[λrf]]&gt;Table_03[[#This Row],[b/t]]),"Non-Compact","Slender"))</f>
        <v>Compact</v>
      </c>
      <c r="AS198" s="213">
        <f>IF(Table_03[[#This Row],[Controlling Lby]]="Compact",Table_03[[#This Row],[Mny (k-in)]],IF(Table_03[[#This Row],[Controlling Lby]]="Non-Compact",Table_03[[#This Row],[Mlby,Non-Compact (k-in)]],IF(Table_03[[#This Row],[Controlling Lby]]="Slender",Table_03[[#This Row],[Mlby,Slender (k-in)]],"ERROR")))</f>
        <v>2740.4275781250003</v>
      </c>
      <c r="AT198" s="214">
        <f>MIN(Table_03[[#This Row],[LBx]],Table_03[[#This Row],[LTB]],Table_03[[#This Row],[Mp (k-in)]])</f>
        <v>9852.5110312500001</v>
      </c>
      <c r="AU198" s="206">
        <f>Table_03[[#This Row],[Mp (k-in)]]</f>
        <v>9852.5110312500001</v>
      </c>
      <c r="AV198" s="206">
        <f>MIN(Table_03[[#This Row],[LBy]],Table_03[[#This Row],[Mny (k-in)]])</f>
        <v>2740.4275781250003</v>
      </c>
      <c r="AW198" s="215">
        <f>Table_03[[#This Row],[Mny (k-in)]]</f>
        <v>2740.4275781250003</v>
      </c>
      <c r="AX198" s="165">
        <f>SQRT(((Table_03[[#This Row],[Sectional Area (in2)]]-(Table_03[[#This Row],[Flange Thickness tf (in)]]*Table_03[[#This Row],[Width w (in)]]*2+Table_03[[#This Row],[Web Thickness tw (in)]]*((Table_03[[#This Row],[Depth h (in)]]-2*Table_03[[#This Row],[Flange Thickness tf (in)]]))))/4)/(1-PI()/4))</f>
        <v>0.31972518674052736</v>
      </c>
      <c r="AY198" s="165">
        <f>IF(4/SQRT((Table_03[[#This Row],[Depth h (in)]]-Table_03[[#This Row],[Flange Thickness tf (in)]]*2)/Table_03[[#This Row],[Web Thickness tw (in)]])&lt;0.35,0.35,IF(4/SQRT(Table_03[[#This Row],[Depth h (in)]]/Table_03[[#This Row],[Web Thickness tw (in)]])&gt;0.76,0.76,4/SQRT(Table_03[[#This Row],[Depth h (in)]]/Table_03[[#This Row],[Web Thickness tw (in)]])))</f>
        <v>0.74267191899082408</v>
      </c>
      <c r="AZ198" s="165"/>
    </row>
    <row r="199" spans="1:52" x14ac:dyDescent="0.3">
      <c r="A199" s="179" t="s">
        <v>291</v>
      </c>
      <c r="B199" s="180">
        <v>17.7</v>
      </c>
      <c r="C199" s="180">
        <v>6</v>
      </c>
      <c r="D199" s="180">
        <v>0.3</v>
      </c>
      <c r="E199" s="180">
        <v>0.42499999999999999</v>
      </c>
      <c r="F199" s="181">
        <v>10.3</v>
      </c>
      <c r="G199" s="180">
        <v>35</v>
      </c>
      <c r="H199" s="180">
        <v>510</v>
      </c>
      <c r="I199" s="180">
        <v>15.3</v>
      </c>
      <c r="J199" s="181">
        <f>Table_03[[#This Row],[Width w (in)]]*Table_03[[#This Row],[Flange Thickness tf (in)]]*(Table_03[[#This Row],[Depth h (in)]]-Table_03[[#This Row],[Flange Thickness tf (in)]])+0.25*Table_03[[#This Row],[Web Thickness tw (in)]]*(Table_03[[#This Row],[Depth h (in)]]-2*Table_03[[#This Row],[Flange Thickness tf (in)]])^2</f>
        <v>65.345437499999989</v>
      </c>
      <c r="K199" s="181">
        <f>(Table_03[[#This Row],[Width w (in)]]^2*Table_03[[#This Row],[Flange Thickness tf (in)]])/2+0.25*Table_03[[#This Row],[Web Thickness tw (in)]]^2*(Table_03[[#This Row],[Depth h (in)]]-2*Table_03[[#This Row],[Flange Thickness tf (in)]])</f>
        <v>8.0291249999999987</v>
      </c>
      <c r="L199" s="181">
        <v>57.6</v>
      </c>
      <c r="M199" s="181">
        <v>5.0999999999999996</v>
      </c>
      <c r="N199" s="182">
        <v>50</v>
      </c>
      <c r="O199" s="181">
        <f>SQRT(Table_03[[#This Row],[Static Parameters Moment of Inertia Ix (in4)]]/Table_03[[#This Row],[Sectional Area (in2)]])</f>
        <v>7.0366585185580881</v>
      </c>
      <c r="P199" s="181">
        <f>SQRT(Table_03[[#This Row],[Static Parameters Moment of Inertia Iy (in4)]]/Table_03[[#This Row],[Sectional Area (in2)]])</f>
        <v>1.2187850069654957</v>
      </c>
      <c r="Q199" s="181">
        <f>($B$6*$B$5*12)/Table_03[[#This Row],[ry (in)2]]</f>
        <v>147.3188453860617</v>
      </c>
      <c r="R199" s="181">
        <f>(PI()^2*$B$4)/(Table_03[[#This Row],[KL/ry]]^2)</f>
        <v>13.188066563651027</v>
      </c>
      <c r="S199" s="181">
        <f>IF(Table_03[[#This Row],[Strength (ksi)]]/Table_03[[#This Row],[Fe,y]]&lt;2.25,(0.658^(Table_03[[#This Row],[Strength (ksi)]]/Table_03[[#This Row],[Fe,y]])*Table_03[[#This Row],[Strength (ksi)]]),0.877*Table_03[[#This Row],[Fe,y]])</f>
        <v>11.565934376321952</v>
      </c>
      <c r="T199" s="181">
        <f>Table_03[[#This Row],[Fcr,y]]*Table_03[[#This Row],[Sectional Area (in2)]]</f>
        <v>119.12912407611611</v>
      </c>
      <c r="U199" s="181">
        <f>1.76*Table_03[[#This Row],[ry (in)2]]*SQRT($B$4/Table_03[[#This Row],[Strength (ksi)]])/12</f>
        <v>4.3049937135594538</v>
      </c>
      <c r="V19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12.291966110499208</v>
      </c>
      <c r="W199" s="181">
        <f>Table_03[[#This Row],[Depth h (in)]]-Table_03[[#This Row],[Flange Thickness tf (in)]]</f>
        <v>17.274999999999999</v>
      </c>
      <c r="X199" s="181">
        <f>(Table_03[[#This Row],[Static Parameters Moment of Inertia Iy (in4)]]*Table_03[[#This Row],[ho]]^2)/4</f>
        <v>1141.4780156249999</v>
      </c>
      <c r="Y199" s="181">
        <f>SQRT((SQRT(Table_03[[#This Row],[Static Parameters Moment of Inertia Iy (in4)]]*Table_03[[#This Row],[Cw*]])/Table_03[[#This Row],[Static Parameters Elastic Section Modulus Sx (in3)2]]))</f>
        <v>1.5147065516132159</v>
      </c>
      <c r="Z199" s="181">
        <f>(2*Table_03[[#This Row],[Width w (in)]]*Table_03[[#This Row],[Flange Thickness tf (in)]]^3/3)+((Table_03[[#This Row],[Depth h (in)]]-Table_03[[#This Row],[Flange Thickness tf (in)]]*2)*Table_03[[#This Row],[Web Thickness tw (in)]]^3)/3</f>
        <v>0.45871249999999997</v>
      </c>
      <c r="AA199" s="181">
        <f>Table_03[[#This Row],[Width w (in)]]*0.5/Table_03[[#This Row],[Flange Thickness tf (in)]]</f>
        <v>7.0588235294117645</v>
      </c>
      <c r="AB199" s="181">
        <f>0.38*SQRT($B$4/Table_03[[#This Row],[Strength (ksi)]])</f>
        <v>9.1516118798821449</v>
      </c>
      <c r="AC199" s="181">
        <f>1*SQRT($B$4/Table_03[[#This Row],[Strength (ksi)]])</f>
        <v>24.083189157584592</v>
      </c>
      <c r="AD199" s="181">
        <f>(PI()^2*$B$4/(12*$B$5/Table_03[[#This Row],[rts]])^2)*SQRT(1+0.078*(Table_03[[#This Row],[J*]]/(Table_03[[#This Row],[Static Parameters Elastic Section Modulus Sx (in3)2]]*Table_03[[#This Row],[ho]])*$B$4/(12*$B$5/Table_03[[#This Row],[rts]])^2))</f>
        <v>89.844930608124542</v>
      </c>
      <c r="AE199" s="181">
        <f>0.69*$B$4/Table_03[[#This Row],[b/t]]^2</f>
        <v>401.58958333333334</v>
      </c>
      <c r="AF199" s="183">
        <f>Table_03[[#This Row],[Strength (ksi)]]*Table_03[[#This Row],[Static Parameters Plastic Section Modulus Zx (in3)]]</f>
        <v>3267.2718749999995</v>
      </c>
      <c r="AG199" s="181">
        <f>Table_03[[#This Row],[Mp (k-in)]]-(Table_03[[#This Row],[Mp (k-in)]]-0.7*Table_03[[#This Row],[Strength (ksi)]]*Table_03[[#This Row],[Static Parameters Elastic Section Modulus Sx (in3)2]])*((Table_03[[#This Row],[b/t]]-Table_03[[#This Row],[λpf]])/(Table_03[[#This Row],[λrf]]-Table_03[[#This Row],[λpf]]))</f>
        <v>3442.6483375510588</v>
      </c>
      <c r="AH199" s="184">
        <f>0.9*$B$4*Table_03[[#This Row],[kc]]*Table_03[[#This Row],[Static Parameters Elastic Section Modulus Sx (in3)2]]/Table_03[[#This Row],[b/t]]^2</f>
        <v>15712.030986196105</v>
      </c>
      <c r="AI199" s="185" t="str">
        <f>IF(Table_03[[#This Row],[b/t]]&lt;Table_03[[#This Row],[λpf]],"Compact",IF(AND(Table_03[[#This Row],[b/t]]&gt;Table_03[[#This Row],[λpf]],Table_03[[#This Row],[λrf]]&gt;Table_03[[#This Row],[b/t]]),"Non-Compact","Slender"))</f>
        <v>Compact</v>
      </c>
      <c r="AJ199" s="186">
        <f>IF(Table_03[[#This Row],[Controlling LBx]]="Compact",Table_03[[#This Row],[Mp (k-in)]],IF(Table_03[[#This Row],[Controlling LBx]]="Non-Compact",Table_03[[#This Row],[Mnlb,Non-Compact (k-in)]],IF(Table_03[[#This Row],[Controlling LBx]]="Slender",Table_03[[#This Row],[Mnlb,slender (k-in)]],"ERROR")))</f>
        <v>3267.2718749999995</v>
      </c>
      <c r="AK199" s="183">
        <f>Table_03[[#This Row],[Mp (k-in)]]-(Table_03[[#This Row],[Mp (k-in)]]-0.7*Table_03[[#This Row],[Strength (ksi)]]*Table_03[[#This Row],[Static Parameters Elastic Section Modulus Sx (in3)2]])*(($B$5-Table_03[[#This Row],[Lp (ft)]])/(Table_03[[#This Row],[Lr]]-Table_03[[#This Row],[Lp (ft)]]))</f>
        <v>2825.4781165918389</v>
      </c>
      <c r="AL199" s="184">
        <f>Table_03[[#This Row],[Fcrx]]*Table_03[[#This Row],[Static Parameters Elastic Section Modulus Sx (in3)2]]</f>
        <v>5175.0680030279736</v>
      </c>
      <c r="AM199" s="185" t="str">
        <f>IF($B$5&lt;Table_03[[#This Row],[Lp (ft)]],"Yielding Controls",IF(AND($B$5&gt;Table_03[[#This Row],[Lp (ft)]],Table_03[[#This Row],[Lr]]&gt;$B$5),"Mltb,p Controls","Mltb,r Controls"))</f>
        <v>Mltb,p Controls</v>
      </c>
      <c r="AN199" s="186">
        <f>IF(Table_03[[#This Row],[Controlling LTB]]="Yielding Controls",Table_03[[#This Row],[Mp (k-in)]],IF(Table_03[[#This Row],[Controlling LTB]]="Mltb,p Controls",Table_03[[#This Row],[Mnltbp (k-in)]],IF(Table_03[[#This Row],[Controlling LTB]]="Mltb,r Controls",Table_03[[#This Row],[Mnltbr (k-in)]],"ERROR")))</f>
        <v>2825.4781165918389</v>
      </c>
      <c r="AO199" s="183">
        <f>MIN(Table_03[[#This Row],[Strength (ksi)]]*Table_03[[#This Row],[Static Parameters Plastic Section Modulus Zy (in3)]],1.6*Table_03[[#This Row],[Strength (ksi)]]*Table_03[[#This Row],[Static Parameters Elastic Section Modulus Sy (in3)3]])</f>
        <v>401.45624999999995</v>
      </c>
      <c r="AP199" s="181">
        <f>MIN(Table_03[[#This Row],[Mny (k-in)]],Table_03[[#This Row],[Mny (k-in)]]-(Table_03[[#This Row],[Mny (k-in)]]-0.7*Table_03[[#This Row],[Static Parameters Elastic Section Modulus Sy (in3)3]]*Table_03[[#This Row],[Strength (ksi)]])*((Table_03[[#This Row],[b/t]]-Table_03[[#This Row],[λpf]])/(Table_03[[#This Row],[λrf]]-Table_03[[#This Row],[λpf]])))</f>
        <v>401.45624999999995</v>
      </c>
      <c r="AQ199" s="184">
        <f>MIN(Table_03[[#This Row],[Mny (k-in)]],Table_03[[#This Row],[Fcry]]*Table_03[[#This Row],[Static Parameters Elastic Section Modulus Sy (in3)3]])</f>
        <v>401.45624999999995</v>
      </c>
      <c r="AR199" s="185" t="str">
        <f>IF(Table_03[[#This Row],[b/t]]&lt;Table_03[[#This Row],[λpf]],"Compact",IF(AND(Table_03[[#This Row],[b/t]]&gt;Table_03[[#This Row],[λpf]],Table_03[[#This Row],[λrf]]&gt;Table_03[[#This Row],[b/t]]),"Non-Compact","Slender"))</f>
        <v>Compact</v>
      </c>
      <c r="AS199" s="186">
        <f>IF(Table_03[[#This Row],[Controlling Lby]]="Compact",Table_03[[#This Row],[Mny (k-in)]],IF(Table_03[[#This Row],[Controlling Lby]]="Non-Compact",Table_03[[#This Row],[Mlby,Non-Compact (k-in)]],IF(Table_03[[#This Row],[Controlling Lby]]="Slender",Table_03[[#This Row],[Mlby,Slender (k-in)]],"ERROR")))</f>
        <v>401.45624999999995</v>
      </c>
      <c r="AT199" s="183">
        <f>MIN(Table_03[[#This Row],[LBx]],Table_03[[#This Row],[LTB]],Table_03[[#This Row],[Mp (k-in)]])</f>
        <v>2825.4781165918389</v>
      </c>
      <c r="AU199" s="181">
        <f>Table_03[[#This Row],[Mp (k-in)]]</f>
        <v>3267.2718749999995</v>
      </c>
      <c r="AV199" s="181">
        <f>MIN(Table_03[[#This Row],[LBy]],Table_03[[#This Row],[Mny (k-in)]])</f>
        <v>401.45624999999995</v>
      </c>
      <c r="AW199" s="187">
        <f>Table_03[[#This Row],[Mny (k-in)]]</f>
        <v>401.45624999999995</v>
      </c>
      <c r="AX199" s="165">
        <f>SQRT(((Table_03[[#This Row],[Sectional Area (in2)]]-(Table_03[[#This Row],[Flange Thickness tf (in)]]*Table_03[[#This Row],[Width w (in)]]*2+Table_03[[#This Row],[Web Thickness tw (in)]]*((Table_03[[#This Row],[Depth h (in)]]-2*Table_03[[#This Row],[Flange Thickness tf (in)]]))))/4)/(1-PI()/4))</f>
        <v>0.41099570956313225</v>
      </c>
      <c r="AY199" s="165">
        <f>IF(4/SQRT((Table_03[[#This Row],[Depth h (in)]]-Table_03[[#This Row],[Flange Thickness tf (in)]]*2)/Table_03[[#This Row],[Web Thickness tw (in)]])&lt;0.35,0.35,IF(4/SQRT(Table_03[[#This Row],[Depth h (in)]]/Table_03[[#This Row],[Web Thickness tw (in)]])&gt;0.76,0.76,4/SQRT(Table_03[[#This Row],[Depth h (in)]]/Table_03[[#This Row],[Web Thickness tw (in)]])))</f>
        <v>0.52075564392329554</v>
      </c>
      <c r="AZ199" s="165"/>
    </row>
    <row r="200" spans="1:52" x14ac:dyDescent="0.3">
      <c r="A200" s="188" t="s">
        <v>292</v>
      </c>
      <c r="B200" s="189">
        <v>17.899999999999999</v>
      </c>
      <c r="C200" s="189">
        <v>6.02</v>
      </c>
      <c r="D200" s="189">
        <v>0.315</v>
      </c>
      <c r="E200" s="189">
        <v>0.52500000000000002</v>
      </c>
      <c r="F200" s="190">
        <v>11.8</v>
      </c>
      <c r="G200" s="189">
        <v>40</v>
      </c>
      <c r="H200" s="190">
        <v>612</v>
      </c>
      <c r="I200" s="190">
        <v>19.100000000000001</v>
      </c>
      <c r="J200" s="190">
        <f>Table_03[[#This Row],[Width w (in)]]*Table_03[[#This Row],[Flange Thickness tf (in)]]*(Table_03[[#This Row],[Depth h (in)]]-Table_03[[#This Row],[Flange Thickness tf (in)]])+0.25*Table_03[[#This Row],[Web Thickness tw (in)]]*(Table_03[[#This Row],[Depth h (in)]]-2*Table_03[[#This Row],[Flange Thickness tf (in)]])^2</f>
        <v>77.27258437499998</v>
      </c>
      <c r="K200" s="190">
        <f>(Table_03[[#This Row],[Width w (in)]]^2*Table_03[[#This Row],[Flange Thickness tf (in)]])/2+0.25*Table_03[[#This Row],[Web Thickness tw (in)]]^2*(Table_03[[#This Row],[Depth h (in)]]-2*Table_03[[#This Row],[Flange Thickness tf (in)]])</f>
        <v>9.9310903125000003</v>
      </c>
      <c r="L200" s="190">
        <v>68.400000000000006</v>
      </c>
      <c r="M200" s="190">
        <v>6.4</v>
      </c>
      <c r="N200" s="191">
        <v>50</v>
      </c>
      <c r="O200" s="169">
        <f>SQRT(Table_03[[#This Row],[Static Parameters Moment of Inertia Ix (in4)]]/Table_03[[#This Row],[Sectional Area (in2)]])</f>
        <v>7.2016947158055107</v>
      </c>
      <c r="P200" s="190">
        <f>SQRT(Table_03[[#This Row],[Static Parameters Moment of Inertia Iy (in4)]]/Table_03[[#This Row],[Sectional Area (in2)]])</f>
        <v>1.2722594341550824</v>
      </c>
      <c r="Q200" s="190">
        <f>($B$6*$B$5*12)/Table_03[[#This Row],[ry (in)2]]</f>
        <v>141.12687646858802</v>
      </c>
      <c r="R200" s="190">
        <f>(PI()^2*$B$4)/(Table_03[[#This Row],[KL/ry]]^2)</f>
        <v>14.37071194786234</v>
      </c>
      <c r="S200" s="190">
        <f>IF(Table_03[[#This Row],[Strength (ksi)]]/Table_03[[#This Row],[Fe,y]]&lt;2.25,(0.658^(Table_03[[#This Row],[Strength (ksi)]]/Table_03[[#This Row],[Fe,y]])*Table_03[[#This Row],[Strength (ksi)]]),0.877*Table_03[[#This Row],[Fe,y]])</f>
        <v>12.603114378275272</v>
      </c>
      <c r="T200" s="190">
        <f>Table_03[[#This Row],[Fcr,y]]*Table_03[[#This Row],[Sectional Area (in2)]]</f>
        <v>148.71674966364822</v>
      </c>
      <c r="U200" s="190">
        <f>1.76*Table_03[[#This Row],[ry (in)2]]*SQRT($B$4/Table_03[[#This Row],[Strength (ksi)]])/12</f>
        <v>4.49387614284083</v>
      </c>
      <c r="V20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12.992180592504885</v>
      </c>
      <c r="W200" s="190">
        <f>Table_03[[#This Row],[Depth h (in)]]-Table_03[[#This Row],[Flange Thickness tf (in)]]</f>
        <v>17.375</v>
      </c>
      <c r="X200" s="190">
        <f>(Table_03[[#This Row],[Static Parameters Moment of Inertia Iy (in4)]]*Table_03[[#This Row],[ho]]^2)/4</f>
        <v>1441.5277343750001</v>
      </c>
      <c r="Y200" s="190">
        <f>SQRT((SQRT(Table_03[[#This Row],[Static Parameters Moment of Inertia Iy (in4)]]*Table_03[[#This Row],[Cw*]])/Table_03[[#This Row],[Static Parameters Elastic Section Modulus Sx (in3)2]]))</f>
        <v>1.5575286410966114</v>
      </c>
      <c r="Z200" s="190">
        <f>(2*Table_03[[#This Row],[Width w (in)]]*Table_03[[#This Row],[Flange Thickness tf (in)]]^3/3)+((Table_03[[#This Row],[Depth h (in)]]-Table_03[[#This Row],[Flange Thickness tf (in)]]*2)*Table_03[[#This Row],[Web Thickness tw (in)]]^3)/3</f>
        <v>0.75629570625000009</v>
      </c>
      <c r="AA200" s="190">
        <f>Table_03[[#This Row],[Width w (in)]]*0.5/Table_03[[#This Row],[Flange Thickness tf (in)]]</f>
        <v>5.7333333333333325</v>
      </c>
      <c r="AB200" s="190">
        <f>0.38*SQRT($B$4/Table_03[[#This Row],[Strength (ksi)]])</f>
        <v>9.1516118798821449</v>
      </c>
      <c r="AC200" s="190">
        <f>1*SQRT($B$4/Table_03[[#This Row],[Strength (ksi)]])</f>
        <v>24.083189157584592</v>
      </c>
      <c r="AD200" s="190">
        <f>(PI()^2*$B$4/(12*$B$5/Table_03[[#This Row],[rts]])^2)*SQRT(1+0.078*(Table_03[[#This Row],[J*]]/(Table_03[[#This Row],[Static Parameters Elastic Section Modulus Sx (in3)2]]*Table_03[[#This Row],[ho]])*$B$4/(12*$B$5/Table_03[[#This Row],[rts]])^2))</f>
        <v>95.003870837886438</v>
      </c>
      <c r="AE200" s="190">
        <f>0.69*$B$4/Table_03[[#This Row],[b/t]]^2</f>
        <v>608.74121146565733</v>
      </c>
      <c r="AF200" s="192">
        <f>Table_03[[#This Row],[Strength (ksi)]]*Table_03[[#This Row],[Static Parameters Plastic Section Modulus Zx (in3)]]</f>
        <v>3863.6292187499989</v>
      </c>
      <c r="AG200" s="190">
        <f>Table_03[[#This Row],[Mp (k-in)]]-(Table_03[[#This Row],[Mp (k-in)]]-0.7*Table_03[[#This Row],[Strength (ksi)]]*Table_03[[#This Row],[Static Parameters Elastic Section Modulus Sx (in3)2]])*((Table_03[[#This Row],[b/t]]-Table_03[[#This Row],[λpf]])/(Table_03[[#This Row],[λrf]]-Table_03[[#This Row],[λpf]]))</f>
        <v>4200.0707035579189</v>
      </c>
      <c r="AH200" s="193">
        <f>0.9*$B$4*Table_03[[#This Row],[kc]]*Table_03[[#This Row],[Static Parameters Elastic Section Modulus Sx (in3)2]]/Table_03[[#This Row],[b/t]]^2</f>
        <v>28818.473811068015</v>
      </c>
      <c r="AI200" s="194" t="str">
        <f>IF(Table_03[[#This Row],[b/t]]&lt;Table_03[[#This Row],[λpf]],"Compact",IF(AND(Table_03[[#This Row],[b/t]]&gt;Table_03[[#This Row],[λpf]],Table_03[[#This Row],[λrf]]&gt;Table_03[[#This Row],[b/t]]),"Non-Compact","Slender"))</f>
        <v>Compact</v>
      </c>
      <c r="AJ200" s="195">
        <f>IF(Table_03[[#This Row],[Controlling LBx]]="Compact",Table_03[[#This Row],[Mp (k-in)]],IF(Table_03[[#This Row],[Controlling LBx]]="Non-Compact",Table_03[[#This Row],[Mnlb,Non-Compact (k-in)]],IF(Table_03[[#This Row],[Controlling LBx]]="Slender",Table_03[[#This Row],[Mnlb,slender (k-in)]],"ERROR")))</f>
        <v>3863.6292187499989</v>
      </c>
      <c r="AK200" s="192">
        <f>Table_03[[#This Row],[Mp (k-in)]]-(Table_03[[#This Row],[Mp (k-in)]]-0.7*Table_03[[#This Row],[Strength (ksi)]]*Table_03[[#This Row],[Static Parameters Elastic Section Modulus Sx (in3)2]])*(($B$5-Table_03[[#This Row],[Lp (ft)]])/(Table_03[[#This Row],[Lr]]-Table_03[[#This Row],[Lp (ft)]]))</f>
        <v>3408.6235736199083</v>
      </c>
      <c r="AL200" s="196">
        <f>Table_03[[#This Row],[Fcrx]]*Table_03[[#This Row],[Static Parameters Elastic Section Modulus Sx (in3)2]]</f>
        <v>6498.2647653114327</v>
      </c>
      <c r="AM200" s="197" t="str">
        <f>IF($B$5&lt;Table_03[[#This Row],[Lp (ft)]],"Yielding Controls",IF(AND($B$5&gt;Table_03[[#This Row],[Lp (ft)]],Table_03[[#This Row],[Lr]]&gt;$B$5),"Mltb,p Controls","Mltb,r Controls"))</f>
        <v>Mltb,p Controls</v>
      </c>
      <c r="AN200" s="198">
        <f>IF(Table_03[[#This Row],[Controlling LTB]]="Yielding Controls",Table_03[[#This Row],[Mp (k-in)]],IF(Table_03[[#This Row],[Controlling LTB]]="Mltb,p Controls",Table_03[[#This Row],[Mnltbp (k-in)]],IF(Table_03[[#This Row],[Controlling LTB]]="Mltb,r Controls",Table_03[[#This Row],[Mnltbr (k-in)]],"ERROR")))</f>
        <v>3408.6235736199083</v>
      </c>
      <c r="AO200" s="199">
        <f>MIN(Table_03[[#This Row],[Strength (ksi)]]*Table_03[[#This Row],[Static Parameters Plastic Section Modulus Zy (in3)]],1.6*Table_03[[#This Row],[Strength (ksi)]]*Table_03[[#This Row],[Static Parameters Elastic Section Modulus Sy (in3)3]])</f>
        <v>496.55451562500002</v>
      </c>
      <c r="AP200" s="169">
        <f>MIN(Table_03[[#This Row],[Mny (k-in)]],Table_03[[#This Row],[Mny (k-in)]]-(Table_03[[#This Row],[Mny (k-in)]]-0.7*Table_03[[#This Row],[Static Parameters Elastic Section Modulus Sy (in3)3]]*Table_03[[#This Row],[Strength (ksi)]])*((Table_03[[#This Row],[b/t]]-Table_03[[#This Row],[λpf]])/(Table_03[[#This Row],[λrf]]-Table_03[[#This Row],[λpf]])))</f>
        <v>496.55451562500002</v>
      </c>
      <c r="AQ200" s="196">
        <f>MIN(Table_03[[#This Row],[Mny (k-in)]],Table_03[[#This Row],[Fcry]]*Table_03[[#This Row],[Static Parameters Elastic Section Modulus Sy (in3)3]])</f>
        <v>496.55451562500002</v>
      </c>
      <c r="AR200" s="197" t="str">
        <f>IF(Table_03[[#This Row],[b/t]]&lt;Table_03[[#This Row],[λpf]],"Compact",IF(AND(Table_03[[#This Row],[b/t]]&gt;Table_03[[#This Row],[λpf]],Table_03[[#This Row],[λrf]]&gt;Table_03[[#This Row],[b/t]]),"Non-Compact","Slender"))</f>
        <v>Compact</v>
      </c>
      <c r="AS200" s="198">
        <f>IF(Table_03[[#This Row],[Controlling Lby]]="Compact",Table_03[[#This Row],[Mny (k-in)]],IF(Table_03[[#This Row],[Controlling Lby]]="Non-Compact",Table_03[[#This Row],[Mlby,Non-Compact (k-in)]],IF(Table_03[[#This Row],[Controlling Lby]]="Slender",Table_03[[#This Row],[Mlby,Slender (k-in)]],"ERROR")))</f>
        <v>496.55451562500002</v>
      </c>
      <c r="AT200" s="199">
        <f>MIN(Table_03[[#This Row],[LBx]],Table_03[[#This Row],[LTB]],Table_03[[#This Row],[Mp (k-in)]])</f>
        <v>3408.6235736199083</v>
      </c>
      <c r="AU200" s="169">
        <f>Table_03[[#This Row],[Mp (k-in)]]</f>
        <v>3863.6292187499989</v>
      </c>
      <c r="AV200" s="169">
        <f>MIN(Table_03[[#This Row],[LBy]],Table_03[[#This Row],[Mny (k-in)]])</f>
        <v>496.55451562500002</v>
      </c>
      <c r="AW200" s="200">
        <f>Table_03[[#This Row],[Mny (k-in)]]</f>
        <v>496.55451562500002</v>
      </c>
      <c r="AX200" s="165">
        <f>SQRT(((Table_03[[#This Row],[Sectional Area (in2)]]-(Table_03[[#This Row],[Flange Thickness tf (in)]]*Table_03[[#This Row],[Width w (in)]]*2+Table_03[[#This Row],[Web Thickness tw (in)]]*((Table_03[[#This Row],[Depth h (in)]]-2*Table_03[[#This Row],[Flange Thickness tf (in)]]))))/4)/(1-PI()/4))</f>
        <v>0.44665127413152039</v>
      </c>
      <c r="AY200" s="165">
        <f>IF(4/SQRT((Table_03[[#This Row],[Depth h (in)]]-Table_03[[#This Row],[Flange Thickness tf (in)]]*2)/Table_03[[#This Row],[Web Thickness tw (in)]])&lt;0.35,0.35,IF(4/SQRT(Table_03[[#This Row],[Depth h (in)]]/Table_03[[#This Row],[Web Thickness tw (in)]])&gt;0.76,0.76,4/SQRT(Table_03[[#This Row],[Depth h (in)]]/Table_03[[#This Row],[Web Thickness tw (in)]])))</f>
        <v>0.53062627696906972</v>
      </c>
      <c r="AZ200" s="165"/>
    </row>
    <row r="201" spans="1:52" ht="14.4" thickBot="1" x14ac:dyDescent="0.35">
      <c r="A201" s="201" t="s">
        <v>293</v>
      </c>
      <c r="B201" s="202">
        <v>18</v>
      </c>
      <c r="C201" s="202">
        <v>7.5</v>
      </c>
      <c r="D201" s="202">
        <v>0.35499999999999998</v>
      </c>
      <c r="E201" s="202">
        <v>0.56999999999999995</v>
      </c>
      <c r="F201" s="203">
        <v>14.7</v>
      </c>
      <c r="G201" s="204">
        <v>50</v>
      </c>
      <c r="H201" s="203">
        <v>800</v>
      </c>
      <c r="I201" s="203">
        <v>40.1</v>
      </c>
      <c r="J201" s="203">
        <f>Table_03[[#This Row],[Width w (in)]]*Table_03[[#This Row],[Flange Thickness tf (in)]]*(Table_03[[#This Row],[Depth h (in)]]-Table_03[[#This Row],[Flange Thickness tf (in)]])+0.25*Table_03[[#This Row],[Web Thickness tw (in)]]*(Table_03[[#This Row],[Depth h (in)]]-2*Table_03[[#This Row],[Flange Thickness tf (in)]])^2</f>
        <v>99.741289499999979</v>
      </c>
      <c r="K201" s="203">
        <f>(Table_03[[#This Row],[Width w (in)]]^2*Table_03[[#This Row],[Flange Thickness tf (in)]])/2+0.25*Table_03[[#This Row],[Web Thickness tw (in)]]^2*(Table_03[[#This Row],[Depth h (in)]]-2*Table_03[[#This Row],[Flange Thickness tf (in)]])</f>
        <v>16.562445374999999</v>
      </c>
      <c r="L201" s="203">
        <v>88.9</v>
      </c>
      <c r="M201" s="203">
        <v>10.7</v>
      </c>
      <c r="N201" s="205">
        <v>50</v>
      </c>
      <c r="O201" s="206">
        <f>SQRT(Table_03[[#This Row],[Static Parameters Moment of Inertia Ix (in4)]]/Table_03[[#This Row],[Sectional Area (in2)]])</f>
        <v>7.3771111356331751</v>
      </c>
      <c r="P201" s="203">
        <f>SQRT(Table_03[[#This Row],[Static Parameters Moment of Inertia Iy (in4)]]/Table_03[[#This Row],[Sectional Area (in2)]])</f>
        <v>1.6516328758118692</v>
      </c>
      <c r="Q201" s="203">
        <f>($B$6*$B$5*12)/Table_03[[#This Row],[ry (in)2]]</f>
        <v>108.71059944949401</v>
      </c>
      <c r="R201" s="203">
        <f>(PI()^2*$B$4)/(Table_03[[#This Row],[KL/ry]]^2)</f>
        <v>24.218874806743962</v>
      </c>
      <c r="S201" s="203">
        <f>IF(Table_03[[#This Row],[Strength (ksi)]]/Table_03[[#This Row],[Fe,y]]&lt;2.25,(0.658^(Table_03[[#This Row],[Strength (ksi)]]/Table_03[[#This Row],[Fe,y]])*Table_03[[#This Row],[Strength (ksi)]]),0.877*Table_03[[#This Row],[Fe,y]])</f>
        <v>21.071544214425934</v>
      </c>
      <c r="T201" s="203">
        <f>Table_03[[#This Row],[Fcr,y]]*Table_03[[#This Row],[Sectional Area (in2)]]</f>
        <v>309.75169995206124</v>
      </c>
      <c r="U201" s="203">
        <f>1.76*Table_03[[#This Row],[ry (in)2]]*SQRT($B$4/Table_03[[#This Row],[Strength (ksi)]])/12</f>
        <v>5.8338994218358584</v>
      </c>
      <c r="V20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16.859356405243918</v>
      </c>
      <c r="W201" s="203">
        <f>Table_03[[#This Row],[Depth h (in)]]-Table_03[[#This Row],[Flange Thickness tf (in)]]</f>
        <v>17.43</v>
      </c>
      <c r="X201" s="203">
        <f>(Table_03[[#This Row],[Static Parameters Moment of Inertia Iy (in4)]]*Table_03[[#This Row],[ho]]^2)/4</f>
        <v>3045.6441224999999</v>
      </c>
      <c r="Y201" s="203">
        <f>SQRT((SQRT(Table_03[[#This Row],[Static Parameters Moment of Inertia Iy (in4)]]*Table_03[[#This Row],[Cw*]])/Table_03[[#This Row],[Static Parameters Elastic Section Modulus Sx (in3)2]]))</f>
        <v>1.9826908463313144</v>
      </c>
      <c r="Z201" s="203">
        <f>(2*Table_03[[#This Row],[Width w (in)]]*Table_03[[#This Row],[Flange Thickness tf (in)]]^3/3)+((Table_03[[#This Row],[Depth h (in)]]-Table_03[[#This Row],[Flange Thickness tf (in)]]*2)*Table_03[[#This Row],[Web Thickness tw (in)]]^3)/3</f>
        <v>1.1773974774999998</v>
      </c>
      <c r="AA201" s="203">
        <f>Table_03[[#This Row],[Width w (in)]]*0.5/Table_03[[#This Row],[Flange Thickness tf (in)]]</f>
        <v>6.5789473684210531</v>
      </c>
      <c r="AB201" s="203">
        <f>0.38*SQRT($B$4/Table_03[[#This Row],[Strength (ksi)]])</f>
        <v>9.1516118798821449</v>
      </c>
      <c r="AC201" s="203">
        <f>1*SQRT($B$4/Table_03[[#This Row],[Strength (ksi)]])</f>
        <v>24.083189157584592</v>
      </c>
      <c r="AD201" s="203">
        <f>(PI()^2*$B$4/(12*$B$5/Table_03[[#This Row],[rts]])^2)*SQRT(1+0.078*(Table_03[[#This Row],[J*]]/(Table_03[[#This Row],[Static Parameters Elastic Section Modulus Sx (in3)2]]*Table_03[[#This Row],[ho]])*$B$4/(12*$B$5/Table_03[[#This Row],[rts]])^2))</f>
        <v>153.98418714943085</v>
      </c>
      <c r="AE201" s="203">
        <f>0.69*$B$4/Table_03[[#This Row],[b/t]]^2</f>
        <v>462.31103999999993</v>
      </c>
      <c r="AF201" s="207">
        <f>Table_03[[#This Row],[Strength (ksi)]]*Table_03[[#This Row],[Static Parameters Plastic Section Modulus Zx (in3)]]</f>
        <v>4987.0644749999992</v>
      </c>
      <c r="AG201" s="203">
        <f>Table_03[[#This Row],[Mp (k-in)]]-(Table_03[[#This Row],[Mp (k-in)]]-0.7*Table_03[[#This Row],[Strength (ksi)]]*Table_03[[#This Row],[Static Parameters Elastic Section Modulus Sx (in3)2]])*((Table_03[[#This Row],[b/t]]-Table_03[[#This Row],[λpf]])/(Table_03[[#This Row],[λrf]]-Table_03[[#This Row],[λpf]]))</f>
        <v>5310.2184241139485</v>
      </c>
      <c r="AH201" s="208">
        <f>0.9*$B$4*Table_03[[#This Row],[kc]]*Table_03[[#This Row],[Static Parameters Elastic Section Modulus Sx (in3)2]]/Table_03[[#This Row],[b/t]]^2</f>
        <v>30113.924657708449</v>
      </c>
      <c r="AI201" s="209" t="str">
        <f>IF(Table_03[[#This Row],[b/t]]&lt;Table_03[[#This Row],[λpf]],"Compact",IF(AND(Table_03[[#This Row],[b/t]]&gt;Table_03[[#This Row],[λpf]],Table_03[[#This Row],[λrf]]&gt;Table_03[[#This Row],[b/t]]),"Non-Compact","Slender"))</f>
        <v>Compact</v>
      </c>
      <c r="AJ201" s="210">
        <f>IF(Table_03[[#This Row],[Controlling LBx]]="Compact",Table_03[[#This Row],[Mp (k-in)]],IF(Table_03[[#This Row],[Controlling LBx]]="Non-Compact",Table_03[[#This Row],[Mnlb,Non-Compact (k-in)]],IF(Table_03[[#This Row],[Controlling LBx]]="Slender",Table_03[[#This Row],[Mnlb,slender (k-in)]],"ERROR")))</f>
        <v>4987.0644749999992</v>
      </c>
      <c r="AK201" s="207">
        <f>Table_03[[#This Row],[Mp (k-in)]]-(Table_03[[#This Row],[Mp (k-in)]]-0.7*Table_03[[#This Row],[Strength (ksi)]]*Table_03[[#This Row],[Static Parameters Elastic Section Modulus Sx (in3)2]])*(($B$5-Table_03[[#This Row],[Lp (ft)]])/(Table_03[[#This Row],[Lr]]-Table_03[[#This Row],[Lp (ft)]]))</f>
        <v>4767.4325466635373</v>
      </c>
      <c r="AL201" s="211">
        <f>Table_03[[#This Row],[Fcrx]]*Table_03[[#This Row],[Static Parameters Elastic Section Modulus Sx (in3)2]]</f>
        <v>13689.194237584403</v>
      </c>
      <c r="AM201" s="212" t="str">
        <f>IF($B$5&lt;Table_03[[#This Row],[Lp (ft)]],"Yielding Controls",IF(AND($B$5&gt;Table_03[[#This Row],[Lp (ft)]],Table_03[[#This Row],[Lr]]&gt;$B$5),"Mltb,p Controls","Mltb,r Controls"))</f>
        <v>Mltb,p Controls</v>
      </c>
      <c r="AN201" s="213">
        <f>IF(Table_03[[#This Row],[Controlling LTB]]="Yielding Controls",Table_03[[#This Row],[Mp (k-in)]],IF(Table_03[[#This Row],[Controlling LTB]]="Mltb,p Controls",Table_03[[#This Row],[Mnltbp (k-in)]],IF(Table_03[[#This Row],[Controlling LTB]]="Mltb,r Controls",Table_03[[#This Row],[Mnltbr (k-in)]],"ERROR")))</f>
        <v>4767.4325466635373</v>
      </c>
      <c r="AO201" s="214">
        <f>MIN(Table_03[[#This Row],[Strength (ksi)]]*Table_03[[#This Row],[Static Parameters Plastic Section Modulus Zy (in3)]],1.6*Table_03[[#This Row],[Strength (ksi)]]*Table_03[[#This Row],[Static Parameters Elastic Section Modulus Sy (in3)3]])</f>
        <v>828.12226874999999</v>
      </c>
      <c r="AP201" s="206">
        <f>MIN(Table_03[[#This Row],[Mny (k-in)]],Table_03[[#This Row],[Mny (k-in)]]-(Table_03[[#This Row],[Mny (k-in)]]-0.7*Table_03[[#This Row],[Static Parameters Elastic Section Modulus Sy (in3)3]]*Table_03[[#This Row],[Strength (ksi)]])*((Table_03[[#This Row],[b/t]]-Table_03[[#This Row],[λpf]])/(Table_03[[#This Row],[λrf]]-Table_03[[#This Row],[λpf]])))</f>
        <v>828.12226874999999</v>
      </c>
      <c r="AQ201" s="211">
        <f>MIN(Table_03[[#This Row],[Mny (k-in)]],Table_03[[#This Row],[Fcry]]*Table_03[[#This Row],[Static Parameters Elastic Section Modulus Sy (in3)3]])</f>
        <v>828.12226874999999</v>
      </c>
      <c r="AR201" s="212" t="str">
        <f>IF(Table_03[[#This Row],[b/t]]&lt;Table_03[[#This Row],[λpf]],"Compact",IF(AND(Table_03[[#This Row],[b/t]]&gt;Table_03[[#This Row],[λpf]],Table_03[[#This Row],[λrf]]&gt;Table_03[[#This Row],[b/t]]),"Non-Compact","Slender"))</f>
        <v>Compact</v>
      </c>
      <c r="AS201" s="213">
        <f>IF(Table_03[[#This Row],[Controlling Lby]]="Compact",Table_03[[#This Row],[Mny (k-in)]],IF(Table_03[[#This Row],[Controlling Lby]]="Non-Compact",Table_03[[#This Row],[Mlby,Non-Compact (k-in)]],IF(Table_03[[#This Row],[Controlling Lby]]="Slender",Table_03[[#This Row],[Mlby,Slender (k-in)]],"ERROR")))</f>
        <v>828.12226874999999</v>
      </c>
      <c r="AT201" s="214">
        <f>MIN(Table_03[[#This Row],[LBx]],Table_03[[#This Row],[LTB]],Table_03[[#This Row],[Mp (k-in)]])</f>
        <v>4767.4325466635373</v>
      </c>
      <c r="AU201" s="206">
        <f>Table_03[[#This Row],[Mp (k-in)]]</f>
        <v>4987.0644749999992</v>
      </c>
      <c r="AV201" s="206">
        <f>MIN(Table_03[[#This Row],[LBy]],Table_03[[#This Row],[Mny (k-in)]])</f>
        <v>828.12226874999999</v>
      </c>
      <c r="AW201" s="215">
        <f>Table_03[[#This Row],[Mny (k-in)]]</f>
        <v>828.12226874999999</v>
      </c>
      <c r="AX201" s="165">
        <f>SQRT(((Table_03[[#This Row],[Sectional Area (in2)]]-(Table_03[[#This Row],[Flange Thickness tf (in)]]*Table_03[[#This Row],[Width w (in)]]*2+Table_03[[#This Row],[Web Thickness tw (in)]]*((Table_03[[#This Row],[Depth h (in)]]-2*Table_03[[#This Row],[Flange Thickness tf (in)]]))))/4)/(1-PI()/4))</f>
        <v>0.43802619862680786</v>
      </c>
      <c r="AY201" s="165">
        <f>IF(4/SQRT((Table_03[[#This Row],[Depth h (in)]]-Table_03[[#This Row],[Flange Thickness tf (in)]]*2)/Table_03[[#This Row],[Web Thickness tw (in)]])&lt;0.35,0.35,IF(4/SQRT(Table_03[[#This Row],[Depth h (in)]]/Table_03[[#This Row],[Web Thickness tw (in)]])&gt;0.76,0.76,4/SQRT(Table_03[[#This Row],[Depth h (in)]]/Table_03[[#This Row],[Web Thickness tw (in)]])))</f>
        <v>0.56174331821175727</v>
      </c>
      <c r="AZ201" s="165"/>
    </row>
    <row r="202" spans="1:52" x14ac:dyDescent="0.3">
      <c r="A202" s="179" t="s">
        <v>294</v>
      </c>
      <c r="B202" s="180">
        <v>18.100000000000001</v>
      </c>
      <c r="C202" s="180">
        <v>7.53</v>
      </c>
      <c r="D202" s="180">
        <v>0.39</v>
      </c>
      <c r="E202" s="180">
        <v>0.63</v>
      </c>
      <c r="F202" s="181">
        <v>16.2</v>
      </c>
      <c r="G202" s="180">
        <v>55</v>
      </c>
      <c r="H202" s="180">
        <v>890</v>
      </c>
      <c r="I202" s="180">
        <v>44.9</v>
      </c>
      <c r="J202" s="181">
        <f>Table_03[[#This Row],[Width w (in)]]*Table_03[[#This Row],[Flange Thickness tf (in)]]*(Table_03[[#This Row],[Depth h (in)]]-Table_03[[#This Row],[Flange Thickness tf (in)]])+0.25*Table_03[[#This Row],[Web Thickness tw (in)]]*(Table_03[[#This Row],[Depth h (in)]]-2*Table_03[[#This Row],[Flange Thickness tf (in)]])^2</f>
        <v>110.52552900000002</v>
      </c>
      <c r="K202" s="181">
        <f>(Table_03[[#This Row],[Width w (in)]]^2*Table_03[[#This Row],[Flange Thickness tf (in)]])/2+0.25*Table_03[[#This Row],[Web Thickness tw (in)]]^2*(Table_03[[#This Row],[Depth h (in)]]-2*Table_03[[#This Row],[Flange Thickness tf (in)]])</f>
        <v>18.5011245</v>
      </c>
      <c r="L202" s="181">
        <v>98.3</v>
      </c>
      <c r="M202" s="181">
        <v>11.9</v>
      </c>
      <c r="N202" s="182">
        <v>50</v>
      </c>
      <c r="O202" s="181">
        <f>SQRT(Table_03[[#This Row],[Static Parameters Moment of Inertia Ix (in4)]]/Table_03[[#This Row],[Sectional Area (in2)]])</f>
        <v>7.4120355911812963</v>
      </c>
      <c r="P202" s="181">
        <f>SQRT(Table_03[[#This Row],[Static Parameters Moment of Inertia Iy (in4)]]/Table_03[[#This Row],[Sectional Area (in2)]])</f>
        <v>1.6648137848635218</v>
      </c>
      <c r="Q202" s="181">
        <f>($B$6*$B$5*12)/Table_03[[#This Row],[ry (in)2]]</f>
        <v>107.84989987016426</v>
      </c>
      <c r="R202" s="181">
        <f>(PI()^2*$B$4)/(Table_03[[#This Row],[KL/ry]]^2)</f>
        <v>24.606976291824775</v>
      </c>
      <c r="S202" s="181">
        <f>IF(Table_03[[#This Row],[Strength (ksi)]]/Table_03[[#This Row],[Fe,y]]&lt;2.25,(0.658^(Table_03[[#This Row],[Strength (ksi)]]/Table_03[[#This Row],[Fe,y]])*Table_03[[#This Row],[Strength (ksi)]]),0.877*Table_03[[#This Row],[Fe,y]])</f>
        <v>21.360685386751239</v>
      </c>
      <c r="T202" s="181">
        <f>Table_03[[#This Row],[Fcr,y]]*Table_03[[#This Row],[Sectional Area (in2)]]</f>
        <v>346.04310326537006</v>
      </c>
      <c r="U202" s="181">
        <f>1.76*Table_03[[#This Row],[ry (in)2]]*SQRT($B$4/Table_03[[#This Row],[Strength (ksi)]])/12</f>
        <v>5.8804570429766381</v>
      </c>
      <c r="V20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17.42167141041066</v>
      </c>
      <c r="W202" s="181">
        <f>Table_03[[#This Row],[Depth h (in)]]-Table_03[[#This Row],[Flange Thickness tf (in)]]</f>
        <v>17.470000000000002</v>
      </c>
      <c r="X202" s="181">
        <f>(Table_03[[#This Row],[Static Parameters Moment of Inertia Iy (in4)]]*Table_03[[#This Row],[ho]]^2)/4</f>
        <v>3425.8801025000012</v>
      </c>
      <c r="Y202" s="181">
        <f>SQRT((SQRT(Table_03[[#This Row],[Static Parameters Moment of Inertia Iy (in4)]]*Table_03[[#This Row],[Cw*]])/Table_03[[#This Row],[Static Parameters Elastic Section Modulus Sx (in3)2]]))</f>
        <v>1.997458965643679</v>
      </c>
      <c r="Z202" s="181">
        <f>(2*Table_03[[#This Row],[Width w (in)]]*Table_03[[#This Row],[Flange Thickness tf (in)]]^3/3)+((Table_03[[#This Row],[Depth h (in)]]-Table_03[[#This Row],[Flange Thickness tf (in)]]*2)*Table_03[[#This Row],[Web Thickness tw (in)]]^3)/3</f>
        <v>1.5882132600000003</v>
      </c>
      <c r="AA202" s="181">
        <f>Table_03[[#This Row],[Width w (in)]]*0.5/Table_03[[#This Row],[Flange Thickness tf (in)]]</f>
        <v>5.9761904761904763</v>
      </c>
      <c r="AB202" s="181">
        <f>0.38*SQRT($B$4/Table_03[[#This Row],[Strength (ksi)]])</f>
        <v>9.1516118798821449</v>
      </c>
      <c r="AC202" s="181">
        <f>1*SQRT($B$4/Table_03[[#This Row],[Strength (ksi)]])</f>
        <v>24.083189157584592</v>
      </c>
      <c r="AD202" s="181">
        <f>(PI()^2*$B$4/(12*$B$5/Table_03[[#This Row],[rts]])^2)*SQRT(1+0.078*(Table_03[[#This Row],[J*]]/(Table_03[[#This Row],[Static Parameters Elastic Section Modulus Sx (in3)2]]*Table_03[[#This Row],[ho]])*$B$4/(12*$B$5/Table_03[[#This Row],[rts]])^2))</f>
        <v>156.30362021627059</v>
      </c>
      <c r="AE202" s="181">
        <f>0.69*$B$4/Table_03[[#This Row],[b/t]]^2</f>
        <v>560.27110680782846</v>
      </c>
      <c r="AF202" s="183">
        <f>Table_03[[#This Row],[Strength (ksi)]]*Table_03[[#This Row],[Static Parameters Plastic Section Modulus Zx (in3)]]</f>
        <v>5526.2764500000012</v>
      </c>
      <c r="AG202" s="181">
        <f>Table_03[[#This Row],[Mp (k-in)]]-(Table_03[[#This Row],[Mp (k-in)]]-0.7*Table_03[[#This Row],[Strength (ksi)]]*Table_03[[#This Row],[Static Parameters Elastic Section Modulus Sx (in3)2]])*((Table_03[[#This Row],[b/t]]-Table_03[[#This Row],[λpf]])/(Table_03[[#This Row],[λrf]]-Table_03[[#This Row],[λpf]]))</f>
        <v>5969.84775258011</v>
      </c>
      <c r="AH202" s="184">
        <f>0.9*$B$4*Table_03[[#This Row],[kc]]*Table_03[[#This Row],[Static Parameters Elastic Section Modulus Sx (in3)2]]/Table_03[[#This Row],[b/t]]^2</f>
        <v>42179.183689462829</v>
      </c>
      <c r="AI202" s="185" t="str">
        <f>IF(Table_03[[#This Row],[b/t]]&lt;Table_03[[#This Row],[λpf]],"Compact",IF(AND(Table_03[[#This Row],[b/t]]&gt;Table_03[[#This Row],[λpf]],Table_03[[#This Row],[λrf]]&gt;Table_03[[#This Row],[b/t]]),"Non-Compact","Slender"))</f>
        <v>Compact</v>
      </c>
      <c r="AJ202" s="186">
        <f>IF(Table_03[[#This Row],[Controlling LBx]]="Compact",Table_03[[#This Row],[Mp (k-in)]],IF(Table_03[[#This Row],[Controlling LBx]]="Non-Compact",Table_03[[#This Row],[Mnlb,Non-Compact (k-in)]],IF(Table_03[[#This Row],[Controlling LBx]]="Slender",Table_03[[#This Row],[Mnlb,slender (k-in)]],"ERROR")))</f>
        <v>5526.2764500000012</v>
      </c>
      <c r="AK202" s="183">
        <f>Table_03[[#This Row],[Mp (k-in)]]-(Table_03[[#This Row],[Mp (k-in)]]-0.7*Table_03[[#This Row],[Strength (ksi)]]*Table_03[[#This Row],[Static Parameters Elastic Section Modulus Sx (in3)2]])*(($B$5-Table_03[[#This Row],[Lp (ft)]])/(Table_03[[#This Row],[Lr]]-Table_03[[#This Row],[Lp (ft)]]))</f>
        <v>5301.3574503063992</v>
      </c>
      <c r="AL202" s="184">
        <f>Table_03[[#This Row],[Fcrx]]*Table_03[[#This Row],[Static Parameters Elastic Section Modulus Sx (in3)2]]</f>
        <v>15364.645867259398</v>
      </c>
      <c r="AM202" s="185" t="str">
        <f>IF($B$5&lt;Table_03[[#This Row],[Lp (ft)]],"Yielding Controls",IF(AND($B$5&gt;Table_03[[#This Row],[Lp (ft)]],Table_03[[#This Row],[Lr]]&gt;$B$5),"Mltb,p Controls","Mltb,r Controls"))</f>
        <v>Mltb,p Controls</v>
      </c>
      <c r="AN202" s="186">
        <f>IF(Table_03[[#This Row],[Controlling LTB]]="Yielding Controls",Table_03[[#This Row],[Mp (k-in)]],IF(Table_03[[#This Row],[Controlling LTB]]="Mltb,p Controls",Table_03[[#This Row],[Mnltbp (k-in)]],IF(Table_03[[#This Row],[Controlling LTB]]="Mltb,r Controls",Table_03[[#This Row],[Mnltbr (k-in)]],"ERROR")))</f>
        <v>5301.3574503063992</v>
      </c>
      <c r="AO202" s="183">
        <f>MIN(Table_03[[#This Row],[Strength (ksi)]]*Table_03[[#This Row],[Static Parameters Plastic Section Modulus Zy (in3)]],1.6*Table_03[[#This Row],[Strength (ksi)]]*Table_03[[#This Row],[Static Parameters Elastic Section Modulus Sy (in3)3]])</f>
        <v>925.05622499999993</v>
      </c>
      <c r="AP202" s="181">
        <f>MIN(Table_03[[#This Row],[Mny (k-in)]],Table_03[[#This Row],[Mny (k-in)]]-(Table_03[[#This Row],[Mny (k-in)]]-0.7*Table_03[[#This Row],[Static Parameters Elastic Section Modulus Sy (in3)3]]*Table_03[[#This Row],[Strength (ksi)]])*((Table_03[[#This Row],[b/t]]-Table_03[[#This Row],[λpf]])/(Table_03[[#This Row],[λrf]]-Table_03[[#This Row],[λpf]])))</f>
        <v>925.05622499999993</v>
      </c>
      <c r="AQ202" s="184">
        <f>MIN(Table_03[[#This Row],[Mny (k-in)]],Table_03[[#This Row],[Fcry]]*Table_03[[#This Row],[Static Parameters Elastic Section Modulus Sy (in3)3]])</f>
        <v>925.05622499999993</v>
      </c>
      <c r="AR202" s="185" t="str">
        <f>IF(Table_03[[#This Row],[b/t]]&lt;Table_03[[#This Row],[λpf]],"Compact",IF(AND(Table_03[[#This Row],[b/t]]&gt;Table_03[[#This Row],[λpf]],Table_03[[#This Row],[λrf]]&gt;Table_03[[#This Row],[b/t]]),"Non-Compact","Slender"))</f>
        <v>Compact</v>
      </c>
      <c r="AS202" s="186">
        <f>IF(Table_03[[#This Row],[Controlling Lby]]="Compact",Table_03[[#This Row],[Mny (k-in)]],IF(Table_03[[#This Row],[Controlling Lby]]="Non-Compact",Table_03[[#This Row],[Mlby,Non-Compact (k-in)]],IF(Table_03[[#This Row],[Controlling Lby]]="Slender",Table_03[[#This Row],[Mlby,Slender (k-in)]],"ERROR")))</f>
        <v>925.05622499999993</v>
      </c>
      <c r="AT202" s="183">
        <f>MIN(Table_03[[#This Row],[LBx]],Table_03[[#This Row],[LTB]],Table_03[[#This Row],[Mp (k-in)]])</f>
        <v>5301.3574503063992</v>
      </c>
      <c r="AU202" s="181">
        <f>Table_03[[#This Row],[Mp (k-in)]]</f>
        <v>5526.2764500000012</v>
      </c>
      <c r="AV202" s="181">
        <f>MIN(Table_03[[#This Row],[LBy]],Table_03[[#This Row],[Mny (k-in)]])</f>
        <v>925.05622499999993</v>
      </c>
      <c r="AW202" s="187">
        <f>Table_03[[#This Row],[Mny (k-in)]]</f>
        <v>925.05622499999993</v>
      </c>
      <c r="AX202" s="165">
        <f>SQRT(((Table_03[[#This Row],[Sectional Area (in2)]]-(Table_03[[#This Row],[Flange Thickness tf (in)]]*Table_03[[#This Row],[Width w (in)]]*2+Table_03[[#This Row],[Web Thickness tw (in)]]*((Table_03[[#This Row],[Depth h (in)]]-2*Table_03[[#This Row],[Flange Thickness tf (in)]]))))/4)/(1-PI()/4))</f>
        <v>0.41042842743000507</v>
      </c>
      <c r="AY202" s="165">
        <f>IF(4/SQRT((Table_03[[#This Row],[Depth h (in)]]-Table_03[[#This Row],[Flange Thickness tf (in)]]*2)/Table_03[[#This Row],[Web Thickness tw (in)]])&lt;0.35,0.35,IF(4/SQRT(Table_03[[#This Row],[Depth h (in)]]/Table_03[[#This Row],[Web Thickness tw (in)]])&gt;0.76,0.76,4/SQRT(Table_03[[#This Row],[Depth h (in)]]/Table_03[[#This Row],[Web Thickness tw (in)]])))</f>
        <v>0.58715532971733264</v>
      </c>
      <c r="AZ202" s="165"/>
    </row>
    <row r="203" spans="1:52" x14ac:dyDescent="0.3">
      <c r="A203" s="188" t="s">
        <v>295</v>
      </c>
      <c r="B203" s="189">
        <v>18.100000000000001</v>
      </c>
      <c r="C203" s="189">
        <v>6.06</v>
      </c>
      <c r="D203" s="189">
        <v>0.36</v>
      </c>
      <c r="E203" s="189">
        <v>0.60499999999999998</v>
      </c>
      <c r="F203" s="190">
        <v>13.5</v>
      </c>
      <c r="G203" s="189">
        <v>46</v>
      </c>
      <c r="H203" s="190">
        <v>712</v>
      </c>
      <c r="I203" s="190">
        <v>22.5</v>
      </c>
      <c r="J203" s="190">
        <f>Table_03[[#This Row],[Width w (in)]]*Table_03[[#This Row],[Flange Thickness tf (in)]]*(Table_03[[#This Row],[Depth h (in)]]-Table_03[[#This Row],[Flange Thickness tf (in)]])+0.25*Table_03[[#This Row],[Web Thickness tw (in)]]*(Table_03[[#This Row],[Depth h (in)]]-2*Table_03[[#This Row],[Flange Thickness tf (in)]])^2</f>
        <v>89.816407499999997</v>
      </c>
      <c r="K203" s="190">
        <f>(Table_03[[#This Row],[Width w (in)]]^2*Table_03[[#This Row],[Flange Thickness tf (in)]])/2+0.25*Table_03[[#This Row],[Web Thickness tw (in)]]^2*(Table_03[[#This Row],[Depth h (in)]]-2*Table_03[[#This Row],[Flange Thickness tf (in)]])</f>
        <v>11.656124999999999</v>
      </c>
      <c r="L203" s="190">
        <v>78.8</v>
      </c>
      <c r="M203" s="190">
        <v>7.4</v>
      </c>
      <c r="N203" s="191">
        <v>50</v>
      </c>
      <c r="O203" s="169">
        <f>SQRT(Table_03[[#This Row],[Static Parameters Moment of Inertia Ix (in4)]]/Table_03[[#This Row],[Sectional Area (in2)]])</f>
        <v>7.2622820614969745</v>
      </c>
      <c r="P203" s="190">
        <f>SQRT(Table_03[[#This Row],[Static Parameters Moment of Inertia Iy (in4)]]/Table_03[[#This Row],[Sectional Area (in2)]])</f>
        <v>1.2909944487358056</v>
      </c>
      <c r="Q203" s="190">
        <f>($B$6*$B$5*12)/Table_03[[#This Row],[ry (in)2]]</f>
        <v>139.07883196230836</v>
      </c>
      <c r="R203" s="190">
        <f>(PI()^2*$B$4)/(Table_03[[#This Row],[KL/ry]]^2)</f>
        <v>14.797068148758775</v>
      </c>
      <c r="S203" s="190">
        <f>IF(Table_03[[#This Row],[Strength (ksi)]]/Table_03[[#This Row],[Fe,y]]&lt;2.25,(0.658^(Table_03[[#This Row],[Strength (ksi)]]/Table_03[[#This Row],[Fe,y]])*Table_03[[#This Row],[Strength (ksi)]]),0.877*Table_03[[#This Row],[Fe,y]])</f>
        <v>12.977028766461446</v>
      </c>
      <c r="T203" s="190">
        <f>Table_03[[#This Row],[Fcr,y]]*Table_03[[#This Row],[Sectional Area (in2)]]</f>
        <v>175.18988834722953</v>
      </c>
      <c r="U203" s="190">
        <f>1.76*Table_03[[#This Row],[ry (in)2]]*SQRT($B$4/Table_03[[#This Row],[Strength (ksi)]])/12</f>
        <v>4.5600519815100879</v>
      </c>
      <c r="V20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13.604927544183637</v>
      </c>
      <c r="W203" s="190">
        <f>Table_03[[#This Row],[Depth h (in)]]-Table_03[[#This Row],[Flange Thickness tf (in)]]</f>
        <v>17.495000000000001</v>
      </c>
      <c r="X203" s="190">
        <f>(Table_03[[#This Row],[Static Parameters Moment of Inertia Iy (in4)]]*Table_03[[#This Row],[ho]]^2)/4</f>
        <v>1721.6720156250003</v>
      </c>
      <c r="Y203" s="190">
        <f>SQRT((SQRT(Table_03[[#This Row],[Static Parameters Moment of Inertia Iy (in4)]]*Table_03[[#This Row],[Cw*]])/Table_03[[#This Row],[Static Parameters Elastic Section Modulus Sx (in3)2]]))</f>
        <v>1.5804112987119672</v>
      </c>
      <c r="Z203" s="190">
        <f>(2*Table_03[[#This Row],[Width w (in)]]*Table_03[[#This Row],[Flange Thickness tf (in)]]^3/3)+((Table_03[[#This Row],[Depth h (in)]]-Table_03[[#This Row],[Flange Thickness tf (in)]]*2)*Table_03[[#This Row],[Web Thickness tw (in)]]^3)/3</f>
        <v>1.157311585</v>
      </c>
      <c r="AA203" s="190">
        <f>Table_03[[#This Row],[Width w (in)]]*0.5/Table_03[[#This Row],[Flange Thickness tf (in)]]</f>
        <v>5.0082644628099171</v>
      </c>
      <c r="AB203" s="190">
        <f>0.38*SQRT($B$4/Table_03[[#This Row],[Strength (ksi)]])</f>
        <v>9.1516118798821449</v>
      </c>
      <c r="AC203" s="190">
        <f>1*SQRT($B$4/Table_03[[#This Row],[Strength (ksi)]])</f>
        <v>24.083189157584592</v>
      </c>
      <c r="AD203" s="190">
        <f>(PI()^2*$B$4/(12*$B$5/Table_03[[#This Row],[rts]])^2)*SQRT(1+0.078*(Table_03[[#This Row],[J*]]/(Table_03[[#This Row],[Static Parameters Elastic Section Modulus Sx (in3)2]]*Table_03[[#This Row],[ho]])*$B$4/(12*$B$5/Table_03[[#This Row],[rts]])^2))</f>
        <v>97.82426759094227</v>
      </c>
      <c r="AE203" s="190">
        <f>0.69*$B$4/Table_03[[#This Row],[b/t]]^2</f>
        <v>797.76059536646744</v>
      </c>
      <c r="AF203" s="192">
        <f>Table_03[[#This Row],[Strength (ksi)]]*Table_03[[#This Row],[Static Parameters Plastic Section Modulus Zx (in3)]]</f>
        <v>4490.8203750000002</v>
      </c>
      <c r="AG203" s="190">
        <f>Table_03[[#This Row],[Mp (k-in)]]-(Table_03[[#This Row],[Mp (k-in)]]-0.7*Table_03[[#This Row],[Strength (ksi)]]*Table_03[[#This Row],[Static Parameters Elastic Section Modulus Sx (in3)2]])*((Table_03[[#This Row],[b/t]]-Table_03[[#This Row],[λpf]])/(Table_03[[#This Row],[λrf]]-Table_03[[#This Row],[λpf]]))</f>
        <v>4971.6588484898639</v>
      </c>
      <c r="AH203" s="193">
        <f>0.9*$B$4*Table_03[[#This Row],[kc]]*Table_03[[#This Row],[Static Parameters Elastic Section Modulus Sx (in3)2]]/Table_03[[#This Row],[b/t]]^2</f>
        <v>46255.584308047153</v>
      </c>
      <c r="AI203" s="194" t="str">
        <f>IF(Table_03[[#This Row],[b/t]]&lt;Table_03[[#This Row],[λpf]],"Compact",IF(AND(Table_03[[#This Row],[b/t]]&gt;Table_03[[#This Row],[λpf]],Table_03[[#This Row],[λrf]]&gt;Table_03[[#This Row],[b/t]]),"Non-Compact","Slender"))</f>
        <v>Compact</v>
      </c>
      <c r="AJ203" s="195">
        <f>IF(Table_03[[#This Row],[Controlling LBx]]="Compact",Table_03[[#This Row],[Mp (k-in)]],IF(Table_03[[#This Row],[Controlling LBx]]="Non-Compact",Table_03[[#This Row],[Mnlb,Non-Compact (k-in)]],IF(Table_03[[#This Row],[Controlling LBx]]="Slender",Table_03[[#This Row],[Mnlb,slender (k-in)]],"ERROR")))</f>
        <v>4490.8203750000002</v>
      </c>
      <c r="AK203" s="192">
        <f>Table_03[[#This Row],[Mp (k-in)]]-(Table_03[[#This Row],[Mp (k-in)]]-0.7*Table_03[[#This Row],[Strength (ksi)]]*Table_03[[#This Row],[Static Parameters Elastic Section Modulus Sx (in3)2]])*(($B$5-Table_03[[#This Row],[Lp (ft)]])/(Table_03[[#This Row],[Lr]]-Table_03[[#This Row],[Lp (ft)]]))</f>
        <v>3999.4267503494657</v>
      </c>
      <c r="AL203" s="196">
        <f>Table_03[[#This Row],[Fcrx]]*Table_03[[#This Row],[Static Parameters Elastic Section Modulus Sx (in3)2]]</f>
        <v>7708.5522861662503</v>
      </c>
      <c r="AM203" s="197" t="str">
        <f>IF($B$5&lt;Table_03[[#This Row],[Lp (ft)]],"Yielding Controls",IF(AND($B$5&gt;Table_03[[#This Row],[Lp (ft)]],Table_03[[#This Row],[Lr]]&gt;$B$5),"Mltb,p Controls","Mltb,r Controls"))</f>
        <v>Mltb,p Controls</v>
      </c>
      <c r="AN203" s="198">
        <f>IF(Table_03[[#This Row],[Controlling LTB]]="Yielding Controls",Table_03[[#This Row],[Mp (k-in)]],IF(Table_03[[#This Row],[Controlling LTB]]="Mltb,p Controls",Table_03[[#This Row],[Mnltbp (k-in)]],IF(Table_03[[#This Row],[Controlling LTB]]="Mltb,r Controls",Table_03[[#This Row],[Mnltbr (k-in)]],"ERROR")))</f>
        <v>3999.4267503494657</v>
      </c>
      <c r="AO203" s="199">
        <f>MIN(Table_03[[#This Row],[Strength (ksi)]]*Table_03[[#This Row],[Static Parameters Plastic Section Modulus Zy (in3)]],1.6*Table_03[[#This Row],[Strength (ksi)]]*Table_03[[#This Row],[Static Parameters Elastic Section Modulus Sy (in3)3]])</f>
        <v>582.80624999999998</v>
      </c>
      <c r="AP203" s="169">
        <f>MIN(Table_03[[#This Row],[Mny (k-in)]],Table_03[[#This Row],[Mny (k-in)]]-(Table_03[[#This Row],[Mny (k-in)]]-0.7*Table_03[[#This Row],[Static Parameters Elastic Section Modulus Sy (in3)3]]*Table_03[[#This Row],[Strength (ksi)]])*((Table_03[[#This Row],[b/t]]-Table_03[[#This Row],[λpf]])/(Table_03[[#This Row],[λrf]]-Table_03[[#This Row],[λpf]])))</f>
        <v>582.80624999999998</v>
      </c>
      <c r="AQ203" s="196">
        <f>MIN(Table_03[[#This Row],[Mny (k-in)]],Table_03[[#This Row],[Fcry]]*Table_03[[#This Row],[Static Parameters Elastic Section Modulus Sy (in3)3]])</f>
        <v>582.80624999999998</v>
      </c>
      <c r="AR203" s="197" t="str">
        <f>IF(Table_03[[#This Row],[b/t]]&lt;Table_03[[#This Row],[λpf]],"Compact",IF(AND(Table_03[[#This Row],[b/t]]&gt;Table_03[[#This Row],[λpf]],Table_03[[#This Row],[λrf]]&gt;Table_03[[#This Row],[b/t]]),"Non-Compact","Slender"))</f>
        <v>Compact</v>
      </c>
      <c r="AS203" s="198">
        <f>IF(Table_03[[#This Row],[Controlling Lby]]="Compact",Table_03[[#This Row],[Mny (k-in)]],IF(Table_03[[#This Row],[Controlling Lby]]="Non-Compact",Table_03[[#This Row],[Mlby,Non-Compact (k-in)]],IF(Table_03[[#This Row],[Controlling Lby]]="Slender",Table_03[[#This Row],[Mlby,Slender (k-in)]],"ERROR")))</f>
        <v>582.80624999999998</v>
      </c>
      <c r="AT203" s="199">
        <f>MIN(Table_03[[#This Row],[LBx]],Table_03[[#This Row],[LTB]],Table_03[[#This Row],[Mp (k-in)]])</f>
        <v>3999.4267503494657</v>
      </c>
      <c r="AU203" s="169">
        <f>Table_03[[#This Row],[Mp (k-in)]]</f>
        <v>4490.8203750000002</v>
      </c>
      <c r="AV203" s="169">
        <f>MIN(Table_03[[#This Row],[LBy]],Table_03[[#This Row],[Mny (k-in)]])</f>
        <v>582.80624999999998</v>
      </c>
      <c r="AW203" s="200">
        <f>Table_03[[#This Row],[Mny (k-in)]]</f>
        <v>582.80624999999998</v>
      </c>
      <c r="AX203" s="165">
        <f>SQRT(((Table_03[[#This Row],[Sectional Area (in2)]]-(Table_03[[#This Row],[Flange Thickness tf (in)]]*Table_03[[#This Row],[Width w (in)]]*2+Table_03[[#This Row],[Web Thickness tw (in)]]*((Table_03[[#This Row],[Depth h (in)]]-2*Table_03[[#This Row],[Flange Thickness tf (in)]]))))/4)/(1-PI()/4))</f>
        <v>0.31835590770013844</v>
      </c>
      <c r="AY203" s="165">
        <f>IF(4/SQRT((Table_03[[#This Row],[Depth h (in)]]-Table_03[[#This Row],[Flange Thickness tf (in)]]*2)/Table_03[[#This Row],[Web Thickness tw (in)]])&lt;0.35,0.35,IF(4/SQRT(Table_03[[#This Row],[Depth h (in)]]/Table_03[[#This Row],[Web Thickness tw (in)]])&gt;0.76,0.76,4/SQRT(Table_03[[#This Row],[Depth h (in)]]/Table_03[[#This Row],[Web Thickness tw (in)]])))</f>
        <v>0.56412059366672207</v>
      </c>
      <c r="AZ203" s="165"/>
    </row>
    <row r="204" spans="1:52" ht="14.4" thickBot="1" x14ac:dyDescent="0.35">
      <c r="A204" s="201" t="s">
        <v>296</v>
      </c>
      <c r="B204" s="202">
        <v>18.2</v>
      </c>
      <c r="C204" s="202">
        <v>11.04</v>
      </c>
      <c r="D204" s="202">
        <v>0.42499999999999999</v>
      </c>
      <c r="E204" s="202">
        <v>0.68</v>
      </c>
      <c r="F204" s="203">
        <v>22.3</v>
      </c>
      <c r="G204" s="204">
        <v>76</v>
      </c>
      <c r="H204" s="203">
        <v>1330</v>
      </c>
      <c r="I204" s="203">
        <v>152</v>
      </c>
      <c r="J204" s="203">
        <f>Table_03[[#This Row],[Width w (in)]]*Table_03[[#This Row],[Flange Thickness tf (in)]]*(Table_03[[#This Row],[Depth h (in)]]-Table_03[[#This Row],[Flange Thickness tf (in)]])+0.25*Table_03[[#This Row],[Web Thickness tw (in)]]*(Table_03[[#This Row],[Depth h (in)]]-2*Table_03[[#This Row],[Flange Thickness tf (in)]])^2</f>
        <v>161.65711399999998</v>
      </c>
      <c r="K204" s="203">
        <f>(Table_03[[#This Row],[Width w (in)]]^2*Table_03[[#This Row],[Flange Thickness tf (in)]])/2+0.25*Table_03[[#This Row],[Web Thickness tw (in)]]^2*(Table_03[[#This Row],[Depth h (in)]]-2*Table_03[[#This Row],[Flange Thickness tf (in)]])</f>
        <v>42.200175250000001</v>
      </c>
      <c r="L204" s="203">
        <v>146</v>
      </c>
      <c r="M204" s="203">
        <v>27.6</v>
      </c>
      <c r="N204" s="205">
        <v>50</v>
      </c>
      <c r="O204" s="206">
        <f>SQRT(Table_03[[#This Row],[Static Parameters Moment of Inertia Ix (in4)]]/Table_03[[#This Row],[Sectional Area (in2)]])</f>
        <v>7.7227751233207069</v>
      </c>
      <c r="P204" s="203">
        <f>SQRT(Table_03[[#This Row],[Static Parameters Moment of Inertia Iy (in4)]]/Table_03[[#This Row],[Sectional Area (in2)]])</f>
        <v>2.6107745015144159</v>
      </c>
      <c r="Q204" s="203">
        <f>($B$6*$B$5*12)/Table_03[[#This Row],[ry (in)2]]</f>
        <v>68.772695572080067</v>
      </c>
      <c r="R204" s="203">
        <f>(PI()^2*$B$4)/(Table_03[[#This Row],[KL/ry]]^2)</f>
        <v>60.515363908825123</v>
      </c>
      <c r="S204" s="203">
        <f>IF(Table_03[[#This Row],[Strength (ksi)]]/Table_03[[#This Row],[Fe,y]]&lt;2.25,(0.658^(Table_03[[#This Row],[Strength (ksi)]]/Table_03[[#This Row],[Fe,y]])*Table_03[[#This Row],[Strength (ksi)]]),0.877*Table_03[[#This Row],[Fe,y]])</f>
        <v>35.381937443233753</v>
      </c>
      <c r="T204" s="203">
        <f>Table_03[[#This Row],[Fcr,y]]*Table_03[[#This Row],[Sectional Area (in2)]]</f>
        <v>789.01720498411271</v>
      </c>
      <c r="U204" s="203">
        <f>1.76*Table_03[[#This Row],[ry (in)2]]*SQRT($B$4/Table_03[[#This Row],[Strength (ksi)]])/12</f>
        <v>9.2217805046063095</v>
      </c>
      <c r="V20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26.939617421911464</v>
      </c>
      <c r="W204" s="203">
        <f>Table_03[[#This Row],[Depth h (in)]]-Table_03[[#This Row],[Flange Thickness tf (in)]]</f>
        <v>17.52</v>
      </c>
      <c r="X204" s="203">
        <f>(Table_03[[#This Row],[Static Parameters Moment of Inertia Iy (in4)]]*Table_03[[#This Row],[ho]]^2)/4</f>
        <v>11664.1152</v>
      </c>
      <c r="Y204" s="203">
        <f>SQRT((SQRT(Table_03[[#This Row],[Static Parameters Moment of Inertia Iy (in4)]]*Table_03[[#This Row],[Cw*]])/Table_03[[#This Row],[Static Parameters Elastic Section Modulus Sx (in3)2]]))</f>
        <v>3.0199337741082997</v>
      </c>
      <c r="Z204" s="203">
        <f>(2*Table_03[[#This Row],[Width w (in)]]*Table_03[[#This Row],[Flange Thickness tf (in)]]^3/3)+((Table_03[[#This Row],[Depth h (in)]]-Table_03[[#This Row],[Flange Thickness tf (in)]]*2)*Table_03[[#This Row],[Web Thickness tw (in)]]^3)/3</f>
        <v>2.745130561666667</v>
      </c>
      <c r="AA204" s="203">
        <f>Table_03[[#This Row],[Width w (in)]]*0.5/Table_03[[#This Row],[Flange Thickness tf (in)]]</f>
        <v>8.117647058823529</v>
      </c>
      <c r="AB204" s="203">
        <f>0.38*SQRT($B$4/Table_03[[#This Row],[Strength (ksi)]])</f>
        <v>9.1516118798821449</v>
      </c>
      <c r="AC204" s="203">
        <f>1*SQRT($B$4/Table_03[[#This Row],[Strength (ksi)]])</f>
        <v>24.083189157584592</v>
      </c>
      <c r="AD204" s="203">
        <f>(PI()^2*$B$4/(12*$B$5/Table_03[[#This Row],[rts]])^2)*SQRT(1+0.078*(Table_03[[#This Row],[J*]]/(Table_03[[#This Row],[Static Parameters Elastic Section Modulus Sx (in3)2]]*Table_03[[#This Row],[ho]])*$B$4/(12*$B$5/Table_03[[#This Row],[rts]])^2))</f>
        <v>357.61604373435</v>
      </c>
      <c r="AE204" s="203">
        <f>0.69*$B$4/Table_03[[#This Row],[b/t]]^2</f>
        <v>303.65942028985512</v>
      </c>
      <c r="AF204" s="207">
        <f>Table_03[[#This Row],[Strength (ksi)]]*Table_03[[#This Row],[Static Parameters Plastic Section Modulus Zx (in3)]]</f>
        <v>8082.8556999999992</v>
      </c>
      <c r="AG204" s="203">
        <f>Table_03[[#This Row],[Mp (k-in)]]-(Table_03[[#This Row],[Mp (k-in)]]-0.7*Table_03[[#This Row],[Strength (ksi)]]*Table_03[[#This Row],[Static Parameters Elastic Section Modulus Sx (in3)2]])*((Table_03[[#This Row],[b/t]]-Table_03[[#This Row],[λpf]])/(Table_03[[#This Row],[λrf]]-Table_03[[#This Row],[λpf]]))</f>
        <v>8288.7166184224479</v>
      </c>
      <c r="AH204" s="208">
        <f>0.9*$B$4*Table_03[[#This Row],[kc]]*Table_03[[#This Row],[Static Parameters Elastic Section Modulus Sx (in3)2]]/Table_03[[#This Row],[b/t]]^2</f>
        <v>35346.937781303655</v>
      </c>
      <c r="AI204" s="209" t="str">
        <f>IF(Table_03[[#This Row],[b/t]]&lt;Table_03[[#This Row],[λpf]],"Compact",IF(AND(Table_03[[#This Row],[b/t]]&gt;Table_03[[#This Row],[λpf]],Table_03[[#This Row],[λrf]]&gt;Table_03[[#This Row],[b/t]]),"Non-Compact","Slender"))</f>
        <v>Compact</v>
      </c>
      <c r="AJ204" s="210">
        <f>IF(Table_03[[#This Row],[Controlling LBx]]="Compact",Table_03[[#This Row],[Mp (k-in)]],IF(Table_03[[#This Row],[Controlling LBx]]="Non-Compact",Table_03[[#This Row],[Mnlb,Non-Compact (k-in)]],IF(Table_03[[#This Row],[Controlling LBx]]="Slender",Table_03[[#This Row],[Mnlb,slender (k-in)]],"ERROR")))</f>
        <v>8082.8556999999992</v>
      </c>
      <c r="AK204" s="207">
        <f>Table_03[[#This Row],[Mp (k-in)]]-(Table_03[[#This Row],[Mp (k-in)]]-0.7*Table_03[[#This Row],[Strength (ksi)]]*Table_03[[#This Row],[Static Parameters Elastic Section Modulus Sx (in3)2]])*(($B$5-Table_03[[#This Row],[Lp (ft)]])/(Table_03[[#This Row],[Lr]]-Table_03[[#This Row],[Lp (ft)]]))</f>
        <v>8434.6721155060877</v>
      </c>
      <c r="AL204" s="211">
        <f>Table_03[[#This Row],[Fcrx]]*Table_03[[#This Row],[Static Parameters Elastic Section Modulus Sx (in3)2]]</f>
        <v>52211.942385215101</v>
      </c>
      <c r="AM204" s="212" t="str">
        <f>IF($B$5&lt;Table_03[[#This Row],[Lp (ft)]],"Yielding Controls",IF(AND($B$5&gt;Table_03[[#This Row],[Lp (ft)]],Table_03[[#This Row],[Lr]]&gt;$B$5),"Mltb,p Controls","Mltb,r Controls"))</f>
        <v>Yielding Controls</v>
      </c>
      <c r="AN204" s="213">
        <f>IF(Table_03[[#This Row],[Controlling LTB]]="Yielding Controls",Table_03[[#This Row],[Mp (k-in)]],IF(Table_03[[#This Row],[Controlling LTB]]="Mltb,p Controls",Table_03[[#This Row],[Mnltbp (k-in)]],IF(Table_03[[#This Row],[Controlling LTB]]="Mltb,r Controls",Table_03[[#This Row],[Mnltbr (k-in)]],"ERROR")))</f>
        <v>8082.8556999999992</v>
      </c>
      <c r="AO204" s="214">
        <f>MIN(Table_03[[#This Row],[Strength (ksi)]]*Table_03[[#This Row],[Static Parameters Plastic Section Modulus Zy (in3)]],1.6*Table_03[[#This Row],[Strength (ksi)]]*Table_03[[#This Row],[Static Parameters Elastic Section Modulus Sy (in3)3]])</f>
        <v>2110.0087625000001</v>
      </c>
      <c r="AP204" s="206">
        <f>MIN(Table_03[[#This Row],[Mny (k-in)]],Table_03[[#This Row],[Mny (k-in)]]-(Table_03[[#This Row],[Mny (k-in)]]-0.7*Table_03[[#This Row],[Static Parameters Elastic Section Modulus Sy (in3)3]]*Table_03[[#This Row],[Strength (ksi)]])*((Table_03[[#This Row],[b/t]]-Table_03[[#This Row],[λpf]])/(Table_03[[#This Row],[λrf]]-Table_03[[#This Row],[λpf]])))</f>
        <v>2110.0087625000001</v>
      </c>
      <c r="AQ204" s="211">
        <f>MIN(Table_03[[#This Row],[Mny (k-in)]],Table_03[[#This Row],[Fcry]]*Table_03[[#This Row],[Static Parameters Elastic Section Modulus Sy (in3)3]])</f>
        <v>2110.0087625000001</v>
      </c>
      <c r="AR204" s="212" t="str">
        <f>IF(Table_03[[#This Row],[b/t]]&lt;Table_03[[#This Row],[λpf]],"Compact",IF(AND(Table_03[[#This Row],[b/t]]&gt;Table_03[[#This Row],[λpf]],Table_03[[#This Row],[λrf]]&gt;Table_03[[#This Row],[b/t]]),"Non-Compact","Slender"))</f>
        <v>Compact</v>
      </c>
      <c r="AS204" s="213">
        <f>IF(Table_03[[#This Row],[Controlling Lby]]="Compact",Table_03[[#This Row],[Mny (k-in)]],IF(Table_03[[#This Row],[Controlling Lby]]="Non-Compact",Table_03[[#This Row],[Mlby,Non-Compact (k-in)]],IF(Table_03[[#This Row],[Controlling Lby]]="Slender",Table_03[[#This Row],[Mlby,Slender (k-in)]],"ERROR")))</f>
        <v>2110.0087625000001</v>
      </c>
      <c r="AT204" s="214">
        <f>MIN(Table_03[[#This Row],[LBx]],Table_03[[#This Row],[LTB]],Table_03[[#This Row],[Mp (k-in)]])</f>
        <v>8082.8556999999992</v>
      </c>
      <c r="AU204" s="206">
        <f>Table_03[[#This Row],[Mp (k-in)]]</f>
        <v>8082.8556999999992</v>
      </c>
      <c r="AV204" s="206">
        <f>MIN(Table_03[[#This Row],[LBy]],Table_03[[#This Row],[Mny (k-in)]])</f>
        <v>2110.0087625000001</v>
      </c>
      <c r="AW204" s="215">
        <f>Table_03[[#This Row],[Mny (k-in)]]</f>
        <v>2110.0087625000001</v>
      </c>
      <c r="AX204" s="165">
        <f>SQRT(((Table_03[[#This Row],[Sectional Area (in2)]]-(Table_03[[#This Row],[Flange Thickness tf (in)]]*Table_03[[#This Row],[Width w (in)]]*2+Table_03[[#This Row],[Web Thickness tw (in)]]*((Table_03[[#This Row],[Depth h (in)]]-2*Table_03[[#This Row],[Flange Thickness tf (in)]]))))/4)/(1-PI()/4))</f>
        <v>0.38705597085869509</v>
      </c>
      <c r="AY204" s="165">
        <f>IF(4/SQRT((Table_03[[#This Row],[Depth h (in)]]-Table_03[[#This Row],[Flange Thickness tf (in)]]*2)/Table_03[[#This Row],[Web Thickness tw (in)]])&lt;0.35,0.35,IF(4/SQRT(Table_03[[#This Row],[Depth h (in)]]/Table_03[[#This Row],[Web Thickness tw (in)]])&gt;0.76,0.76,4/SQRT(Table_03[[#This Row],[Depth h (in)]]/Table_03[[#This Row],[Web Thickness tw (in)]])))</f>
        <v>0.61124984550212658</v>
      </c>
      <c r="AZ204" s="165"/>
    </row>
    <row r="205" spans="1:52" x14ac:dyDescent="0.3">
      <c r="A205" s="179" t="s">
        <v>297</v>
      </c>
      <c r="B205" s="180">
        <v>18.2</v>
      </c>
      <c r="C205" s="180">
        <v>7.56</v>
      </c>
      <c r="D205" s="180">
        <v>0.41499999999999998</v>
      </c>
      <c r="E205" s="180">
        <v>0.69499999999999995</v>
      </c>
      <c r="F205" s="181">
        <v>17.600000000000001</v>
      </c>
      <c r="G205" s="180">
        <v>60</v>
      </c>
      <c r="H205" s="180">
        <v>984</v>
      </c>
      <c r="I205" s="180">
        <v>50.1</v>
      </c>
      <c r="J205" s="181">
        <f>Table_03[[#This Row],[Width w (in)]]*Table_03[[#This Row],[Flange Thickness tf (in)]]*(Table_03[[#This Row],[Depth h (in)]]-Table_03[[#This Row],[Flange Thickness tf (in)]])+0.25*Table_03[[#This Row],[Web Thickness tw (in)]]*(Table_03[[#This Row],[Depth h (in)]]-2*Table_03[[#This Row],[Flange Thickness tf (in)]])^2</f>
        <v>121.29204137499997</v>
      </c>
      <c r="K205" s="181">
        <f>(Table_03[[#This Row],[Width w (in)]]^2*Table_03[[#This Row],[Flange Thickness tf (in)]])/2+0.25*Table_03[[#This Row],[Web Thickness tw (in)]]^2*(Table_03[[#This Row],[Depth h (in)]]-2*Table_03[[#This Row],[Flange Thickness tf (in)]])</f>
        <v>20.584651562499996</v>
      </c>
      <c r="L205" s="181">
        <v>108</v>
      </c>
      <c r="M205" s="181">
        <v>13.3</v>
      </c>
      <c r="N205" s="182">
        <v>50</v>
      </c>
      <c r="O205" s="181">
        <f>SQRT(Table_03[[#This Row],[Static Parameters Moment of Inertia Ix (in4)]]/Table_03[[#This Row],[Sectional Area (in2)]])</f>
        <v>7.4772381872647946</v>
      </c>
      <c r="P205" s="181">
        <f>SQRT(Table_03[[#This Row],[Static Parameters Moment of Inertia Iy (in4)]]/Table_03[[#This Row],[Sectional Area (in2)]])</f>
        <v>1.6871843139061331</v>
      </c>
      <c r="Q205" s="181">
        <f>($B$6*$B$5*12)/Table_03[[#This Row],[ry (in)2]]</f>
        <v>106.41990831713559</v>
      </c>
      <c r="R205" s="181">
        <f>(PI()^2*$B$4)/(Table_03[[#This Row],[KL/ry]]^2)</f>
        <v>25.27271980407323</v>
      </c>
      <c r="S205" s="181">
        <f>IF(Table_03[[#This Row],[Strength (ksi)]]/Table_03[[#This Row],[Fe,y]]&lt;2.25,(0.658^(Table_03[[#This Row],[Strength (ksi)]]/Table_03[[#This Row],[Fe,y]])*Table_03[[#This Row],[Strength (ksi)]]),0.877*Table_03[[#This Row],[Fe,y]])</f>
        <v>21.844638768376328</v>
      </c>
      <c r="T205" s="181">
        <f>Table_03[[#This Row],[Fcr,y]]*Table_03[[#This Row],[Sectional Area (in2)]]</f>
        <v>384.46564232342342</v>
      </c>
      <c r="U205" s="181">
        <f>1.76*Table_03[[#This Row],[ry (in)2]]*SQRT($B$4/Table_03[[#This Row],[Strength (ksi)]])/12</f>
        <v>5.9594742497416107</v>
      </c>
      <c r="V20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18.066061699883683</v>
      </c>
      <c r="W205" s="181">
        <f>Table_03[[#This Row],[Depth h (in)]]-Table_03[[#This Row],[Flange Thickness tf (in)]]</f>
        <v>17.504999999999999</v>
      </c>
      <c r="X205" s="181">
        <f>(Table_03[[#This Row],[Static Parameters Moment of Inertia Iy (in4)]]*Table_03[[#This Row],[ho]]^2)/4</f>
        <v>3837.9734381249996</v>
      </c>
      <c r="Y205" s="181">
        <f>SQRT((SQRT(Table_03[[#This Row],[Static Parameters Moment of Inertia Iy (in4)]]*Table_03[[#This Row],[Cw*]])/Table_03[[#This Row],[Static Parameters Elastic Section Modulus Sx (in3)2]]))</f>
        <v>2.014990694767596</v>
      </c>
      <c r="Z205" s="181">
        <f>(2*Table_03[[#This Row],[Width w (in)]]*Table_03[[#This Row],[Flange Thickness tf (in)]]^3/3)+((Table_03[[#This Row],[Depth h (in)]]-Table_03[[#This Row],[Flange Thickness tf (in)]]*2)*Table_03[[#This Row],[Web Thickness tw (in)]]^3)/3</f>
        <v>2.0924291145833331</v>
      </c>
      <c r="AA205" s="181">
        <f>Table_03[[#This Row],[Width w (in)]]*0.5/Table_03[[#This Row],[Flange Thickness tf (in)]]</f>
        <v>5.4388489208633093</v>
      </c>
      <c r="AB205" s="181">
        <f>0.38*SQRT($B$4/Table_03[[#This Row],[Strength (ksi)]])</f>
        <v>9.1516118798821449</v>
      </c>
      <c r="AC205" s="181">
        <f>1*SQRT($B$4/Table_03[[#This Row],[Strength (ksi)]])</f>
        <v>24.083189157584592</v>
      </c>
      <c r="AD205" s="181">
        <f>(PI()^2*$B$4/(12*$B$5/Table_03[[#This Row],[rts]])^2)*SQRT(1+0.078*(Table_03[[#This Row],[J*]]/(Table_03[[#This Row],[Static Parameters Elastic Section Modulus Sx (in3)2]]*Table_03[[#This Row],[ho]])*$B$4/(12*$B$5/Table_03[[#This Row],[rts]])^2))</f>
        <v>159.07917770053047</v>
      </c>
      <c r="AE205" s="181">
        <f>0.69*$B$4/Table_03[[#This Row],[b/t]]^2</f>
        <v>676.44594566221554</v>
      </c>
      <c r="AF205" s="183">
        <f>Table_03[[#This Row],[Strength (ksi)]]*Table_03[[#This Row],[Static Parameters Plastic Section Modulus Zx (in3)]]</f>
        <v>6064.6020687499986</v>
      </c>
      <c r="AG205" s="181">
        <f>Table_03[[#This Row],[Mp (k-in)]]-(Table_03[[#This Row],[Mp (k-in)]]-0.7*Table_03[[#This Row],[Strength (ksi)]]*Table_03[[#This Row],[Static Parameters Elastic Section Modulus Sx (in3)2]])*((Table_03[[#This Row],[b/t]]-Table_03[[#This Row],[λpf]])/(Table_03[[#This Row],[λrf]]-Table_03[[#This Row],[λpf]]))</f>
        <v>6632.6723924136195</v>
      </c>
      <c r="AH205" s="184">
        <f>0.9*$B$4*Table_03[[#This Row],[kc]]*Table_03[[#This Row],[Static Parameters Elastic Section Modulus Sx (in3)2]]/Table_03[[#This Row],[b/t]]^2</f>
        <v>57557.062099692899</v>
      </c>
      <c r="AI205" s="185" t="str">
        <f>IF(Table_03[[#This Row],[b/t]]&lt;Table_03[[#This Row],[λpf]],"Compact",IF(AND(Table_03[[#This Row],[b/t]]&gt;Table_03[[#This Row],[λpf]],Table_03[[#This Row],[λrf]]&gt;Table_03[[#This Row],[b/t]]),"Non-Compact","Slender"))</f>
        <v>Compact</v>
      </c>
      <c r="AJ205" s="186">
        <f>IF(Table_03[[#This Row],[Controlling LBx]]="Compact",Table_03[[#This Row],[Mp (k-in)]],IF(Table_03[[#This Row],[Controlling LBx]]="Non-Compact",Table_03[[#This Row],[Mnlb,Non-Compact (k-in)]],IF(Table_03[[#This Row],[Controlling LBx]]="Slender",Table_03[[#This Row],[Mnlb,slender (k-in)]],"ERROR")))</f>
        <v>6064.6020687499986</v>
      </c>
      <c r="AK205" s="183">
        <f>Table_03[[#This Row],[Mp (k-in)]]-(Table_03[[#This Row],[Mp (k-in)]]-0.7*Table_03[[#This Row],[Strength (ksi)]]*Table_03[[#This Row],[Static Parameters Elastic Section Modulus Sx (in3)2]])*(($B$5-Table_03[[#This Row],[Lp (ft)]])/(Table_03[[#This Row],[Lr]]-Table_03[[#This Row],[Lp (ft)]]))</f>
        <v>5844.6587898377848</v>
      </c>
      <c r="AL205" s="184">
        <f>Table_03[[#This Row],[Fcrx]]*Table_03[[#This Row],[Static Parameters Elastic Section Modulus Sx (in3)2]]</f>
        <v>17180.55119165729</v>
      </c>
      <c r="AM205" s="185" t="str">
        <f>IF($B$5&lt;Table_03[[#This Row],[Lp (ft)]],"Yielding Controls",IF(AND($B$5&gt;Table_03[[#This Row],[Lp (ft)]],Table_03[[#This Row],[Lr]]&gt;$B$5),"Mltb,p Controls","Mltb,r Controls"))</f>
        <v>Mltb,p Controls</v>
      </c>
      <c r="AN205" s="186">
        <f>IF(Table_03[[#This Row],[Controlling LTB]]="Yielding Controls",Table_03[[#This Row],[Mp (k-in)]],IF(Table_03[[#This Row],[Controlling LTB]]="Mltb,p Controls",Table_03[[#This Row],[Mnltbp (k-in)]],IF(Table_03[[#This Row],[Controlling LTB]]="Mltb,r Controls",Table_03[[#This Row],[Mnltbr (k-in)]],"ERROR")))</f>
        <v>5844.6587898377848</v>
      </c>
      <c r="AO205" s="183">
        <f>MIN(Table_03[[#This Row],[Strength (ksi)]]*Table_03[[#This Row],[Static Parameters Plastic Section Modulus Zy (in3)]],1.6*Table_03[[#This Row],[Strength (ksi)]]*Table_03[[#This Row],[Static Parameters Elastic Section Modulus Sy (in3)3]])</f>
        <v>1029.2325781249997</v>
      </c>
      <c r="AP205" s="181">
        <f>MIN(Table_03[[#This Row],[Mny (k-in)]],Table_03[[#This Row],[Mny (k-in)]]-(Table_03[[#This Row],[Mny (k-in)]]-0.7*Table_03[[#This Row],[Static Parameters Elastic Section Modulus Sy (in3)3]]*Table_03[[#This Row],[Strength (ksi)]])*((Table_03[[#This Row],[b/t]]-Table_03[[#This Row],[λpf]])/(Table_03[[#This Row],[λrf]]-Table_03[[#This Row],[λpf]])))</f>
        <v>1029.2325781249997</v>
      </c>
      <c r="AQ205" s="184">
        <f>MIN(Table_03[[#This Row],[Mny (k-in)]],Table_03[[#This Row],[Fcry]]*Table_03[[#This Row],[Static Parameters Elastic Section Modulus Sy (in3)3]])</f>
        <v>1029.2325781249997</v>
      </c>
      <c r="AR205" s="185" t="str">
        <f>IF(Table_03[[#This Row],[b/t]]&lt;Table_03[[#This Row],[λpf]],"Compact",IF(AND(Table_03[[#This Row],[b/t]]&gt;Table_03[[#This Row],[λpf]],Table_03[[#This Row],[λrf]]&gt;Table_03[[#This Row],[b/t]]),"Non-Compact","Slender"))</f>
        <v>Compact</v>
      </c>
      <c r="AS205" s="186">
        <f>IF(Table_03[[#This Row],[Controlling Lby]]="Compact",Table_03[[#This Row],[Mny (k-in)]],IF(Table_03[[#This Row],[Controlling Lby]]="Non-Compact",Table_03[[#This Row],[Mlby,Non-Compact (k-in)]],IF(Table_03[[#This Row],[Controlling Lby]]="Slender",Table_03[[#This Row],[Mlby,Slender (k-in)]],"ERROR")))</f>
        <v>1029.2325781249997</v>
      </c>
      <c r="AT205" s="183">
        <f>MIN(Table_03[[#This Row],[LBx]],Table_03[[#This Row],[LTB]],Table_03[[#This Row],[Mp (k-in)]])</f>
        <v>5844.6587898377848</v>
      </c>
      <c r="AU205" s="181">
        <f>Table_03[[#This Row],[Mp (k-in)]]</f>
        <v>6064.6020687499986</v>
      </c>
      <c r="AV205" s="181">
        <f>MIN(Table_03[[#This Row],[LBy]],Table_03[[#This Row],[Mny (k-in)]])</f>
        <v>1029.2325781249997</v>
      </c>
      <c r="AW205" s="187">
        <f>Table_03[[#This Row],[Mny (k-in)]]</f>
        <v>1029.2325781249997</v>
      </c>
      <c r="AX205" s="165">
        <f>SQRT(((Table_03[[#This Row],[Sectional Area (in2)]]-(Table_03[[#This Row],[Flange Thickness tf (in)]]*Table_03[[#This Row],[Width w (in)]]*2+Table_03[[#This Row],[Web Thickness tw (in)]]*((Table_03[[#This Row],[Depth h (in)]]-2*Table_03[[#This Row],[Flange Thickness tf (in)]]))))/4)/(1-PI()/4))</f>
        <v>0.36673322343779075</v>
      </c>
      <c r="AY205" s="165">
        <f>IF(4/SQRT((Table_03[[#This Row],[Depth h (in)]]-Table_03[[#This Row],[Flange Thickness tf (in)]]*2)/Table_03[[#This Row],[Web Thickness tw (in)]])&lt;0.35,0.35,IF(4/SQRT(Table_03[[#This Row],[Depth h (in)]]/Table_03[[#This Row],[Web Thickness tw (in)]])&gt;0.76,0.76,4/SQRT(Table_03[[#This Row],[Depth h (in)]]/Table_03[[#This Row],[Web Thickness tw (in)]])))</f>
        <v>0.6040158647214201</v>
      </c>
      <c r="AZ205" s="165"/>
    </row>
    <row r="206" spans="1:52" x14ac:dyDescent="0.3">
      <c r="A206" s="188" t="s">
        <v>298</v>
      </c>
      <c r="B206" s="189">
        <v>18.399999999999999</v>
      </c>
      <c r="C206" s="189">
        <v>11.09</v>
      </c>
      <c r="D206" s="189">
        <v>0.48</v>
      </c>
      <c r="E206" s="189">
        <v>0.77</v>
      </c>
      <c r="F206" s="190">
        <v>25.3</v>
      </c>
      <c r="G206" s="189">
        <v>86</v>
      </c>
      <c r="H206" s="190">
        <v>1530</v>
      </c>
      <c r="I206" s="190">
        <v>175</v>
      </c>
      <c r="J206" s="190">
        <f>Table_03[[#This Row],[Width w (in)]]*Table_03[[#This Row],[Flange Thickness tf (in)]]*(Table_03[[#This Row],[Depth h (in)]]-Table_03[[#This Row],[Flange Thickness tf (in)]])+0.25*Table_03[[#This Row],[Web Thickness tw (in)]]*(Table_03[[#This Row],[Depth h (in)]]-2*Table_03[[#This Row],[Flange Thickness tf (in)]])^2</f>
        <v>184.65901100000002</v>
      </c>
      <c r="K206" s="190">
        <f>(Table_03[[#This Row],[Width w (in)]]^2*Table_03[[#This Row],[Flange Thickness tf (in)]])/2+0.25*Table_03[[#This Row],[Web Thickness tw (in)]]^2*(Table_03[[#This Row],[Depth h (in)]]-2*Table_03[[#This Row],[Flange Thickness tf (in)]])</f>
        <v>48.321554500000005</v>
      </c>
      <c r="L206" s="190">
        <v>166</v>
      </c>
      <c r="M206" s="190">
        <v>31.6</v>
      </c>
      <c r="N206" s="191">
        <v>50</v>
      </c>
      <c r="O206" s="169">
        <f>SQRT(Table_03[[#This Row],[Static Parameters Moment of Inertia Ix (in4)]]/Table_03[[#This Row],[Sectional Area (in2)]])</f>
        <v>7.7765228926812311</v>
      </c>
      <c r="P206" s="190">
        <f>SQRT(Table_03[[#This Row],[Static Parameters Moment of Inertia Iy (in4)]]/Table_03[[#This Row],[Sectional Area (in2)]])</f>
        <v>2.6300182599044497</v>
      </c>
      <c r="Q206" s="190">
        <f>($B$6*$B$5*12)/Table_03[[#This Row],[ry (in)2]]</f>
        <v>68.269487986947738</v>
      </c>
      <c r="R206" s="190">
        <f>(PI()^2*$B$4)/(Table_03[[#This Row],[KL/ry]]^2)</f>
        <v>61.410757139117443</v>
      </c>
      <c r="S206" s="190">
        <f>IF(Table_03[[#This Row],[Strength (ksi)]]/Table_03[[#This Row],[Fe,y]]&lt;2.25,(0.658^(Table_03[[#This Row],[Strength (ksi)]]/Table_03[[#This Row],[Fe,y]])*Table_03[[#This Row],[Strength (ksi)]]),0.877*Table_03[[#This Row],[Fe,y]])</f>
        <v>35.560791333237667</v>
      </c>
      <c r="T206" s="190">
        <f>Table_03[[#This Row],[Fcr,y]]*Table_03[[#This Row],[Sectional Area (in2)]]</f>
        <v>899.68802073091297</v>
      </c>
      <c r="U206" s="190">
        <f>1.76*Table_03[[#This Row],[ry (in)2]]*SQRT($B$4/Table_03[[#This Row],[Strength (ksi)]])/12</f>
        <v>9.289753328706448</v>
      </c>
      <c r="V20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28.401016876193207</v>
      </c>
      <c r="W206" s="190">
        <f>Table_03[[#This Row],[Depth h (in)]]-Table_03[[#This Row],[Flange Thickness tf (in)]]</f>
        <v>17.63</v>
      </c>
      <c r="X206" s="190">
        <f>(Table_03[[#This Row],[Static Parameters Moment of Inertia Iy (in4)]]*Table_03[[#This Row],[ho]]^2)/4</f>
        <v>13598.239374999999</v>
      </c>
      <c r="Y206" s="190">
        <f>SQRT((SQRT(Table_03[[#This Row],[Static Parameters Moment of Inertia Iy (in4)]]*Table_03[[#This Row],[Cw*]])/Table_03[[#This Row],[Static Parameters Elastic Section Modulus Sx (in3)2]]))</f>
        <v>3.0484293803116036</v>
      </c>
      <c r="Z206" s="190">
        <f>(2*Table_03[[#This Row],[Width w (in)]]*Table_03[[#This Row],[Flange Thickness tf (in)]]^3/3)+((Table_03[[#This Row],[Depth h (in)]]-Table_03[[#This Row],[Flange Thickness tf (in)]]*2)*Table_03[[#This Row],[Web Thickness tw (in)]]^3)/3</f>
        <v>3.9968276866666663</v>
      </c>
      <c r="AA206" s="190">
        <f>Table_03[[#This Row],[Width w (in)]]*0.5/Table_03[[#This Row],[Flange Thickness tf (in)]]</f>
        <v>7.2012987012987013</v>
      </c>
      <c r="AB206" s="190">
        <f>0.38*SQRT($B$4/Table_03[[#This Row],[Strength (ksi)]])</f>
        <v>9.1516118798821449</v>
      </c>
      <c r="AC206" s="190">
        <f>1*SQRT($B$4/Table_03[[#This Row],[Strength (ksi)]])</f>
        <v>24.083189157584592</v>
      </c>
      <c r="AD206" s="190">
        <f>(PI()^2*$B$4/(12*$B$5/Table_03[[#This Row],[rts]])^2)*SQRT(1+0.078*(Table_03[[#This Row],[J*]]/(Table_03[[#This Row],[Static Parameters Elastic Section Modulus Sx (in3)2]]*Table_03[[#This Row],[ho]])*$B$4/(12*$B$5/Table_03[[#This Row],[rts]])^2))</f>
        <v>364.55987913809543</v>
      </c>
      <c r="AE206" s="190">
        <f>0.69*$B$4/Table_03[[#This Row],[b/t]]^2</f>
        <v>385.85616006751872</v>
      </c>
      <c r="AF206" s="192">
        <f>Table_03[[#This Row],[Strength (ksi)]]*Table_03[[#This Row],[Static Parameters Plastic Section Modulus Zx (in3)]]</f>
        <v>9232.9505500000014</v>
      </c>
      <c r="AG206" s="190">
        <f>Table_03[[#This Row],[Mp (k-in)]]-(Table_03[[#This Row],[Mp (k-in)]]-0.7*Table_03[[#This Row],[Strength (ksi)]]*Table_03[[#This Row],[Static Parameters Elastic Section Modulus Sx (in3)2]])*((Table_03[[#This Row],[b/t]]-Table_03[[#This Row],[λpf]])/(Table_03[[#This Row],[λrf]]-Table_03[[#This Row],[λpf]]))</f>
        <v>9680.0450158521489</v>
      </c>
      <c r="AH206" s="193">
        <f>0.9*$B$4*Table_03[[#This Row],[kc]]*Table_03[[#This Row],[Static Parameters Elastic Section Modulus Sx (in3)2]]/Table_03[[#This Row],[b/t]]^2</f>
        <v>53975.744735086613</v>
      </c>
      <c r="AI206" s="194" t="str">
        <f>IF(Table_03[[#This Row],[b/t]]&lt;Table_03[[#This Row],[λpf]],"Compact",IF(AND(Table_03[[#This Row],[b/t]]&gt;Table_03[[#This Row],[λpf]],Table_03[[#This Row],[λrf]]&gt;Table_03[[#This Row],[b/t]]),"Non-Compact","Slender"))</f>
        <v>Compact</v>
      </c>
      <c r="AJ206" s="195">
        <f>IF(Table_03[[#This Row],[Controlling LBx]]="Compact",Table_03[[#This Row],[Mp (k-in)]],IF(Table_03[[#This Row],[Controlling LBx]]="Non-Compact",Table_03[[#This Row],[Mnlb,Non-Compact (k-in)]],IF(Table_03[[#This Row],[Controlling LBx]]="Slender",Table_03[[#This Row],[Mnlb,slender (k-in)]],"ERROR")))</f>
        <v>9232.9505500000014</v>
      </c>
      <c r="AK206" s="192">
        <f>Table_03[[#This Row],[Mp (k-in)]]-(Table_03[[#This Row],[Mp (k-in)]]-0.7*Table_03[[#This Row],[Strength (ksi)]]*Table_03[[#This Row],[Static Parameters Elastic Section Modulus Sx (in3)2]])*(($B$5-Table_03[[#This Row],[Lp (ft)]])/(Table_03[[#This Row],[Lr]]-Table_03[[#This Row],[Lp (ft)]]))</f>
        <v>9620.6718316776078</v>
      </c>
      <c r="AL206" s="196">
        <f>Table_03[[#This Row],[Fcrx]]*Table_03[[#This Row],[Static Parameters Elastic Section Modulus Sx (in3)2]]</f>
        <v>60516.939936923838</v>
      </c>
      <c r="AM206" s="197" t="str">
        <f>IF($B$5&lt;Table_03[[#This Row],[Lp (ft)]],"Yielding Controls",IF(AND($B$5&gt;Table_03[[#This Row],[Lp (ft)]],Table_03[[#This Row],[Lr]]&gt;$B$5),"Mltb,p Controls","Mltb,r Controls"))</f>
        <v>Yielding Controls</v>
      </c>
      <c r="AN206" s="198">
        <f>IF(Table_03[[#This Row],[Controlling LTB]]="Yielding Controls",Table_03[[#This Row],[Mp (k-in)]],IF(Table_03[[#This Row],[Controlling LTB]]="Mltb,p Controls",Table_03[[#This Row],[Mnltbp (k-in)]],IF(Table_03[[#This Row],[Controlling LTB]]="Mltb,r Controls",Table_03[[#This Row],[Mnltbr (k-in)]],"ERROR")))</f>
        <v>9232.9505500000014</v>
      </c>
      <c r="AO206" s="199">
        <f>MIN(Table_03[[#This Row],[Strength (ksi)]]*Table_03[[#This Row],[Static Parameters Plastic Section Modulus Zy (in3)]],1.6*Table_03[[#This Row],[Strength (ksi)]]*Table_03[[#This Row],[Static Parameters Elastic Section Modulus Sy (in3)3]])</f>
        <v>2416.0777250000001</v>
      </c>
      <c r="AP206" s="169">
        <f>MIN(Table_03[[#This Row],[Mny (k-in)]],Table_03[[#This Row],[Mny (k-in)]]-(Table_03[[#This Row],[Mny (k-in)]]-0.7*Table_03[[#This Row],[Static Parameters Elastic Section Modulus Sy (in3)3]]*Table_03[[#This Row],[Strength (ksi)]])*((Table_03[[#This Row],[b/t]]-Table_03[[#This Row],[λpf]])/(Table_03[[#This Row],[λrf]]-Table_03[[#This Row],[λpf]])))</f>
        <v>2416.0777250000001</v>
      </c>
      <c r="AQ206" s="196">
        <f>MIN(Table_03[[#This Row],[Mny (k-in)]],Table_03[[#This Row],[Fcry]]*Table_03[[#This Row],[Static Parameters Elastic Section Modulus Sy (in3)3]])</f>
        <v>2416.0777250000001</v>
      </c>
      <c r="AR206" s="197" t="str">
        <f>IF(Table_03[[#This Row],[b/t]]&lt;Table_03[[#This Row],[λpf]],"Compact",IF(AND(Table_03[[#This Row],[b/t]]&gt;Table_03[[#This Row],[λpf]],Table_03[[#This Row],[λrf]]&gt;Table_03[[#This Row],[b/t]]),"Non-Compact","Slender"))</f>
        <v>Compact</v>
      </c>
      <c r="AS206" s="198">
        <f>IF(Table_03[[#This Row],[Controlling Lby]]="Compact",Table_03[[#This Row],[Mny (k-in)]],IF(Table_03[[#This Row],[Controlling Lby]]="Non-Compact",Table_03[[#This Row],[Mlby,Non-Compact (k-in)]],IF(Table_03[[#This Row],[Controlling Lby]]="Slender",Table_03[[#This Row],[Mlby,Slender (k-in)]],"ERROR")))</f>
        <v>2416.0777250000001</v>
      </c>
      <c r="AT206" s="199">
        <f>MIN(Table_03[[#This Row],[LBx]],Table_03[[#This Row],[LTB]],Table_03[[#This Row],[Mp (k-in)]])</f>
        <v>9232.9505500000014</v>
      </c>
      <c r="AU206" s="169">
        <f>Table_03[[#This Row],[Mp (k-in)]]</f>
        <v>9232.9505500000014</v>
      </c>
      <c r="AV206" s="169">
        <f>MIN(Table_03[[#This Row],[LBy]],Table_03[[#This Row],[Mny (k-in)]])</f>
        <v>2416.0777250000001</v>
      </c>
      <c r="AW206" s="200">
        <f>Table_03[[#This Row],[Mny (k-in)]]</f>
        <v>2416.0777250000001</v>
      </c>
      <c r="AX206" s="165">
        <f>SQRT(((Table_03[[#This Row],[Sectional Area (in2)]]-(Table_03[[#This Row],[Flange Thickness tf (in)]]*Table_03[[#This Row],[Width w (in)]]*2+Table_03[[#This Row],[Web Thickness tw (in)]]*((Table_03[[#This Row],[Depth h (in)]]-2*Table_03[[#This Row],[Flange Thickness tf (in)]]))))/4)/(1-PI()/4))</f>
        <v>0.38705597085869509</v>
      </c>
      <c r="AY206" s="165">
        <f>IF(4/SQRT((Table_03[[#This Row],[Depth h (in)]]-Table_03[[#This Row],[Flange Thickness tf (in)]]*2)/Table_03[[#This Row],[Web Thickness tw (in)]])&lt;0.35,0.35,IF(4/SQRT(Table_03[[#This Row],[Depth h (in)]]/Table_03[[#This Row],[Web Thickness tw (in)]])&gt;0.76,0.76,4/SQRT(Table_03[[#This Row],[Depth h (in)]]/Table_03[[#This Row],[Web Thickness tw (in)]])))</f>
        <v>0.64605828246979868</v>
      </c>
      <c r="AZ206" s="165"/>
    </row>
    <row r="207" spans="1:52" ht="14.4" thickBot="1" x14ac:dyDescent="0.35">
      <c r="A207" s="201" t="s">
        <v>299</v>
      </c>
      <c r="B207" s="202">
        <v>18.399999999999999</v>
      </c>
      <c r="C207" s="202">
        <v>7.59</v>
      </c>
      <c r="D207" s="202">
        <v>0.45</v>
      </c>
      <c r="E207" s="202">
        <v>0.75</v>
      </c>
      <c r="F207" s="203">
        <v>19.100000000000001</v>
      </c>
      <c r="G207" s="204">
        <v>65</v>
      </c>
      <c r="H207" s="203">
        <v>1070</v>
      </c>
      <c r="I207" s="203">
        <v>54.8</v>
      </c>
      <c r="J207" s="203">
        <f>Table_03[[#This Row],[Width w (in)]]*Table_03[[#This Row],[Flange Thickness tf (in)]]*(Table_03[[#This Row],[Depth h (in)]]-Table_03[[#This Row],[Flange Thickness tf (in)]])+0.25*Table_03[[#This Row],[Web Thickness tw (in)]]*(Table_03[[#This Row],[Depth h (in)]]-2*Table_03[[#This Row],[Flange Thickness tf (in)]])^2</f>
        <v>132.60374999999999</v>
      </c>
      <c r="K207" s="203">
        <f>(Table_03[[#This Row],[Width w (in)]]^2*Table_03[[#This Row],[Flange Thickness tf (in)]])/2+0.25*Table_03[[#This Row],[Web Thickness tw (in)]]^2*(Table_03[[#This Row],[Depth h (in)]]-2*Table_03[[#This Row],[Flange Thickness tf (in)]])</f>
        <v>22.458600000000001</v>
      </c>
      <c r="L207" s="203">
        <v>117</v>
      </c>
      <c r="M207" s="203">
        <v>14.4</v>
      </c>
      <c r="N207" s="205">
        <v>50</v>
      </c>
      <c r="O207" s="206">
        <f>SQRT(Table_03[[#This Row],[Static Parameters Moment of Inertia Ix (in4)]]/Table_03[[#This Row],[Sectional Area (in2)]])</f>
        <v>7.4847139162680731</v>
      </c>
      <c r="P207" s="203">
        <f>SQRT(Table_03[[#This Row],[Static Parameters Moment of Inertia Iy (in4)]]/Table_03[[#This Row],[Sectional Area (in2)]])</f>
        <v>1.6938447235930389</v>
      </c>
      <c r="Q207" s="203">
        <f>($B$6*$B$5*12)/Table_03[[#This Row],[ry (in)2]]</f>
        <v>106.00145190353261</v>
      </c>
      <c r="R207" s="203">
        <f>(PI()^2*$B$4)/(Table_03[[#This Row],[KL/ry]]^2)</f>
        <v>25.472649252941807</v>
      </c>
      <c r="S207" s="203">
        <f>IF(Table_03[[#This Row],[Strength (ksi)]]/Table_03[[#This Row],[Fe,y]]&lt;2.25,(0.658^(Table_03[[#This Row],[Strength (ksi)]]/Table_03[[#This Row],[Fe,y]])*Table_03[[#This Row],[Strength (ksi)]]),0.877*Table_03[[#This Row],[Fe,y]])</f>
        <v>21.987076590553318</v>
      </c>
      <c r="T207" s="203">
        <f>Table_03[[#This Row],[Fcr,y]]*Table_03[[#This Row],[Sectional Area (in2)]]</f>
        <v>419.95316287956842</v>
      </c>
      <c r="U207" s="203">
        <f>1.76*Table_03[[#This Row],[ry (in)2]]*SQRT($B$4/Table_03[[#This Row],[Strength (ksi)]])/12</f>
        <v>5.983000156007269</v>
      </c>
      <c r="V20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18.710937240268972</v>
      </c>
      <c r="W207" s="203">
        <f>Table_03[[#This Row],[Depth h (in)]]-Table_03[[#This Row],[Flange Thickness tf (in)]]</f>
        <v>17.649999999999999</v>
      </c>
      <c r="X207" s="203">
        <f>(Table_03[[#This Row],[Static Parameters Moment of Inertia Iy (in4)]]*Table_03[[#This Row],[ho]]^2)/4</f>
        <v>4267.8582499999984</v>
      </c>
      <c r="Y207" s="203">
        <f>SQRT((SQRT(Table_03[[#This Row],[Static Parameters Moment of Inertia Iy (in4)]]*Table_03[[#This Row],[Cw*]])/Table_03[[#This Row],[Static Parameters Elastic Section Modulus Sx (in3)2]]))</f>
        <v>2.0330811108804299</v>
      </c>
      <c r="Z207" s="203">
        <f>(2*Table_03[[#This Row],[Width w (in)]]*Table_03[[#This Row],[Flange Thickness tf (in)]]^3/3)+((Table_03[[#This Row],[Depth h (in)]]-Table_03[[#This Row],[Flange Thickness tf (in)]]*2)*Table_03[[#This Row],[Web Thickness tw (in)]]^3)/3</f>
        <v>2.6480250000000001</v>
      </c>
      <c r="AA207" s="203">
        <f>Table_03[[#This Row],[Width w (in)]]*0.5/Table_03[[#This Row],[Flange Thickness tf (in)]]</f>
        <v>5.0599999999999996</v>
      </c>
      <c r="AB207" s="203">
        <f>0.38*SQRT($B$4/Table_03[[#This Row],[Strength (ksi)]])</f>
        <v>9.1516118798821449</v>
      </c>
      <c r="AC207" s="203">
        <f>1*SQRT($B$4/Table_03[[#This Row],[Strength (ksi)]])</f>
        <v>24.083189157584592</v>
      </c>
      <c r="AD207" s="203">
        <f>(PI()^2*$B$4/(12*$B$5/Table_03[[#This Row],[rts]])^2)*SQRT(1+0.078*(Table_03[[#This Row],[J*]]/(Table_03[[#This Row],[Static Parameters Elastic Section Modulus Sx (in3)2]]*Table_03[[#This Row],[ho]])*$B$4/(12*$B$5/Table_03[[#This Row],[rts]])^2))</f>
        <v>161.96857775988985</v>
      </c>
      <c r="AE207" s="203">
        <f>0.69*$B$4/Table_03[[#This Row],[b/t]]^2</f>
        <v>781.53072224218477</v>
      </c>
      <c r="AF207" s="207">
        <f>Table_03[[#This Row],[Strength (ksi)]]*Table_03[[#This Row],[Static Parameters Plastic Section Modulus Zx (in3)]]</f>
        <v>6630.1875</v>
      </c>
      <c r="AG207" s="203">
        <f>Table_03[[#This Row],[Mp (k-in)]]-(Table_03[[#This Row],[Mp (k-in)]]-0.7*Table_03[[#This Row],[Strength (ksi)]]*Table_03[[#This Row],[Static Parameters Elastic Section Modulus Sx (in3)2]])*((Table_03[[#This Row],[b/t]]-Table_03[[#This Row],[λpf]])/(Table_03[[#This Row],[λrf]]-Table_03[[#This Row],[λpf]]))</f>
        <v>7324.8899483621617</v>
      </c>
      <c r="AH207" s="208">
        <f>0.9*$B$4*Table_03[[#This Row],[kc]]*Table_03[[#This Row],[Static Parameters Elastic Section Modulus Sx (in3)2]]/Table_03[[#This Row],[b/t]]^2</f>
        <v>74607.531699380866</v>
      </c>
      <c r="AI207" s="209" t="str">
        <f>IF(Table_03[[#This Row],[b/t]]&lt;Table_03[[#This Row],[λpf]],"Compact",IF(AND(Table_03[[#This Row],[b/t]]&gt;Table_03[[#This Row],[λpf]],Table_03[[#This Row],[λrf]]&gt;Table_03[[#This Row],[b/t]]),"Non-Compact","Slender"))</f>
        <v>Compact</v>
      </c>
      <c r="AJ207" s="210">
        <f>IF(Table_03[[#This Row],[Controlling LBx]]="Compact",Table_03[[#This Row],[Mp (k-in)]],IF(Table_03[[#This Row],[Controlling LBx]]="Non-Compact",Table_03[[#This Row],[Mnlb,Non-Compact (k-in)]],IF(Table_03[[#This Row],[Controlling LBx]]="Slender",Table_03[[#This Row],[Mnlb,slender (k-in)]],"ERROR")))</f>
        <v>6630.1875</v>
      </c>
      <c r="AK207" s="207">
        <f>Table_03[[#This Row],[Mp (k-in)]]-(Table_03[[#This Row],[Mp (k-in)]]-0.7*Table_03[[#This Row],[Strength (ksi)]]*Table_03[[#This Row],[Static Parameters Elastic Section Modulus Sx (in3)2]])*(($B$5-Table_03[[#This Row],[Lp (ft)]])/(Table_03[[#This Row],[Lr]]-Table_03[[#This Row],[Lp (ft)]]))</f>
        <v>6402.7206520476902</v>
      </c>
      <c r="AL207" s="211">
        <f>Table_03[[#This Row],[Fcrx]]*Table_03[[#This Row],[Static Parameters Elastic Section Modulus Sx (in3)2]]</f>
        <v>18950.323597907114</v>
      </c>
      <c r="AM207" s="212" t="str">
        <f>IF($B$5&lt;Table_03[[#This Row],[Lp (ft)]],"Yielding Controls",IF(AND($B$5&gt;Table_03[[#This Row],[Lp (ft)]],Table_03[[#This Row],[Lr]]&gt;$B$5),"Mltb,p Controls","Mltb,r Controls"))</f>
        <v>Mltb,p Controls</v>
      </c>
      <c r="AN207" s="213">
        <f>IF(Table_03[[#This Row],[Controlling LTB]]="Yielding Controls",Table_03[[#This Row],[Mp (k-in)]],IF(Table_03[[#This Row],[Controlling LTB]]="Mltb,p Controls",Table_03[[#This Row],[Mnltbp (k-in)]],IF(Table_03[[#This Row],[Controlling LTB]]="Mltb,r Controls",Table_03[[#This Row],[Mnltbr (k-in)]],"ERROR")))</f>
        <v>6402.7206520476902</v>
      </c>
      <c r="AO207" s="214">
        <f>MIN(Table_03[[#This Row],[Strength (ksi)]]*Table_03[[#This Row],[Static Parameters Plastic Section Modulus Zy (in3)]],1.6*Table_03[[#This Row],[Strength (ksi)]]*Table_03[[#This Row],[Static Parameters Elastic Section Modulus Sy (in3)3]])</f>
        <v>1122.93</v>
      </c>
      <c r="AP207" s="206">
        <f>MIN(Table_03[[#This Row],[Mny (k-in)]],Table_03[[#This Row],[Mny (k-in)]]-(Table_03[[#This Row],[Mny (k-in)]]-0.7*Table_03[[#This Row],[Static Parameters Elastic Section Modulus Sy (in3)3]]*Table_03[[#This Row],[Strength (ksi)]])*((Table_03[[#This Row],[b/t]]-Table_03[[#This Row],[λpf]])/(Table_03[[#This Row],[λrf]]-Table_03[[#This Row],[λpf]])))</f>
        <v>1122.93</v>
      </c>
      <c r="AQ207" s="211">
        <f>MIN(Table_03[[#This Row],[Mny (k-in)]],Table_03[[#This Row],[Fcry]]*Table_03[[#This Row],[Static Parameters Elastic Section Modulus Sy (in3)3]])</f>
        <v>1122.93</v>
      </c>
      <c r="AR207" s="212" t="str">
        <f>IF(Table_03[[#This Row],[b/t]]&lt;Table_03[[#This Row],[λpf]],"Compact",IF(AND(Table_03[[#This Row],[b/t]]&gt;Table_03[[#This Row],[λpf]],Table_03[[#This Row],[λrf]]&gt;Table_03[[#This Row],[b/t]]),"Non-Compact","Slender"))</f>
        <v>Compact</v>
      </c>
      <c r="AS207" s="213">
        <f>IF(Table_03[[#This Row],[Controlling Lby]]="Compact",Table_03[[#This Row],[Mny (k-in)]],IF(Table_03[[#This Row],[Controlling Lby]]="Non-Compact",Table_03[[#This Row],[Mlby,Non-Compact (k-in)]],IF(Table_03[[#This Row],[Controlling Lby]]="Slender",Table_03[[#This Row],[Mlby,Slender (k-in)]],"ERROR")))</f>
        <v>1122.93</v>
      </c>
      <c r="AT207" s="214">
        <f>MIN(Table_03[[#This Row],[LBx]],Table_03[[#This Row],[LTB]],Table_03[[#This Row],[Mp (k-in)]])</f>
        <v>6402.7206520476902</v>
      </c>
      <c r="AU207" s="206">
        <f>Table_03[[#This Row],[Mp (k-in)]]</f>
        <v>6630.1875</v>
      </c>
      <c r="AV207" s="206">
        <f>MIN(Table_03[[#This Row],[LBy]],Table_03[[#This Row],[Mny (k-in)]])</f>
        <v>1122.93</v>
      </c>
      <c r="AW207" s="215">
        <f>Table_03[[#This Row],[Mny (k-in)]]</f>
        <v>1122.93</v>
      </c>
      <c r="AX207" s="165">
        <f>SQRT(((Table_03[[#This Row],[Sectional Area (in2)]]-(Table_03[[#This Row],[Flange Thickness tf (in)]]*Table_03[[#This Row],[Width w (in)]]*2+Table_03[[#This Row],[Web Thickness tw (in)]]*((Table_03[[#This Row],[Depth h (in)]]-2*Table_03[[#This Row],[Flange Thickness tf (in)]]))))/4)/(1-PI()/4))</f>
        <v>0.35797247111189201</v>
      </c>
      <c r="AY207" s="165">
        <f>IF(4/SQRT((Table_03[[#This Row],[Depth h (in)]]-Table_03[[#This Row],[Flange Thickness tf (in)]]*2)/Table_03[[#This Row],[Web Thickness tw (in)]])&lt;0.35,0.35,IF(4/SQRT(Table_03[[#This Row],[Depth h (in)]]/Table_03[[#This Row],[Web Thickness tw (in)]])&gt;0.76,0.76,4/SQRT(Table_03[[#This Row],[Depth h (in)]]/Table_03[[#This Row],[Web Thickness tw (in)]])))</f>
        <v>0.62554324217122426</v>
      </c>
      <c r="AZ207" s="165"/>
    </row>
    <row r="208" spans="1:52" x14ac:dyDescent="0.3">
      <c r="A208" s="179" t="s">
        <v>300</v>
      </c>
      <c r="B208" s="180">
        <v>18.5</v>
      </c>
      <c r="C208" s="180">
        <v>7.64</v>
      </c>
      <c r="D208" s="180">
        <v>0.495</v>
      </c>
      <c r="E208" s="180">
        <v>0.81</v>
      </c>
      <c r="F208" s="181">
        <v>20.8</v>
      </c>
      <c r="G208" s="180">
        <v>71</v>
      </c>
      <c r="H208" s="180">
        <v>1170</v>
      </c>
      <c r="I208" s="180">
        <v>60.3</v>
      </c>
      <c r="J208" s="181">
        <f>Table_03[[#This Row],[Width w (in)]]*Table_03[[#This Row],[Flange Thickness tf (in)]]*(Table_03[[#This Row],[Depth h (in)]]-Table_03[[#This Row],[Flange Thickness tf (in)]])+0.25*Table_03[[#This Row],[Web Thickness tw (in)]]*(Table_03[[#This Row],[Depth h (in)]]-2*Table_03[[#This Row],[Flange Thickness tf (in)]])^2</f>
        <v>144.733428</v>
      </c>
      <c r="K208" s="181">
        <f>(Table_03[[#This Row],[Width w (in)]]^2*Table_03[[#This Row],[Flange Thickness tf (in)]])/2+0.25*Table_03[[#This Row],[Web Thickness tw (in)]]^2*(Table_03[[#This Row],[Depth h (in)]]-2*Table_03[[#This Row],[Flange Thickness tf (in)]])</f>
        <v>24.673693499999999</v>
      </c>
      <c r="L208" s="181">
        <v>127</v>
      </c>
      <c r="M208" s="181">
        <v>15.8</v>
      </c>
      <c r="N208" s="182">
        <v>50</v>
      </c>
      <c r="O208" s="181">
        <f>SQRT(Table_03[[#This Row],[Static Parameters Moment of Inertia Ix (in4)]]/Table_03[[#This Row],[Sectional Area (in2)]])</f>
        <v>7.5</v>
      </c>
      <c r="P208" s="181">
        <f>SQRT(Table_03[[#This Row],[Static Parameters Moment of Inertia Iy (in4)]]/Table_03[[#This Row],[Sectional Area (in2)]])</f>
        <v>1.7026562957738891</v>
      </c>
      <c r="Q208" s="181">
        <f>($B$6*$B$5*12)/Table_03[[#This Row],[ry (in)2]]</f>
        <v>105.45287410363181</v>
      </c>
      <c r="R208" s="181">
        <f>(PI()^2*$B$4)/(Table_03[[#This Row],[KL/ry]]^2)</f>
        <v>25.738361808754444</v>
      </c>
      <c r="S208" s="181">
        <f>IF(Table_03[[#This Row],[Strength (ksi)]]/Table_03[[#This Row],[Fe,y]]&lt;2.25,(0.658^(Table_03[[#This Row],[Strength (ksi)]]/Table_03[[#This Row],[Fe,y]])*Table_03[[#This Row],[Strength (ksi)]]),0.877*Table_03[[#This Row],[Fe,y]])</f>
        <v>22.174353962026309</v>
      </c>
      <c r="T208" s="181">
        <f>Table_03[[#This Row],[Fcr,y]]*Table_03[[#This Row],[Sectional Area (in2)]]</f>
        <v>461.22656241014727</v>
      </c>
      <c r="U208" s="181">
        <f>1.76*Table_03[[#This Row],[ry (in)2]]*SQRT($B$4/Table_03[[#This Row],[Strength (ksi)]])/12</f>
        <v>6.0141244007496475</v>
      </c>
      <c r="V20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19.491868541161139</v>
      </c>
      <c r="W208" s="181">
        <f>Table_03[[#This Row],[Depth h (in)]]-Table_03[[#This Row],[Flange Thickness tf (in)]]</f>
        <v>17.690000000000001</v>
      </c>
      <c r="X208" s="181">
        <f>(Table_03[[#This Row],[Static Parameters Moment of Inertia Iy (in4)]]*Table_03[[#This Row],[ho]]^2)/4</f>
        <v>4717.5117075000007</v>
      </c>
      <c r="Y208" s="181">
        <f>SQRT((SQRT(Table_03[[#This Row],[Static Parameters Moment of Inertia Iy (in4)]]*Table_03[[#This Row],[Cw*]])/Table_03[[#This Row],[Static Parameters Elastic Section Modulus Sx (in3)2]]))</f>
        <v>2.0493008218091644</v>
      </c>
      <c r="Z208" s="181">
        <f>(2*Table_03[[#This Row],[Width w (in)]]*Table_03[[#This Row],[Flange Thickness tf (in)]]^3/3)+((Table_03[[#This Row],[Depth h (in)]]-Table_03[[#This Row],[Flange Thickness tf (in)]]*2)*Table_03[[#This Row],[Web Thickness tw (in)]]^3)/3</f>
        <v>3.3892497900000005</v>
      </c>
      <c r="AA208" s="181">
        <f>Table_03[[#This Row],[Width w (in)]]*0.5/Table_03[[#This Row],[Flange Thickness tf (in)]]</f>
        <v>4.716049382716049</v>
      </c>
      <c r="AB208" s="181">
        <f>0.38*SQRT($B$4/Table_03[[#This Row],[Strength (ksi)]])</f>
        <v>9.1516118798821449</v>
      </c>
      <c r="AC208" s="181">
        <f>1*SQRT($B$4/Table_03[[#This Row],[Strength (ksi)]])</f>
        <v>24.083189157584592</v>
      </c>
      <c r="AD208" s="181">
        <f>(PI()^2*$B$4/(12*$B$5/Table_03[[#This Row],[rts]])^2)*SQRT(1+0.078*(Table_03[[#This Row],[J*]]/(Table_03[[#This Row],[Static Parameters Elastic Section Modulus Sx (in3)2]]*Table_03[[#This Row],[ho]])*$B$4/(12*$B$5/Table_03[[#This Row],[rts]])^2))</f>
        <v>164.58953571096677</v>
      </c>
      <c r="AE208" s="181">
        <f>0.69*$B$4/Table_03[[#This Row],[b/t]]^2</f>
        <v>899.68483594199733</v>
      </c>
      <c r="AF208" s="183">
        <f>Table_03[[#This Row],[Strength (ksi)]]*Table_03[[#This Row],[Static Parameters Plastic Section Modulus Zx (in3)]]</f>
        <v>7236.6714000000002</v>
      </c>
      <c r="AG208" s="181">
        <f>Table_03[[#This Row],[Mp (k-in)]]-(Table_03[[#This Row],[Mp (k-in)]]-0.7*Table_03[[#This Row],[Strength (ksi)]]*Table_03[[#This Row],[Static Parameters Elastic Section Modulus Sx (in3)2]])*((Table_03[[#This Row],[b/t]]-Table_03[[#This Row],[λpf]])/(Table_03[[#This Row],[λrf]]-Table_03[[#This Row],[λpf]]))</f>
        <v>8065.9630907540877</v>
      </c>
      <c r="AH208" s="184">
        <f>0.9*$B$4*Table_03[[#This Row],[kc]]*Table_03[[#This Row],[Static Parameters Elastic Section Modulus Sx (in3)2]]/Table_03[[#This Row],[b/t]]^2</f>
        <v>97513.39271888962</v>
      </c>
      <c r="AI208" s="185" t="str">
        <f>IF(Table_03[[#This Row],[b/t]]&lt;Table_03[[#This Row],[λpf]],"Compact",IF(AND(Table_03[[#This Row],[b/t]]&gt;Table_03[[#This Row],[λpf]],Table_03[[#This Row],[λrf]]&gt;Table_03[[#This Row],[b/t]]),"Non-Compact","Slender"))</f>
        <v>Compact</v>
      </c>
      <c r="AJ208" s="186">
        <f>IF(Table_03[[#This Row],[Controlling LBx]]="Compact",Table_03[[#This Row],[Mp (k-in)]],IF(Table_03[[#This Row],[Controlling LBx]]="Non-Compact",Table_03[[#This Row],[Mnlb,Non-Compact (k-in)]],IF(Table_03[[#This Row],[Controlling LBx]]="Slender",Table_03[[#This Row],[Mnlb,slender (k-in)]],"ERROR")))</f>
        <v>7236.6714000000002</v>
      </c>
      <c r="AK208" s="183">
        <f>Table_03[[#This Row],[Mp (k-in)]]-(Table_03[[#This Row],[Mp (k-in)]]-0.7*Table_03[[#This Row],[Strength (ksi)]]*Table_03[[#This Row],[Static Parameters Elastic Section Modulus Sx (in3)2]])*(($B$5-Table_03[[#This Row],[Lp (ft)]])/(Table_03[[#This Row],[Lr]]-Table_03[[#This Row],[Lp (ft)]]))</f>
        <v>7006.5735730137703</v>
      </c>
      <c r="AL208" s="184">
        <f>Table_03[[#This Row],[Fcrx]]*Table_03[[#This Row],[Static Parameters Elastic Section Modulus Sx (in3)2]]</f>
        <v>20902.871035292781</v>
      </c>
      <c r="AM208" s="185" t="str">
        <f>IF($B$5&lt;Table_03[[#This Row],[Lp (ft)]],"Yielding Controls",IF(AND($B$5&gt;Table_03[[#This Row],[Lp (ft)]],Table_03[[#This Row],[Lr]]&gt;$B$5),"Mltb,p Controls","Mltb,r Controls"))</f>
        <v>Mltb,p Controls</v>
      </c>
      <c r="AN208" s="186">
        <f>IF(Table_03[[#This Row],[Controlling LTB]]="Yielding Controls",Table_03[[#This Row],[Mp (k-in)]],IF(Table_03[[#This Row],[Controlling LTB]]="Mltb,p Controls",Table_03[[#This Row],[Mnltbp (k-in)]],IF(Table_03[[#This Row],[Controlling LTB]]="Mltb,r Controls",Table_03[[#This Row],[Mnltbr (k-in)]],"ERROR")))</f>
        <v>7006.5735730137703</v>
      </c>
      <c r="AO208" s="183">
        <f>MIN(Table_03[[#This Row],[Strength (ksi)]]*Table_03[[#This Row],[Static Parameters Plastic Section Modulus Zy (in3)]],1.6*Table_03[[#This Row],[Strength (ksi)]]*Table_03[[#This Row],[Static Parameters Elastic Section Modulus Sy (in3)3]])</f>
        <v>1233.684675</v>
      </c>
      <c r="AP208" s="181">
        <f>MIN(Table_03[[#This Row],[Mny (k-in)]],Table_03[[#This Row],[Mny (k-in)]]-(Table_03[[#This Row],[Mny (k-in)]]-0.7*Table_03[[#This Row],[Static Parameters Elastic Section Modulus Sy (in3)3]]*Table_03[[#This Row],[Strength (ksi)]])*((Table_03[[#This Row],[b/t]]-Table_03[[#This Row],[λpf]])/(Table_03[[#This Row],[λrf]]-Table_03[[#This Row],[λpf]])))</f>
        <v>1233.684675</v>
      </c>
      <c r="AQ208" s="184">
        <f>MIN(Table_03[[#This Row],[Mny (k-in)]],Table_03[[#This Row],[Fcry]]*Table_03[[#This Row],[Static Parameters Elastic Section Modulus Sy (in3)3]])</f>
        <v>1233.684675</v>
      </c>
      <c r="AR208" s="185" t="str">
        <f>IF(Table_03[[#This Row],[b/t]]&lt;Table_03[[#This Row],[λpf]],"Compact",IF(AND(Table_03[[#This Row],[b/t]]&gt;Table_03[[#This Row],[λpf]],Table_03[[#This Row],[λrf]]&gt;Table_03[[#This Row],[b/t]]),"Non-Compact","Slender"))</f>
        <v>Compact</v>
      </c>
      <c r="AS208" s="186">
        <f>IF(Table_03[[#This Row],[Controlling Lby]]="Compact",Table_03[[#This Row],[Mny (k-in)]],IF(Table_03[[#This Row],[Controlling Lby]]="Non-Compact",Table_03[[#This Row],[Mlby,Non-Compact (k-in)]],IF(Table_03[[#This Row],[Controlling Lby]]="Slender",Table_03[[#This Row],[Mlby,Slender (k-in)]],"ERROR")))</f>
        <v>1233.684675</v>
      </c>
      <c r="AT208" s="183">
        <f>MIN(Table_03[[#This Row],[LBx]],Table_03[[#This Row],[LTB]],Table_03[[#This Row],[Mp (k-in)]])</f>
        <v>7006.5735730137703</v>
      </c>
      <c r="AU208" s="181">
        <f>Table_03[[#This Row],[Mp (k-in)]]</f>
        <v>7236.6714000000002</v>
      </c>
      <c r="AV208" s="181">
        <f>MIN(Table_03[[#This Row],[LBy]],Table_03[[#This Row],[Mny (k-in)]])</f>
        <v>1233.684675</v>
      </c>
      <c r="AW208" s="187">
        <f>Table_03[[#This Row],[Mny (k-in)]]</f>
        <v>1233.684675</v>
      </c>
      <c r="AX208" s="165">
        <f>SQRT(((Table_03[[#This Row],[Sectional Area (in2)]]-(Table_03[[#This Row],[Flange Thickness tf (in)]]*Table_03[[#This Row],[Width w (in)]]*2+Table_03[[#This Row],[Web Thickness tw (in)]]*((Table_03[[#This Row],[Depth h (in)]]-2*Table_03[[#This Row],[Flange Thickness tf (in)]]))))/4)/(1-PI()/4))</f>
        <v>0.28062517882560617</v>
      </c>
      <c r="AY208" s="165">
        <f>IF(4/SQRT((Table_03[[#This Row],[Depth h (in)]]-Table_03[[#This Row],[Flange Thickness tf (in)]]*2)/Table_03[[#This Row],[Web Thickness tw (in)]])&lt;0.35,0.35,IF(4/SQRT(Table_03[[#This Row],[Depth h (in)]]/Table_03[[#This Row],[Web Thickness tw (in)]])&gt;0.76,0.76,4/SQRT(Table_03[[#This Row],[Depth h (in)]]/Table_03[[#This Row],[Web Thickness tw (in)]])))</f>
        <v>0.6542997081675247</v>
      </c>
      <c r="AZ208" s="165"/>
    </row>
    <row r="209" spans="1:52" x14ac:dyDescent="0.3">
      <c r="A209" s="188" t="s">
        <v>301</v>
      </c>
      <c r="B209" s="189">
        <v>18.600000000000001</v>
      </c>
      <c r="C209" s="189">
        <v>11.15</v>
      </c>
      <c r="D209" s="189">
        <v>0.53500000000000003</v>
      </c>
      <c r="E209" s="189">
        <v>0.87</v>
      </c>
      <c r="F209" s="190">
        <v>28.5</v>
      </c>
      <c r="G209" s="189">
        <v>97</v>
      </c>
      <c r="H209" s="190">
        <v>1750</v>
      </c>
      <c r="I209" s="190">
        <v>201</v>
      </c>
      <c r="J209" s="190">
        <f>Table_03[[#This Row],[Width w (in)]]*Table_03[[#This Row],[Flange Thickness tf (in)]]*(Table_03[[#This Row],[Depth h (in)]]-Table_03[[#This Row],[Flange Thickness tf (in)]])+0.25*Table_03[[#This Row],[Web Thickness tw (in)]]*(Table_03[[#This Row],[Depth h (in)]]-2*Table_03[[#This Row],[Flange Thickness tf (in)]])^2</f>
        <v>210.00958650000001</v>
      </c>
      <c r="K209" s="190">
        <f>(Table_03[[#This Row],[Width w (in)]]^2*Table_03[[#This Row],[Flange Thickness tf (in)]])/2+0.25*Table_03[[#This Row],[Web Thickness tw (in)]]^2*(Table_03[[#This Row],[Depth h (in)]]-2*Table_03[[#This Row],[Flange Thickness tf (in)]])</f>
        <v>55.286725875000002</v>
      </c>
      <c r="L209" s="190">
        <v>188</v>
      </c>
      <c r="M209" s="190">
        <v>36.1</v>
      </c>
      <c r="N209" s="191">
        <v>50</v>
      </c>
      <c r="O209" s="169">
        <f>SQRT(Table_03[[#This Row],[Static Parameters Moment of Inertia Ix (in4)]]/Table_03[[#This Row],[Sectional Area (in2)]])</f>
        <v>7.836039099693787</v>
      </c>
      <c r="P209" s="190">
        <f>SQRT(Table_03[[#This Row],[Static Parameters Moment of Inertia Iy (in4)]]/Table_03[[#This Row],[Sectional Area (in2)]])</f>
        <v>2.6556791182195503</v>
      </c>
      <c r="Q209" s="190">
        <f>($B$6*$B$5*12)/Table_03[[#This Row],[ry (in)2]]</f>
        <v>67.609824834702138</v>
      </c>
      <c r="R209" s="190">
        <f>(PI()^2*$B$4)/(Table_03[[#This Row],[KL/ry]]^2)</f>
        <v>62.614962061063444</v>
      </c>
      <c r="S209" s="190">
        <f>IF(Table_03[[#This Row],[Strength (ksi)]]/Table_03[[#This Row],[Fe,y]]&lt;2.25,(0.658^(Table_03[[#This Row],[Strength (ksi)]]/Table_03[[#This Row],[Fe,y]])*Table_03[[#This Row],[Strength (ksi)]]),0.877*Table_03[[#This Row],[Fe,y]])</f>
        <v>35.794616297667126</v>
      </c>
      <c r="T209" s="190">
        <f>Table_03[[#This Row],[Fcr,y]]*Table_03[[#This Row],[Sectional Area (in2)]]</f>
        <v>1020.1465644835131</v>
      </c>
      <c r="U209" s="190">
        <f>1.76*Table_03[[#This Row],[ry (in)2]]*SQRT($B$4/Table_03[[#This Row],[Strength (ksi)]])/12</f>
        <v>9.3803926400695712</v>
      </c>
      <c r="V20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30.200921037789055</v>
      </c>
      <c r="W209" s="190">
        <f>Table_03[[#This Row],[Depth h (in)]]-Table_03[[#This Row],[Flange Thickness tf (in)]]</f>
        <v>17.73</v>
      </c>
      <c r="X209" s="190">
        <f>(Table_03[[#This Row],[Static Parameters Moment of Inertia Iy (in4)]]*Table_03[[#This Row],[ho]]^2)/4</f>
        <v>15796.233225000002</v>
      </c>
      <c r="Y209" s="190">
        <f>SQRT((SQRT(Table_03[[#This Row],[Static Parameters Moment of Inertia Iy (in4)]]*Table_03[[#This Row],[Cw*]])/Table_03[[#This Row],[Static Parameters Elastic Section Modulus Sx (in3)2]]))</f>
        <v>3.0786369255157284</v>
      </c>
      <c r="Z209" s="190">
        <f>(2*Table_03[[#This Row],[Width w (in)]]*Table_03[[#This Row],[Flange Thickness tf (in)]]^3/3)+((Table_03[[#This Row],[Depth h (in)]]-Table_03[[#This Row],[Flange Thickness tf (in)]]*2)*Table_03[[#This Row],[Web Thickness tw (in)]]^3)/3</f>
        <v>5.7554650075000007</v>
      </c>
      <c r="AA209" s="190">
        <f>Table_03[[#This Row],[Width w (in)]]*0.5/Table_03[[#This Row],[Flange Thickness tf (in)]]</f>
        <v>6.4080459770114944</v>
      </c>
      <c r="AB209" s="190">
        <f>0.38*SQRT($B$4/Table_03[[#This Row],[Strength (ksi)]])</f>
        <v>9.1516118798821449</v>
      </c>
      <c r="AC209" s="190">
        <f>1*SQRT($B$4/Table_03[[#This Row],[Strength (ksi)]])</f>
        <v>24.083189157584592</v>
      </c>
      <c r="AD209" s="190">
        <f>(PI()^2*$B$4/(12*$B$5/Table_03[[#This Row],[rts]])^2)*SQRT(1+0.078*(Table_03[[#This Row],[J*]]/(Table_03[[#This Row],[Static Parameters Elastic Section Modulus Sx (in3)2]]*Table_03[[#This Row],[ho]])*$B$4/(12*$B$5/Table_03[[#This Row],[rts]])^2))</f>
        <v>372.03115817964698</v>
      </c>
      <c r="AE209" s="190">
        <f>0.69*$B$4/Table_03[[#This Row],[b/t]]^2</f>
        <v>487.29937058859008</v>
      </c>
      <c r="AF209" s="192">
        <f>Table_03[[#This Row],[Strength (ksi)]]*Table_03[[#This Row],[Static Parameters Plastic Section Modulus Zx (in3)]]</f>
        <v>10500.479325</v>
      </c>
      <c r="AG209" s="190">
        <f>Table_03[[#This Row],[Mp (k-in)]]-(Table_03[[#This Row],[Mp (k-in)]]-0.7*Table_03[[#This Row],[Strength (ksi)]]*Table_03[[#This Row],[Static Parameters Elastic Section Modulus Sx (in3)2]])*((Table_03[[#This Row],[b/t]]-Table_03[[#This Row],[λpf]])/(Table_03[[#This Row],[λrf]]-Table_03[[#This Row],[λpf]]))</f>
        <v>11220.83814570152</v>
      </c>
      <c r="AH209" s="193">
        <f>0.9*$B$4*Table_03[[#This Row],[kc]]*Table_03[[#This Row],[Static Parameters Elastic Section Modulus Sx (in3)2]]/Table_03[[#This Row],[b/t]]^2</f>
        <v>81063.906482227918</v>
      </c>
      <c r="AI209" s="194" t="str">
        <f>IF(Table_03[[#This Row],[b/t]]&lt;Table_03[[#This Row],[λpf]],"Compact",IF(AND(Table_03[[#This Row],[b/t]]&gt;Table_03[[#This Row],[λpf]],Table_03[[#This Row],[λrf]]&gt;Table_03[[#This Row],[b/t]]),"Non-Compact","Slender"))</f>
        <v>Compact</v>
      </c>
      <c r="AJ209" s="195">
        <f>IF(Table_03[[#This Row],[Controlling LBx]]="Compact",Table_03[[#This Row],[Mp (k-in)]],IF(Table_03[[#This Row],[Controlling LBx]]="Non-Compact",Table_03[[#This Row],[Mnlb,Non-Compact (k-in)]],IF(Table_03[[#This Row],[Controlling LBx]]="Slender",Table_03[[#This Row],[Mnlb,slender (k-in)]],"ERROR")))</f>
        <v>10500.479325</v>
      </c>
      <c r="AK209" s="192">
        <f>Table_03[[#This Row],[Mp (k-in)]]-(Table_03[[#This Row],[Mp (k-in)]]-0.7*Table_03[[#This Row],[Strength (ksi)]]*Table_03[[#This Row],[Static Parameters Elastic Section Modulus Sx (in3)2]])*(($B$5-Table_03[[#This Row],[Lp (ft)]])/(Table_03[[#This Row],[Lr]]-Table_03[[#This Row],[Lp (ft)]]))</f>
        <v>10925.166924000534</v>
      </c>
      <c r="AL209" s="196">
        <f>Table_03[[#This Row],[Fcrx]]*Table_03[[#This Row],[Static Parameters Elastic Section Modulus Sx (in3)2]]</f>
        <v>69941.857737773636</v>
      </c>
      <c r="AM209" s="197" t="str">
        <f>IF($B$5&lt;Table_03[[#This Row],[Lp (ft)]],"Yielding Controls",IF(AND($B$5&gt;Table_03[[#This Row],[Lp (ft)]],Table_03[[#This Row],[Lr]]&gt;$B$5),"Mltb,p Controls","Mltb,r Controls"))</f>
        <v>Yielding Controls</v>
      </c>
      <c r="AN209" s="198">
        <f>IF(Table_03[[#This Row],[Controlling LTB]]="Yielding Controls",Table_03[[#This Row],[Mp (k-in)]],IF(Table_03[[#This Row],[Controlling LTB]]="Mltb,p Controls",Table_03[[#This Row],[Mnltbp (k-in)]],IF(Table_03[[#This Row],[Controlling LTB]]="Mltb,r Controls",Table_03[[#This Row],[Mnltbr (k-in)]],"ERROR")))</f>
        <v>10500.479325</v>
      </c>
      <c r="AO209" s="199">
        <f>MIN(Table_03[[#This Row],[Strength (ksi)]]*Table_03[[#This Row],[Static Parameters Plastic Section Modulus Zy (in3)]],1.6*Table_03[[#This Row],[Strength (ksi)]]*Table_03[[#This Row],[Static Parameters Elastic Section Modulus Sy (in3)3]])</f>
        <v>2764.3362937500001</v>
      </c>
      <c r="AP209" s="169">
        <f>MIN(Table_03[[#This Row],[Mny (k-in)]],Table_03[[#This Row],[Mny (k-in)]]-(Table_03[[#This Row],[Mny (k-in)]]-0.7*Table_03[[#This Row],[Static Parameters Elastic Section Modulus Sy (in3)3]]*Table_03[[#This Row],[Strength (ksi)]])*((Table_03[[#This Row],[b/t]]-Table_03[[#This Row],[λpf]])/(Table_03[[#This Row],[λrf]]-Table_03[[#This Row],[λpf]])))</f>
        <v>2764.3362937500001</v>
      </c>
      <c r="AQ209" s="196">
        <f>MIN(Table_03[[#This Row],[Mny (k-in)]],Table_03[[#This Row],[Fcry]]*Table_03[[#This Row],[Static Parameters Elastic Section Modulus Sy (in3)3]])</f>
        <v>2764.3362937500001</v>
      </c>
      <c r="AR209" s="197" t="str">
        <f>IF(Table_03[[#This Row],[b/t]]&lt;Table_03[[#This Row],[λpf]],"Compact",IF(AND(Table_03[[#This Row],[b/t]]&gt;Table_03[[#This Row],[λpf]],Table_03[[#This Row],[λrf]]&gt;Table_03[[#This Row],[b/t]]),"Non-Compact","Slender"))</f>
        <v>Compact</v>
      </c>
      <c r="AS209" s="198">
        <f>IF(Table_03[[#This Row],[Controlling Lby]]="Compact",Table_03[[#This Row],[Mny (k-in)]],IF(Table_03[[#This Row],[Controlling Lby]]="Non-Compact",Table_03[[#This Row],[Mlby,Non-Compact (k-in)]],IF(Table_03[[#This Row],[Controlling Lby]]="Slender",Table_03[[#This Row],[Mlby,Slender (k-in)]],"ERROR")))</f>
        <v>2764.3362937500001</v>
      </c>
      <c r="AT209" s="199">
        <f>MIN(Table_03[[#This Row],[LBx]],Table_03[[#This Row],[LTB]],Table_03[[#This Row],[Mp (k-in)]])</f>
        <v>10500.479325</v>
      </c>
      <c r="AU209" s="169">
        <f>Table_03[[#This Row],[Mp (k-in)]]</f>
        <v>10500.479325</v>
      </c>
      <c r="AV209" s="169">
        <f>MIN(Table_03[[#This Row],[LBy]],Table_03[[#This Row],[Mny (k-in)]])</f>
        <v>2764.3362937500001</v>
      </c>
      <c r="AW209" s="200">
        <f>Table_03[[#This Row],[Mny (k-in)]]</f>
        <v>2764.3362937500001</v>
      </c>
      <c r="AX209" s="165">
        <f>SQRT(((Table_03[[#This Row],[Sectional Area (in2)]]-(Table_03[[#This Row],[Flange Thickness tf (in)]]*Table_03[[#This Row],[Width w (in)]]*2+Table_03[[#This Row],[Web Thickness tw (in)]]*((Table_03[[#This Row],[Depth h (in)]]-2*Table_03[[#This Row],[Flange Thickness tf (in)]]))))/4)/(1-PI()/4))</f>
        <v>0.30317388480172081</v>
      </c>
      <c r="AY209" s="165">
        <f>IF(4/SQRT((Table_03[[#This Row],[Depth h (in)]]-Table_03[[#This Row],[Flange Thickness tf (in)]]*2)/Table_03[[#This Row],[Web Thickness tw (in)]])&lt;0.35,0.35,IF(4/SQRT(Table_03[[#This Row],[Depth h (in)]]/Table_03[[#This Row],[Web Thickness tw (in)]])&gt;0.76,0.76,4/SQRT(Table_03[[#This Row],[Depth h (in)]]/Table_03[[#This Row],[Web Thickness tw (in)]])))</f>
        <v>0.67839151952500176</v>
      </c>
      <c r="AZ209" s="165"/>
    </row>
    <row r="210" spans="1:52" ht="14.4" thickBot="1" x14ac:dyDescent="0.35">
      <c r="A210" s="201" t="s">
        <v>302</v>
      </c>
      <c r="B210" s="202">
        <v>18.7</v>
      </c>
      <c r="C210" s="202">
        <v>11.2</v>
      </c>
      <c r="D210" s="202">
        <v>0.59</v>
      </c>
      <c r="E210" s="202">
        <v>0.94</v>
      </c>
      <c r="F210" s="203">
        <v>31.1</v>
      </c>
      <c r="G210" s="204">
        <v>106</v>
      </c>
      <c r="H210" s="203">
        <v>1910</v>
      </c>
      <c r="I210" s="203">
        <v>220</v>
      </c>
      <c r="J210" s="203">
        <f>Table_03[[#This Row],[Width w (in)]]*Table_03[[#This Row],[Flange Thickness tf (in)]]*(Table_03[[#This Row],[Depth h (in)]]-Table_03[[#This Row],[Flange Thickness tf (in)]])+0.25*Table_03[[#This Row],[Web Thickness tw (in)]]*(Table_03[[#This Row],[Depth h (in)]]-2*Table_03[[#This Row],[Flange Thickness tf (in)]])^2</f>
        <v>228.70685899999995</v>
      </c>
      <c r="K210" s="203">
        <f>(Table_03[[#This Row],[Width w (in)]]^2*Table_03[[#This Row],[Flange Thickness tf (in)]])/2+0.25*Table_03[[#This Row],[Web Thickness tw (in)]]^2*(Table_03[[#This Row],[Depth h (in)]]-2*Table_03[[#This Row],[Flange Thickness tf (in)]])</f>
        <v>60.420560499999986</v>
      </c>
      <c r="L210" s="203">
        <v>204</v>
      </c>
      <c r="M210" s="203">
        <v>39.4</v>
      </c>
      <c r="N210" s="205">
        <v>50</v>
      </c>
      <c r="O210" s="206">
        <f>SQRT(Table_03[[#This Row],[Static Parameters Moment of Inertia Ix (in4)]]/Table_03[[#This Row],[Sectional Area (in2)]])</f>
        <v>7.8367589599773044</v>
      </c>
      <c r="P210" s="203">
        <f>SQRT(Table_03[[#This Row],[Static Parameters Moment of Inertia Iy (in4)]]/Table_03[[#This Row],[Sectional Area (in2)]])</f>
        <v>2.6596907684771982</v>
      </c>
      <c r="Q210" s="203">
        <f>($B$6*$B$5*12)/Table_03[[#This Row],[ry (in)2]]</f>
        <v>67.507847952866001</v>
      </c>
      <c r="R210" s="203">
        <f>(PI()^2*$B$4)/(Table_03[[#This Row],[KL/ry]]^2)</f>
        <v>62.804276387014731</v>
      </c>
      <c r="S210" s="203">
        <f>IF(Table_03[[#This Row],[Strength (ksi)]]/Table_03[[#This Row],[Fe,y]]&lt;2.25,(0.658^(Table_03[[#This Row],[Strength (ksi)]]/Table_03[[#This Row],[Fe,y]])*Table_03[[#This Row],[Strength (ksi)]]),0.877*Table_03[[#This Row],[Fe,y]])</f>
        <v>35.830696615350838</v>
      </c>
      <c r="T210" s="203">
        <f>Table_03[[#This Row],[Fcr,y]]*Table_03[[#This Row],[Sectional Area (in2)]]</f>
        <v>1114.3346647374112</v>
      </c>
      <c r="U210" s="203">
        <f>1.76*Table_03[[#This Row],[ry (in)2]]*SQRT($B$4/Table_03[[#This Row],[Strength (ksi)]])/12</f>
        <v>9.3945625954279581</v>
      </c>
      <c r="V21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31.640796082015878</v>
      </c>
      <c r="W210" s="203">
        <f>Table_03[[#This Row],[Depth h (in)]]-Table_03[[#This Row],[Flange Thickness tf (in)]]</f>
        <v>17.759999999999998</v>
      </c>
      <c r="X210" s="203">
        <f>(Table_03[[#This Row],[Static Parameters Moment of Inertia Iy (in4)]]*Table_03[[#This Row],[ho]]^2)/4</f>
        <v>17347.967999999997</v>
      </c>
      <c r="Y210" s="203">
        <f>SQRT((SQRT(Table_03[[#This Row],[Static Parameters Moment of Inertia Iy (in4)]]*Table_03[[#This Row],[Cw*]])/Table_03[[#This Row],[Static Parameters Elastic Section Modulus Sx (in3)2]]))</f>
        <v>3.0945873049948509</v>
      </c>
      <c r="Z210" s="203">
        <f>(2*Table_03[[#This Row],[Width w (in)]]*Table_03[[#This Row],[Flange Thickness tf (in)]]^3/3)+((Table_03[[#This Row],[Depth h (in)]]-Table_03[[#This Row],[Flange Thickness tf (in)]]*2)*Table_03[[#This Row],[Web Thickness tw (in)]]^3)/3</f>
        <v>7.3531854599999988</v>
      </c>
      <c r="AA210" s="203">
        <f>Table_03[[#This Row],[Width w (in)]]*0.5/Table_03[[#This Row],[Flange Thickness tf (in)]]</f>
        <v>5.957446808510638</v>
      </c>
      <c r="AB210" s="203">
        <f>0.38*SQRT($B$4/Table_03[[#This Row],[Strength (ksi)]])</f>
        <v>9.1516118798821449</v>
      </c>
      <c r="AC210" s="203">
        <f>1*SQRT($B$4/Table_03[[#This Row],[Strength (ksi)]])</f>
        <v>24.083189157584592</v>
      </c>
      <c r="AD210" s="203">
        <f>(PI()^2*$B$4/(12*$B$5/Table_03[[#This Row],[rts]])^2)*SQRT(1+0.078*(Table_03[[#This Row],[J*]]/(Table_03[[#This Row],[Static Parameters Elastic Section Modulus Sx (in3)2]]*Table_03[[#This Row],[ho]])*$B$4/(12*$B$5/Table_03[[#This Row],[rts]])^2))</f>
        <v>376.07374914176711</v>
      </c>
      <c r="AE210" s="203">
        <f>0.69*$B$4/Table_03[[#This Row],[b/t]]^2</f>
        <v>563.80216836734701</v>
      </c>
      <c r="AF210" s="207">
        <f>Table_03[[#This Row],[Strength (ksi)]]*Table_03[[#This Row],[Static Parameters Plastic Section Modulus Zx (in3)]]</f>
        <v>11435.342949999998</v>
      </c>
      <c r="AG210" s="203">
        <f>Table_03[[#This Row],[Mp (k-in)]]-(Table_03[[#This Row],[Mp (k-in)]]-0.7*Table_03[[#This Row],[Strength (ksi)]]*Table_03[[#This Row],[Static Parameters Elastic Section Modulus Sx (in3)2]])*((Table_03[[#This Row],[b/t]]-Table_03[[#This Row],[λpf]])/(Table_03[[#This Row],[λrf]]-Table_03[[#This Row],[λpf]]))</f>
        <v>12354.203306496976</v>
      </c>
      <c r="AH210" s="208">
        <f>0.9*$B$4*Table_03[[#This Row],[kc]]*Table_03[[#This Row],[Static Parameters Elastic Section Modulus Sx (in3)2]]/Table_03[[#This Row],[b/t]]^2</f>
        <v>106589.76920112228</v>
      </c>
      <c r="AI210" s="209" t="str">
        <f>IF(Table_03[[#This Row],[b/t]]&lt;Table_03[[#This Row],[λpf]],"Compact",IF(AND(Table_03[[#This Row],[b/t]]&gt;Table_03[[#This Row],[λpf]],Table_03[[#This Row],[λrf]]&gt;Table_03[[#This Row],[b/t]]),"Non-Compact","Slender"))</f>
        <v>Compact</v>
      </c>
      <c r="AJ210" s="210">
        <f>IF(Table_03[[#This Row],[Controlling LBx]]="Compact",Table_03[[#This Row],[Mp (k-in)]],IF(Table_03[[#This Row],[Controlling LBx]]="Non-Compact",Table_03[[#This Row],[Mnlb,Non-Compact (k-in)]],IF(Table_03[[#This Row],[Controlling LBx]]="Slender",Table_03[[#This Row],[Mnlb,slender (k-in)]],"ERROR")))</f>
        <v>11435.342949999998</v>
      </c>
      <c r="AK210" s="207">
        <f>Table_03[[#This Row],[Mp (k-in)]]-(Table_03[[#This Row],[Mp (k-in)]]-0.7*Table_03[[#This Row],[Strength (ksi)]]*Table_03[[#This Row],[Static Parameters Elastic Section Modulus Sx (in3)2]])*(($B$5-Table_03[[#This Row],[Lp (ft)]])/(Table_03[[#This Row],[Lr]]-Table_03[[#This Row],[Lp (ft)]]))</f>
        <v>11873.554195950128</v>
      </c>
      <c r="AL210" s="211">
        <f>Table_03[[#This Row],[Fcrx]]*Table_03[[#This Row],[Static Parameters Elastic Section Modulus Sx (in3)2]]</f>
        <v>76719.044824920493</v>
      </c>
      <c r="AM210" s="212" t="str">
        <f>IF($B$5&lt;Table_03[[#This Row],[Lp (ft)]],"Yielding Controls",IF(AND($B$5&gt;Table_03[[#This Row],[Lp (ft)]],Table_03[[#This Row],[Lr]]&gt;$B$5),"Mltb,p Controls","Mltb,r Controls"))</f>
        <v>Yielding Controls</v>
      </c>
      <c r="AN210" s="213">
        <f>IF(Table_03[[#This Row],[Controlling LTB]]="Yielding Controls",Table_03[[#This Row],[Mp (k-in)]],IF(Table_03[[#This Row],[Controlling LTB]]="Mltb,p Controls",Table_03[[#This Row],[Mnltbp (k-in)]],IF(Table_03[[#This Row],[Controlling LTB]]="Mltb,r Controls",Table_03[[#This Row],[Mnltbr (k-in)]],"ERROR")))</f>
        <v>11435.342949999998</v>
      </c>
      <c r="AO210" s="214">
        <f>MIN(Table_03[[#This Row],[Strength (ksi)]]*Table_03[[#This Row],[Static Parameters Plastic Section Modulus Zy (in3)]],1.6*Table_03[[#This Row],[Strength (ksi)]]*Table_03[[#This Row],[Static Parameters Elastic Section Modulus Sy (in3)3]])</f>
        <v>3021.0280249999992</v>
      </c>
      <c r="AP210" s="206">
        <f>MIN(Table_03[[#This Row],[Mny (k-in)]],Table_03[[#This Row],[Mny (k-in)]]-(Table_03[[#This Row],[Mny (k-in)]]-0.7*Table_03[[#This Row],[Static Parameters Elastic Section Modulus Sy (in3)3]]*Table_03[[#This Row],[Strength (ksi)]])*((Table_03[[#This Row],[b/t]]-Table_03[[#This Row],[λpf]])/(Table_03[[#This Row],[λrf]]-Table_03[[#This Row],[λpf]])))</f>
        <v>3021.0280249999992</v>
      </c>
      <c r="AQ210" s="211">
        <f>MIN(Table_03[[#This Row],[Mny (k-in)]],Table_03[[#This Row],[Fcry]]*Table_03[[#This Row],[Static Parameters Elastic Section Modulus Sy (in3)3]])</f>
        <v>3021.0280249999992</v>
      </c>
      <c r="AR210" s="212" t="str">
        <f>IF(Table_03[[#This Row],[b/t]]&lt;Table_03[[#This Row],[λpf]],"Compact",IF(AND(Table_03[[#This Row],[b/t]]&gt;Table_03[[#This Row],[λpf]],Table_03[[#This Row],[λrf]]&gt;Table_03[[#This Row],[b/t]]),"Non-Compact","Slender"))</f>
        <v>Compact</v>
      </c>
      <c r="AS210" s="213">
        <f>IF(Table_03[[#This Row],[Controlling Lby]]="Compact",Table_03[[#This Row],[Mny (k-in)]],IF(Table_03[[#This Row],[Controlling Lby]]="Non-Compact",Table_03[[#This Row],[Mlby,Non-Compact (k-in)]],IF(Table_03[[#This Row],[Controlling Lby]]="Slender",Table_03[[#This Row],[Mlby,Slender (k-in)]],"ERROR")))</f>
        <v>3021.0280249999992</v>
      </c>
      <c r="AT210" s="214">
        <f>MIN(Table_03[[#This Row],[LBx]],Table_03[[#This Row],[LTB]],Table_03[[#This Row],[Mp (k-in)]])</f>
        <v>11435.342949999998</v>
      </c>
      <c r="AU210" s="206">
        <f>Table_03[[#This Row],[Mp (k-in)]]</f>
        <v>11435.342949999998</v>
      </c>
      <c r="AV210" s="206">
        <f>MIN(Table_03[[#This Row],[LBy]],Table_03[[#This Row],[Mny (k-in)]])</f>
        <v>3021.0280249999992</v>
      </c>
      <c r="AW210" s="215">
        <f>Table_03[[#This Row],[Mny (k-in)]]</f>
        <v>3021.0280249999992</v>
      </c>
      <c r="AX210" s="165">
        <f>SQRT(((Table_03[[#This Row],[Sectional Area (in2)]]-(Table_03[[#This Row],[Flange Thickness tf (in)]]*Table_03[[#This Row],[Width w (in)]]*2+Table_03[[#This Row],[Web Thickness tw (in)]]*((Table_03[[#This Row],[Depth h (in)]]-2*Table_03[[#This Row],[Flange Thickness tf (in)]]))))/4)/(1-PI()/4))</f>
        <v>0.37420149733544045</v>
      </c>
      <c r="AY210" s="165">
        <f>IF(4/SQRT((Table_03[[#This Row],[Depth h (in)]]-Table_03[[#This Row],[Flange Thickness tf (in)]]*2)/Table_03[[#This Row],[Web Thickness tw (in)]])&lt;0.35,0.35,IF(4/SQRT(Table_03[[#This Row],[Depth h (in)]]/Table_03[[#This Row],[Web Thickness tw (in)]])&gt;0.76,0.76,4/SQRT(Table_03[[#This Row],[Depth h (in)]]/Table_03[[#This Row],[Web Thickness tw (in)]])))</f>
        <v>0.71050181859344941</v>
      </c>
      <c r="AZ210" s="165"/>
    </row>
    <row r="211" spans="1:52" x14ac:dyDescent="0.3">
      <c r="A211" s="179" t="s">
        <v>303</v>
      </c>
      <c r="B211" s="180">
        <v>19</v>
      </c>
      <c r="C211" s="180">
        <v>11.27</v>
      </c>
      <c r="D211" s="180">
        <v>0.65500000000000003</v>
      </c>
      <c r="E211" s="180">
        <v>1.06</v>
      </c>
      <c r="F211" s="181">
        <v>35.1</v>
      </c>
      <c r="G211" s="180">
        <v>119</v>
      </c>
      <c r="H211" s="180">
        <v>2190</v>
      </c>
      <c r="I211" s="180">
        <v>253</v>
      </c>
      <c r="J211" s="181">
        <f>Table_03[[#This Row],[Width w (in)]]*Table_03[[#This Row],[Flange Thickness tf (in)]]*(Table_03[[#This Row],[Depth h (in)]]-Table_03[[#This Row],[Flange Thickness tf (in)]])+0.25*Table_03[[#This Row],[Web Thickness tw (in)]]*(Table_03[[#This Row],[Depth h (in)]]-2*Table_03[[#This Row],[Flange Thickness tf (in)]])^2</f>
        <v>260.97283600000003</v>
      </c>
      <c r="K211" s="181">
        <f>(Table_03[[#This Row],[Width w (in)]]^2*Table_03[[#This Row],[Flange Thickness tf (in)]])/2+0.25*Table_03[[#This Row],[Web Thickness tw (in)]]^2*(Table_03[[#This Row],[Depth h (in)]]-2*Table_03[[#This Row],[Flange Thickness tf (in)]])</f>
        <v>69.127322499999991</v>
      </c>
      <c r="L211" s="181">
        <v>231</v>
      </c>
      <c r="M211" s="181">
        <v>44.9</v>
      </c>
      <c r="N211" s="182">
        <v>50</v>
      </c>
      <c r="O211" s="181">
        <f>SQRT(Table_03[[#This Row],[Static Parameters Moment of Inertia Ix (in4)]]/Table_03[[#This Row],[Sectional Area (in2)]])</f>
        <v>7.8989342567945453</v>
      </c>
      <c r="P211" s="181">
        <f>SQRT(Table_03[[#This Row],[Static Parameters Moment of Inertia Iy (in4)]]/Table_03[[#This Row],[Sectional Area (in2)]])</f>
        <v>2.6847676264394296</v>
      </c>
      <c r="Q211" s="181">
        <f>($B$6*$B$5*12)/Table_03[[#This Row],[ry (in)2]]</f>
        <v>66.877296281362476</v>
      </c>
      <c r="R211" s="181">
        <f>(PI()^2*$B$4)/(Table_03[[#This Row],[KL/ry]]^2)</f>
        <v>63.994157976683255</v>
      </c>
      <c r="S211" s="181">
        <f>IF(Table_03[[#This Row],[Strength (ksi)]]/Table_03[[#This Row],[Fe,y]]&lt;2.25,(0.658^(Table_03[[#This Row],[Strength (ksi)]]/Table_03[[#This Row],[Fe,y]])*Table_03[[#This Row],[Strength (ksi)]]),0.877*Table_03[[#This Row],[Fe,y]])</f>
        <v>36.053382783048946</v>
      </c>
      <c r="T211" s="181">
        <f>Table_03[[#This Row],[Fcr,y]]*Table_03[[#This Row],[Sectional Area (in2)]]</f>
        <v>1265.473735685018</v>
      </c>
      <c r="U211" s="181">
        <f>1.76*Table_03[[#This Row],[ry (in)2]]*SQRT($B$4/Table_03[[#This Row],[Strength (ksi)]])/12</f>
        <v>9.4831391001160288</v>
      </c>
      <c r="V211"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34.229231175652664</v>
      </c>
      <c r="W211" s="181">
        <f>Table_03[[#This Row],[Depth h (in)]]-Table_03[[#This Row],[Flange Thickness tf (in)]]</f>
        <v>17.940000000000001</v>
      </c>
      <c r="X211" s="181">
        <f>(Table_03[[#This Row],[Static Parameters Moment of Inertia Iy (in4)]]*Table_03[[#This Row],[ho]]^2)/4</f>
        <v>20356.607700000004</v>
      </c>
      <c r="Y211" s="181">
        <f>SQRT((SQRT(Table_03[[#This Row],[Static Parameters Moment of Inertia Iy (in4)]]*Table_03[[#This Row],[Cw*]])/Table_03[[#This Row],[Static Parameters Elastic Section Modulus Sx (in3)2]]))</f>
        <v>3.1343716617985362</v>
      </c>
      <c r="Z211" s="181">
        <f>(2*Table_03[[#This Row],[Width w (in)]]*Table_03[[#This Row],[Flange Thickness tf (in)]]^3/3)+((Table_03[[#This Row],[Depth h (in)]]-Table_03[[#This Row],[Flange Thickness tf (in)]]*2)*Table_03[[#This Row],[Web Thickness tw (in)]]^3)/3</f>
        <v>10.529657550000001</v>
      </c>
      <c r="AA211" s="181">
        <f>Table_03[[#This Row],[Width w (in)]]*0.5/Table_03[[#This Row],[Flange Thickness tf (in)]]</f>
        <v>5.316037735849056</v>
      </c>
      <c r="AB211" s="181">
        <f>0.38*SQRT($B$4/Table_03[[#This Row],[Strength (ksi)]])</f>
        <v>9.1516118798821449</v>
      </c>
      <c r="AC211" s="181">
        <f>1*SQRT($B$4/Table_03[[#This Row],[Strength (ksi)]])</f>
        <v>24.083189157584592</v>
      </c>
      <c r="AD211" s="181">
        <f>(PI()^2*$B$4/(12*$B$5/Table_03[[#This Row],[rts]])^2)*SQRT(1+0.078*(Table_03[[#This Row],[J*]]/(Table_03[[#This Row],[Static Parameters Elastic Section Modulus Sx (in3)2]]*Table_03[[#This Row],[ho]])*$B$4/(12*$B$5/Table_03[[#This Row],[rts]])^2))</f>
        <v>386.1333340557818</v>
      </c>
      <c r="AE211" s="181">
        <f>0.69*$B$4/Table_03[[#This Row],[b/t]]^2</f>
        <v>708.06149611574904</v>
      </c>
      <c r="AF211" s="183">
        <f>Table_03[[#This Row],[Strength (ksi)]]*Table_03[[#This Row],[Static Parameters Plastic Section Modulus Zx (in3)]]</f>
        <v>13048.641800000001</v>
      </c>
      <c r="AG211" s="181">
        <f>Table_03[[#This Row],[Mp (k-in)]]-(Table_03[[#This Row],[Mp (k-in)]]-0.7*Table_03[[#This Row],[Strength (ksi)]]*Table_03[[#This Row],[Static Parameters Elastic Section Modulus Sx (in3)2]])*((Table_03[[#This Row],[b/t]]-Table_03[[#This Row],[λpf]])/(Table_03[[#This Row],[λrf]]-Table_03[[#This Row],[λpf]]))</f>
        <v>14323.685674752083</v>
      </c>
      <c r="AH211" s="184">
        <f>0.9*$B$4*Table_03[[#This Row],[kc]]*Table_03[[#This Row],[Static Parameters Elastic Section Modulus Sx (in3)2]]/Table_03[[#This Row],[b/t]]^2</f>
        <v>158445.61255508481</v>
      </c>
      <c r="AI211" s="185" t="str">
        <f>IF(Table_03[[#This Row],[b/t]]&lt;Table_03[[#This Row],[λpf]],"Compact",IF(AND(Table_03[[#This Row],[b/t]]&gt;Table_03[[#This Row],[λpf]],Table_03[[#This Row],[λrf]]&gt;Table_03[[#This Row],[b/t]]),"Non-Compact","Slender"))</f>
        <v>Compact</v>
      </c>
      <c r="AJ211" s="186">
        <f>IF(Table_03[[#This Row],[Controlling LBx]]="Compact",Table_03[[#This Row],[Mp (k-in)]],IF(Table_03[[#This Row],[Controlling LBx]]="Non-Compact",Table_03[[#This Row],[Mnlb,Non-Compact (k-in)]],IF(Table_03[[#This Row],[Controlling LBx]]="Slender",Table_03[[#This Row],[Mnlb,slender (k-in)]],"ERROR")))</f>
        <v>13048.641800000001</v>
      </c>
      <c r="AK211" s="183">
        <f>Table_03[[#This Row],[Mp (k-in)]]-(Table_03[[#This Row],[Mp (k-in)]]-0.7*Table_03[[#This Row],[Strength (ksi)]]*Table_03[[#This Row],[Static Parameters Elastic Section Modulus Sx (in3)2]])*(($B$5-Table_03[[#This Row],[Lp (ft)]])/(Table_03[[#This Row],[Lr]]-Table_03[[#This Row],[Lp (ft)]]))</f>
        <v>13521.644073321433</v>
      </c>
      <c r="AL211" s="184">
        <f>Table_03[[#This Row],[Fcrx]]*Table_03[[#This Row],[Static Parameters Elastic Section Modulus Sx (in3)2]]</f>
        <v>89196.800166885601</v>
      </c>
      <c r="AM211" s="185" t="str">
        <f>IF($B$5&lt;Table_03[[#This Row],[Lp (ft)]],"Yielding Controls",IF(AND($B$5&gt;Table_03[[#This Row],[Lp (ft)]],Table_03[[#This Row],[Lr]]&gt;$B$5),"Mltb,p Controls","Mltb,r Controls"))</f>
        <v>Yielding Controls</v>
      </c>
      <c r="AN211" s="186">
        <f>IF(Table_03[[#This Row],[Controlling LTB]]="Yielding Controls",Table_03[[#This Row],[Mp (k-in)]],IF(Table_03[[#This Row],[Controlling LTB]]="Mltb,p Controls",Table_03[[#This Row],[Mnltbp (k-in)]],IF(Table_03[[#This Row],[Controlling LTB]]="Mltb,r Controls",Table_03[[#This Row],[Mnltbr (k-in)]],"ERROR")))</f>
        <v>13048.641800000001</v>
      </c>
      <c r="AO211" s="183">
        <f>MIN(Table_03[[#This Row],[Strength (ksi)]]*Table_03[[#This Row],[Static Parameters Plastic Section Modulus Zy (in3)]],1.6*Table_03[[#This Row],[Strength (ksi)]]*Table_03[[#This Row],[Static Parameters Elastic Section Modulus Sy (in3)3]])</f>
        <v>3456.3661249999996</v>
      </c>
      <c r="AP211" s="181">
        <f>MIN(Table_03[[#This Row],[Mny (k-in)]],Table_03[[#This Row],[Mny (k-in)]]-(Table_03[[#This Row],[Mny (k-in)]]-0.7*Table_03[[#This Row],[Static Parameters Elastic Section Modulus Sy (in3)3]]*Table_03[[#This Row],[Strength (ksi)]])*((Table_03[[#This Row],[b/t]]-Table_03[[#This Row],[λpf]])/(Table_03[[#This Row],[λrf]]-Table_03[[#This Row],[λpf]])))</f>
        <v>3456.3661249999996</v>
      </c>
      <c r="AQ211" s="184">
        <f>MIN(Table_03[[#This Row],[Mny (k-in)]],Table_03[[#This Row],[Fcry]]*Table_03[[#This Row],[Static Parameters Elastic Section Modulus Sy (in3)3]])</f>
        <v>3456.3661249999996</v>
      </c>
      <c r="AR211" s="185" t="str">
        <f>IF(Table_03[[#This Row],[b/t]]&lt;Table_03[[#This Row],[λpf]],"Compact",IF(AND(Table_03[[#This Row],[b/t]]&gt;Table_03[[#This Row],[λpf]],Table_03[[#This Row],[λrf]]&gt;Table_03[[#This Row],[b/t]]),"Non-Compact","Slender"))</f>
        <v>Compact</v>
      </c>
      <c r="AS211" s="186">
        <f>IF(Table_03[[#This Row],[Controlling Lby]]="Compact",Table_03[[#This Row],[Mny (k-in)]],IF(Table_03[[#This Row],[Controlling Lby]]="Non-Compact",Table_03[[#This Row],[Mlby,Non-Compact (k-in)]],IF(Table_03[[#This Row],[Controlling Lby]]="Slender",Table_03[[#This Row],[Mlby,Slender (k-in)]],"ERROR")))</f>
        <v>3456.3661249999996</v>
      </c>
      <c r="AT211" s="183">
        <f>MIN(Table_03[[#This Row],[LBx]],Table_03[[#This Row],[LTB]],Table_03[[#This Row],[Mp (k-in)]])</f>
        <v>13048.641800000001</v>
      </c>
      <c r="AU211" s="181">
        <f>Table_03[[#This Row],[Mp (k-in)]]</f>
        <v>13048.641800000001</v>
      </c>
      <c r="AV211" s="181">
        <f>MIN(Table_03[[#This Row],[LBy]],Table_03[[#This Row],[Mny (k-in)]])</f>
        <v>3456.3661249999996</v>
      </c>
      <c r="AW211" s="187">
        <f>Table_03[[#This Row],[Mny (k-in)]]</f>
        <v>3456.3661249999996</v>
      </c>
      <c r="AX211" s="165">
        <f>SQRT(((Table_03[[#This Row],[Sectional Area (in2)]]-(Table_03[[#This Row],[Flange Thickness tf (in)]]*Table_03[[#This Row],[Width w (in)]]*2+Table_03[[#This Row],[Web Thickness tw (in)]]*((Table_03[[#This Row],[Depth h (in)]]-2*Table_03[[#This Row],[Flange Thickness tf (in)]]))))/4)/(1-PI()/4))</f>
        <v>0.41969054247994053</v>
      </c>
      <c r="AY211" s="165">
        <f>IF(4/SQRT((Table_03[[#This Row],[Depth h (in)]]-Table_03[[#This Row],[Flange Thickness tf (in)]]*2)/Table_03[[#This Row],[Web Thickness tw (in)]])&lt;0.35,0.35,IF(4/SQRT(Table_03[[#This Row],[Depth h (in)]]/Table_03[[#This Row],[Web Thickness tw (in)]])&gt;0.76,0.76,4/SQRT(Table_03[[#This Row],[Depth h (in)]]/Table_03[[#This Row],[Web Thickness tw (in)]])))</f>
        <v>0.74268361188895304</v>
      </c>
      <c r="AZ211" s="165"/>
    </row>
    <row r="212" spans="1:52" x14ac:dyDescent="0.3">
      <c r="A212" s="188" t="s">
        <v>304</v>
      </c>
      <c r="B212" s="189">
        <v>20.7</v>
      </c>
      <c r="C212" s="189">
        <v>6.5</v>
      </c>
      <c r="D212" s="189">
        <v>0.35</v>
      </c>
      <c r="E212" s="189">
        <v>0.45</v>
      </c>
      <c r="F212" s="190">
        <v>13</v>
      </c>
      <c r="G212" s="189">
        <v>44</v>
      </c>
      <c r="H212" s="190">
        <v>843</v>
      </c>
      <c r="I212" s="190">
        <v>20.7</v>
      </c>
      <c r="J212" s="190">
        <f>Table_03[[#This Row],[Width w (in)]]*Table_03[[#This Row],[Flange Thickness tf (in)]]*(Table_03[[#This Row],[Depth h (in)]]-Table_03[[#This Row],[Flange Thickness tf (in)]])+0.25*Table_03[[#This Row],[Web Thickness tw (in)]]*(Table_03[[#This Row],[Depth h (in)]]-2*Table_03[[#This Row],[Flange Thickness tf (in)]])^2</f>
        <v>93.534750000000003</v>
      </c>
      <c r="K212" s="190">
        <f>(Table_03[[#This Row],[Width w (in)]]^2*Table_03[[#This Row],[Flange Thickness tf (in)]])/2+0.25*Table_03[[#This Row],[Web Thickness tw (in)]]^2*(Table_03[[#This Row],[Depth h (in)]]-2*Table_03[[#This Row],[Flange Thickness tf (in)]])</f>
        <v>10.112625</v>
      </c>
      <c r="L212" s="190">
        <v>81.599999999999994</v>
      </c>
      <c r="M212" s="190">
        <v>6.4</v>
      </c>
      <c r="N212" s="191">
        <v>50</v>
      </c>
      <c r="O212" s="169">
        <f>SQRT(Table_03[[#This Row],[Static Parameters Moment of Inertia Ix (in4)]]/Table_03[[#This Row],[Sectional Area (in2)]])</f>
        <v>8.0527109625363948</v>
      </c>
      <c r="P212" s="190">
        <f>SQRT(Table_03[[#This Row],[Static Parameters Moment of Inertia Iy (in4)]]/Table_03[[#This Row],[Sectional Area (in2)]])</f>
        <v>1.2618667490300599</v>
      </c>
      <c r="Q212" s="190">
        <f>($B$6*$B$5*12)/Table_03[[#This Row],[ry (in)2]]</f>
        <v>142.2891918960635</v>
      </c>
      <c r="R212" s="190">
        <f>(PI()^2*$B$4)/(Table_03[[#This Row],[KL/ry]]^2)</f>
        <v>14.136891262121848</v>
      </c>
      <c r="S212" s="190">
        <f>IF(Table_03[[#This Row],[Strength (ksi)]]/Table_03[[#This Row],[Fe,y]]&lt;2.25,(0.658^(Table_03[[#This Row],[Strength (ksi)]]/Table_03[[#This Row],[Fe,y]])*Table_03[[#This Row],[Strength (ksi)]]),0.877*Table_03[[#This Row],[Fe,y]])</f>
        <v>12.39805363688086</v>
      </c>
      <c r="T212" s="190">
        <f>Table_03[[#This Row],[Fcr,y]]*Table_03[[#This Row],[Sectional Area (in2)]]</f>
        <v>161.17469727945118</v>
      </c>
      <c r="U212" s="190">
        <f>1.76*Table_03[[#This Row],[ry (in)2]]*SQRT($B$4/Table_03[[#This Row],[Strength (ksi)]])/12</f>
        <v>4.4571670892550639</v>
      </c>
      <c r="V21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12.901791674158673</v>
      </c>
      <c r="W212" s="190">
        <f>Table_03[[#This Row],[Depth h (in)]]-Table_03[[#This Row],[Flange Thickness tf (in)]]</f>
        <v>20.25</v>
      </c>
      <c r="X212" s="190">
        <f>(Table_03[[#This Row],[Static Parameters Moment of Inertia Iy (in4)]]*Table_03[[#This Row],[ho]]^2)/4</f>
        <v>2122.0734374999997</v>
      </c>
      <c r="Y212" s="190">
        <f>SQRT((SQRT(Table_03[[#This Row],[Static Parameters Moment of Inertia Iy (in4)]]*Table_03[[#This Row],[Cw*]])/Table_03[[#This Row],[Static Parameters Elastic Section Modulus Sx (in3)2]]))</f>
        <v>1.6026460197766326</v>
      </c>
      <c r="Z212" s="190">
        <f>(2*Table_03[[#This Row],[Width w (in)]]*Table_03[[#This Row],[Flange Thickness tf (in)]]^3/3)+((Table_03[[#This Row],[Depth h (in)]]-Table_03[[#This Row],[Flange Thickness tf (in)]]*2)*Table_03[[#This Row],[Web Thickness tw (in)]]^3)/3</f>
        <v>0.67784999999999995</v>
      </c>
      <c r="AA212" s="190">
        <f>Table_03[[#This Row],[Width w (in)]]*0.5/Table_03[[#This Row],[Flange Thickness tf (in)]]</f>
        <v>7.2222222222222223</v>
      </c>
      <c r="AB212" s="190">
        <f>0.38*SQRT($B$4/Table_03[[#This Row],[Strength (ksi)]])</f>
        <v>9.1516118798821449</v>
      </c>
      <c r="AC212" s="190">
        <f>1*SQRT($B$4/Table_03[[#This Row],[Strength (ksi)]])</f>
        <v>24.083189157584592</v>
      </c>
      <c r="AD212" s="190">
        <f>(PI()^2*$B$4/(12*$B$5/Table_03[[#This Row],[rts]])^2)*SQRT(1+0.078*(Table_03[[#This Row],[J*]]/(Table_03[[#This Row],[Static Parameters Elastic Section Modulus Sx (in3)2]]*Table_03[[#This Row],[ho]])*$B$4/(12*$B$5/Table_03[[#This Row],[rts]])^2))</f>
        <v>100.57997348993391</v>
      </c>
      <c r="AE212" s="190">
        <f>0.69*$B$4/Table_03[[#This Row],[b/t]]^2</f>
        <v>383.62366863905328</v>
      </c>
      <c r="AF212" s="192">
        <f>Table_03[[#This Row],[Strength (ksi)]]*Table_03[[#This Row],[Static Parameters Plastic Section Modulus Zx (in3)]]</f>
        <v>4676.7375000000002</v>
      </c>
      <c r="AG212" s="190">
        <f>Table_03[[#This Row],[Mp (k-in)]]-(Table_03[[#This Row],[Mp (k-in)]]-0.7*Table_03[[#This Row],[Strength (ksi)]]*Table_03[[#This Row],[Static Parameters Elastic Section Modulus Sx (in3)2]])*((Table_03[[#This Row],[b/t]]-Table_03[[#This Row],[λpf]])/(Table_03[[#This Row],[λrf]]-Table_03[[#This Row],[λpf]]))</f>
        <v>4912.0048154670321</v>
      </c>
      <c r="AH212" s="193">
        <f>0.9*$B$4*Table_03[[#This Row],[kc]]*Table_03[[#This Row],[Static Parameters Elastic Section Modulus Sx (in3)2]]/Table_03[[#This Row],[b/t]]^2</f>
        <v>21237.227161821287</v>
      </c>
      <c r="AI212" s="194" t="str">
        <f>IF(Table_03[[#This Row],[b/t]]&lt;Table_03[[#This Row],[λpf]],"Compact",IF(AND(Table_03[[#This Row],[b/t]]&gt;Table_03[[#This Row],[λpf]],Table_03[[#This Row],[λrf]]&gt;Table_03[[#This Row],[b/t]]),"Non-Compact","Slender"))</f>
        <v>Compact</v>
      </c>
      <c r="AJ212" s="195">
        <f>IF(Table_03[[#This Row],[Controlling LBx]]="Compact",Table_03[[#This Row],[Mp (k-in)]],IF(Table_03[[#This Row],[Controlling LBx]]="Non-Compact",Table_03[[#This Row],[Mnlb,Non-Compact (k-in)]],IF(Table_03[[#This Row],[Controlling LBx]]="Slender",Table_03[[#This Row],[Mnlb,slender (k-in)]],"ERROR")))</f>
        <v>4676.7375000000002</v>
      </c>
      <c r="AK212" s="192">
        <f>Table_03[[#This Row],[Mp (k-in)]]-(Table_03[[#This Row],[Mp (k-in)]]-0.7*Table_03[[#This Row],[Strength (ksi)]]*Table_03[[#This Row],[Static Parameters Elastic Section Modulus Sx (in3)2]])*(($B$5-Table_03[[#This Row],[Lp (ft)]])/(Table_03[[#This Row],[Lr]]-Table_03[[#This Row],[Lp (ft)]]))</f>
        <v>4101.5285756138246</v>
      </c>
      <c r="AL212" s="196">
        <f>Table_03[[#This Row],[Fcrx]]*Table_03[[#This Row],[Static Parameters Elastic Section Modulus Sx (in3)2]]</f>
        <v>8207.3258367786057</v>
      </c>
      <c r="AM212" s="197" t="str">
        <f>IF($B$5&lt;Table_03[[#This Row],[Lp (ft)]],"Yielding Controls",IF(AND($B$5&gt;Table_03[[#This Row],[Lp (ft)]],Table_03[[#This Row],[Lr]]&gt;$B$5),"Mltb,p Controls","Mltb,r Controls"))</f>
        <v>Mltb,p Controls</v>
      </c>
      <c r="AN212" s="198">
        <f>IF(Table_03[[#This Row],[Controlling LTB]]="Yielding Controls",Table_03[[#This Row],[Mp (k-in)]],IF(Table_03[[#This Row],[Controlling LTB]]="Mltb,p Controls",Table_03[[#This Row],[Mnltbp (k-in)]],IF(Table_03[[#This Row],[Controlling LTB]]="Mltb,r Controls",Table_03[[#This Row],[Mnltbr (k-in)]],"ERROR")))</f>
        <v>4101.5285756138246</v>
      </c>
      <c r="AO212" s="199">
        <f>MIN(Table_03[[#This Row],[Strength (ksi)]]*Table_03[[#This Row],[Static Parameters Plastic Section Modulus Zy (in3)]],1.6*Table_03[[#This Row],[Strength (ksi)]]*Table_03[[#This Row],[Static Parameters Elastic Section Modulus Sy (in3)3]])</f>
        <v>505.63124999999997</v>
      </c>
      <c r="AP212" s="169">
        <f>MIN(Table_03[[#This Row],[Mny (k-in)]],Table_03[[#This Row],[Mny (k-in)]]-(Table_03[[#This Row],[Mny (k-in)]]-0.7*Table_03[[#This Row],[Static Parameters Elastic Section Modulus Sy (in3)3]]*Table_03[[#This Row],[Strength (ksi)]])*((Table_03[[#This Row],[b/t]]-Table_03[[#This Row],[λpf]])/(Table_03[[#This Row],[λrf]]-Table_03[[#This Row],[λpf]])))</f>
        <v>505.63124999999997</v>
      </c>
      <c r="AQ212" s="196">
        <f>MIN(Table_03[[#This Row],[Mny (k-in)]],Table_03[[#This Row],[Fcry]]*Table_03[[#This Row],[Static Parameters Elastic Section Modulus Sy (in3)3]])</f>
        <v>505.63124999999997</v>
      </c>
      <c r="AR212" s="197" t="str">
        <f>IF(Table_03[[#This Row],[b/t]]&lt;Table_03[[#This Row],[λpf]],"Compact",IF(AND(Table_03[[#This Row],[b/t]]&gt;Table_03[[#This Row],[λpf]],Table_03[[#This Row],[λrf]]&gt;Table_03[[#This Row],[b/t]]),"Non-Compact","Slender"))</f>
        <v>Compact</v>
      </c>
      <c r="AS212" s="198">
        <f>IF(Table_03[[#This Row],[Controlling Lby]]="Compact",Table_03[[#This Row],[Mny (k-in)]],IF(Table_03[[#This Row],[Controlling Lby]]="Non-Compact",Table_03[[#This Row],[Mlby,Non-Compact (k-in)]],IF(Table_03[[#This Row],[Controlling Lby]]="Slender",Table_03[[#This Row],[Mlby,Slender (k-in)]],"ERROR")))</f>
        <v>505.63124999999997</v>
      </c>
      <c r="AT212" s="199">
        <f>MIN(Table_03[[#This Row],[LBx]],Table_03[[#This Row],[LTB]],Table_03[[#This Row],[Mp (k-in)]])</f>
        <v>4101.5285756138246</v>
      </c>
      <c r="AU212" s="169">
        <f>Table_03[[#This Row],[Mp (k-in)]]</f>
        <v>4676.7375000000002</v>
      </c>
      <c r="AV212" s="169">
        <f>MIN(Table_03[[#This Row],[LBy]],Table_03[[#This Row],[Mny (k-in)]])</f>
        <v>505.63124999999997</v>
      </c>
      <c r="AW212" s="200">
        <f>Table_03[[#This Row],[Mny (k-in)]]</f>
        <v>505.63124999999997</v>
      </c>
      <c r="AX212" s="165">
        <f>SQRT(((Table_03[[#This Row],[Sectional Area (in2)]]-(Table_03[[#This Row],[Flange Thickness tf (in)]]*Table_03[[#This Row],[Width w (in)]]*2+Table_03[[#This Row],[Web Thickness tw (in)]]*((Table_03[[#This Row],[Depth h (in)]]-2*Table_03[[#This Row],[Flange Thickness tf (in)]]))))/4)/(1-PI()/4))</f>
        <v>0.50624952360264053</v>
      </c>
      <c r="AY212" s="165">
        <f>IF(4/SQRT((Table_03[[#This Row],[Depth h (in)]]-Table_03[[#This Row],[Flange Thickness tf (in)]]*2)/Table_03[[#This Row],[Web Thickness tw (in)]])&lt;0.35,0.35,IF(4/SQRT(Table_03[[#This Row],[Depth h (in)]]/Table_03[[#This Row],[Web Thickness tw (in)]])&gt;0.76,0.76,4/SQRT(Table_03[[#This Row],[Depth h (in)]]/Table_03[[#This Row],[Web Thickness tw (in)]])))</f>
        <v>0.52012633173699596</v>
      </c>
      <c r="AZ212" s="165"/>
    </row>
    <row r="213" spans="1:52" ht="14.4" thickBot="1" x14ac:dyDescent="0.35">
      <c r="A213" s="201" t="s">
        <v>305</v>
      </c>
      <c r="B213" s="202">
        <v>20.8</v>
      </c>
      <c r="C213" s="202">
        <v>6.53</v>
      </c>
      <c r="D213" s="202">
        <v>0.38</v>
      </c>
      <c r="E213" s="202">
        <v>0.53500000000000003</v>
      </c>
      <c r="F213" s="203">
        <v>14.7</v>
      </c>
      <c r="G213" s="204">
        <v>50</v>
      </c>
      <c r="H213" s="203">
        <v>984</v>
      </c>
      <c r="I213" s="203">
        <v>24.9</v>
      </c>
      <c r="J213" s="203">
        <f>Table_03[[#This Row],[Width w (in)]]*Table_03[[#This Row],[Flange Thickness tf (in)]]*(Table_03[[#This Row],[Depth h (in)]]-Table_03[[#This Row],[Flange Thickness tf (in)]])+0.25*Table_03[[#This Row],[Web Thickness tw (in)]]*(Table_03[[#This Row],[Depth h (in)]]-2*Table_03[[#This Row],[Flange Thickness tf (in)]])^2</f>
        <v>107.77771625000001</v>
      </c>
      <c r="K213" s="203">
        <f>(Table_03[[#This Row],[Width w (in)]]^2*Table_03[[#This Row],[Flange Thickness tf (in)]])/2+0.25*Table_03[[#This Row],[Web Thickness tw (in)]]^2*(Table_03[[#This Row],[Depth h (in)]]-2*Table_03[[#This Row],[Flange Thickness tf (in)]])</f>
        <v>12.118693750000002</v>
      </c>
      <c r="L213" s="203">
        <v>94.5</v>
      </c>
      <c r="M213" s="203">
        <v>7.6</v>
      </c>
      <c r="N213" s="205">
        <v>50</v>
      </c>
      <c r="O213" s="206">
        <f>SQRT(Table_03[[#This Row],[Static Parameters Moment of Inertia Ix (in4)]]/Table_03[[#This Row],[Sectional Area (in2)]])</f>
        <v>8.1816120361579152</v>
      </c>
      <c r="P213" s="203">
        <f>SQRT(Table_03[[#This Row],[Static Parameters Moment of Inertia Iy (in4)]]/Table_03[[#This Row],[Sectional Area (in2)]])</f>
        <v>1.3014905113063284</v>
      </c>
      <c r="Q213" s="203">
        <f>($B$6*$B$5*12)/Table_03[[#This Row],[ry (in)2]]</f>
        <v>137.95721016804231</v>
      </c>
      <c r="R213" s="203">
        <f>(PI()^2*$B$4)/(Table_03[[#This Row],[KL/ry]]^2)</f>
        <v>15.038652934860963</v>
      </c>
      <c r="S213" s="203">
        <f>IF(Table_03[[#This Row],[Strength (ksi)]]/Table_03[[#This Row],[Fe,y]]&lt;2.25,(0.658^(Table_03[[#This Row],[Strength (ksi)]]/Table_03[[#This Row],[Fe,y]])*Table_03[[#This Row],[Strength (ksi)]]),0.877*Table_03[[#This Row],[Fe,y]])</f>
        <v>13.188898623873065</v>
      </c>
      <c r="T213" s="203">
        <f>Table_03[[#This Row],[Fcr,y]]*Table_03[[#This Row],[Sectional Area (in2)]]</f>
        <v>193.87680977093405</v>
      </c>
      <c r="U213" s="203">
        <f>1.76*Table_03[[#This Row],[ry (in)2]]*SQRT($B$4/Table_03[[#This Row],[Strength (ksi)]])/12</f>
        <v>4.5971261850201302</v>
      </c>
      <c r="V213"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13.418305992204902</v>
      </c>
      <c r="W213" s="203">
        <f>Table_03[[#This Row],[Depth h (in)]]-Table_03[[#This Row],[Flange Thickness tf (in)]]</f>
        <v>20.265000000000001</v>
      </c>
      <c r="X213" s="203">
        <f>(Table_03[[#This Row],[Static Parameters Moment of Inertia Iy (in4)]]*Table_03[[#This Row],[ho]]^2)/4</f>
        <v>2556.4221506250001</v>
      </c>
      <c r="Y213" s="203">
        <f>SQRT((SQRT(Table_03[[#This Row],[Static Parameters Moment of Inertia Iy (in4)]]*Table_03[[#This Row],[Cw*]])/Table_03[[#This Row],[Static Parameters Elastic Section Modulus Sx (in3)2]]))</f>
        <v>1.633962463869147</v>
      </c>
      <c r="Z213" s="203">
        <f>(2*Table_03[[#This Row],[Width w (in)]]*Table_03[[#This Row],[Flange Thickness tf (in)]]^3/3)+((Table_03[[#This Row],[Depth h (in)]]-Table_03[[#This Row],[Flange Thickness tf (in)]]*2)*Table_03[[#This Row],[Web Thickness tw (in)]]^3)/3</f>
        <v>1.0275024191666668</v>
      </c>
      <c r="AA213" s="203">
        <f>Table_03[[#This Row],[Width w (in)]]*0.5/Table_03[[#This Row],[Flange Thickness tf (in)]]</f>
        <v>6.1028037383177569</v>
      </c>
      <c r="AB213" s="203">
        <f>0.38*SQRT($B$4/Table_03[[#This Row],[Strength (ksi)]])</f>
        <v>9.1516118798821449</v>
      </c>
      <c r="AC213" s="203">
        <f>1*SQRT($B$4/Table_03[[#This Row],[Strength (ksi)]])</f>
        <v>24.083189157584592</v>
      </c>
      <c r="AD213" s="203">
        <f>(PI()^2*$B$4/(12*$B$5/Table_03[[#This Row],[rts]])^2)*SQRT(1+0.078*(Table_03[[#This Row],[J*]]/(Table_03[[#This Row],[Static Parameters Elastic Section Modulus Sx (in3)2]]*Table_03[[#This Row],[ho]])*$B$4/(12*$B$5/Table_03[[#This Row],[rts]])^2))</f>
        <v>104.55526186258152</v>
      </c>
      <c r="AE213" s="203">
        <f>0.69*$B$4/Table_03[[#This Row],[b/t]]^2</f>
        <v>537.2646684286683</v>
      </c>
      <c r="AF213" s="207">
        <f>Table_03[[#This Row],[Strength (ksi)]]*Table_03[[#This Row],[Static Parameters Plastic Section Modulus Zx (in3)]]</f>
        <v>5388.8858125000006</v>
      </c>
      <c r="AG213" s="203">
        <f>Table_03[[#This Row],[Mp (k-in)]]-(Table_03[[#This Row],[Mp (k-in)]]-0.7*Table_03[[#This Row],[Strength (ksi)]]*Table_03[[#This Row],[Static Parameters Elastic Section Modulus Sx (in3)2]])*((Table_03[[#This Row],[b/t]]-Table_03[[#This Row],[λpf]])/(Table_03[[#This Row],[λrf]]-Table_03[[#This Row],[λpf]]))</f>
        <v>5813.8741371000287</v>
      </c>
      <c r="AH213" s="208">
        <f>0.9*$B$4*Table_03[[#This Row],[kc]]*Table_03[[#This Row],[Static Parameters Elastic Section Modulus Sx (in3)2]]/Table_03[[#This Row],[b/t]]^2</f>
        <v>35804.171674361831</v>
      </c>
      <c r="AI213" s="209" t="str">
        <f>IF(Table_03[[#This Row],[b/t]]&lt;Table_03[[#This Row],[λpf]],"Compact",IF(AND(Table_03[[#This Row],[b/t]]&gt;Table_03[[#This Row],[λpf]],Table_03[[#This Row],[λrf]]&gt;Table_03[[#This Row],[b/t]]),"Non-Compact","Slender"))</f>
        <v>Compact</v>
      </c>
      <c r="AJ213" s="210">
        <f>IF(Table_03[[#This Row],[Controlling LBx]]="Compact",Table_03[[#This Row],[Mp (k-in)]],IF(Table_03[[#This Row],[Controlling LBx]]="Non-Compact",Table_03[[#This Row],[Mnlb,Non-Compact (k-in)]],IF(Table_03[[#This Row],[Controlling LBx]]="Slender",Table_03[[#This Row],[Mnlb,slender (k-in)]],"ERROR")))</f>
        <v>5388.8858125000006</v>
      </c>
      <c r="AK213" s="207">
        <f>Table_03[[#This Row],[Mp (k-in)]]-(Table_03[[#This Row],[Mp (k-in)]]-0.7*Table_03[[#This Row],[Strength (ksi)]]*Table_03[[#This Row],[Static Parameters Elastic Section Modulus Sx (in3)2]])*(($B$5-Table_03[[#This Row],[Lp (ft)]])/(Table_03[[#This Row],[Lr]]-Table_03[[#This Row],[Lp (ft)]]))</f>
        <v>4792.4258367035745</v>
      </c>
      <c r="AL213" s="211">
        <f>Table_03[[#This Row],[Fcrx]]*Table_03[[#This Row],[Static Parameters Elastic Section Modulus Sx (in3)2]]</f>
        <v>9880.4722460139528</v>
      </c>
      <c r="AM213" s="212" t="str">
        <f>IF($B$5&lt;Table_03[[#This Row],[Lp (ft)]],"Yielding Controls",IF(AND($B$5&gt;Table_03[[#This Row],[Lp (ft)]],Table_03[[#This Row],[Lr]]&gt;$B$5),"Mltb,p Controls","Mltb,r Controls"))</f>
        <v>Mltb,p Controls</v>
      </c>
      <c r="AN213" s="213">
        <f>IF(Table_03[[#This Row],[Controlling LTB]]="Yielding Controls",Table_03[[#This Row],[Mp (k-in)]],IF(Table_03[[#This Row],[Controlling LTB]]="Mltb,p Controls",Table_03[[#This Row],[Mnltbp (k-in)]],IF(Table_03[[#This Row],[Controlling LTB]]="Mltb,r Controls",Table_03[[#This Row],[Mnltbr (k-in)]],"ERROR")))</f>
        <v>4792.4258367035745</v>
      </c>
      <c r="AO213" s="214">
        <f>MIN(Table_03[[#This Row],[Strength (ksi)]]*Table_03[[#This Row],[Static Parameters Plastic Section Modulus Zy (in3)]],1.6*Table_03[[#This Row],[Strength (ksi)]]*Table_03[[#This Row],[Static Parameters Elastic Section Modulus Sy (in3)3]])</f>
        <v>605.93468750000011</v>
      </c>
      <c r="AP213" s="206">
        <f>MIN(Table_03[[#This Row],[Mny (k-in)]],Table_03[[#This Row],[Mny (k-in)]]-(Table_03[[#This Row],[Mny (k-in)]]-0.7*Table_03[[#This Row],[Static Parameters Elastic Section Modulus Sy (in3)3]]*Table_03[[#This Row],[Strength (ksi)]])*((Table_03[[#This Row],[b/t]]-Table_03[[#This Row],[λpf]])/(Table_03[[#This Row],[λrf]]-Table_03[[#This Row],[λpf]])))</f>
        <v>605.93468750000011</v>
      </c>
      <c r="AQ213" s="211">
        <f>MIN(Table_03[[#This Row],[Mny (k-in)]],Table_03[[#This Row],[Fcry]]*Table_03[[#This Row],[Static Parameters Elastic Section Modulus Sy (in3)3]])</f>
        <v>605.93468750000011</v>
      </c>
      <c r="AR213" s="212" t="str">
        <f>IF(Table_03[[#This Row],[b/t]]&lt;Table_03[[#This Row],[λpf]],"Compact",IF(AND(Table_03[[#This Row],[b/t]]&gt;Table_03[[#This Row],[λpf]],Table_03[[#This Row],[λrf]]&gt;Table_03[[#This Row],[b/t]]),"Non-Compact","Slender"))</f>
        <v>Compact</v>
      </c>
      <c r="AS213" s="213">
        <f>IF(Table_03[[#This Row],[Controlling Lby]]="Compact",Table_03[[#This Row],[Mny (k-in)]],IF(Table_03[[#This Row],[Controlling Lby]]="Non-Compact",Table_03[[#This Row],[Mlby,Non-Compact (k-in)]],IF(Table_03[[#This Row],[Controlling Lby]]="Slender",Table_03[[#This Row],[Mlby,Slender (k-in)]],"ERROR")))</f>
        <v>605.93468750000011</v>
      </c>
      <c r="AT213" s="214">
        <f>MIN(Table_03[[#This Row],[LBx]],Table_03[[#This Row],[LTB]],Table_03[[#This Row],[Mp (k-in)]])</f>
        <v>4792.4258367035745</v>
      </c>
      <c r="AU213" s="206">
        <f>Table_03[[#This Row],[Mp (k-in)]]</f>
        <v>5388.8858125000006</v>
      </c>
      <c r="AV213" s="206">
        <f>MIN(Table_03[[#This Row],[LBy]],Table_03[[#This Row],[Mny (k-in)]])</f>
        <v>605.93468750000011</v>
      </c>
      <c r="AW213" s="215">
        <f>Table_03[[#This Row],[Mny (k-in)]]</f>
        <v>605.93468750000011</v>
      </c>
      <c r="AX213" s="165">
        <f>SQRT(((Table_03[[#This Row],[Sectional Area (in2)]]-(Table_03[[#This Row],[Flange Thickness tf (in)]]*Table_03[[#This Row],[Width w (in)]]*2+Table_03[[#This Row],[Web Thickness tw (in)]]*((Table_03[[#This Row],[Depth h (in)]]-2*Table_03[[#This Row],[Flange Thickness tf (in)]]))))/4)/(1-PI()/4))</f>
        <v>0.50104522124832607</v>
      </c>
      <c r="AY213" s="165">
        <f>IF(4/SQRT((Table_03[[#This Row],[Depth h (in)]]-Table_03[[#This Row],[Flange Thickness tf (in)]]*2)/Table_03[[#This Row],[Web Thickness tw (in)]])&lt;0.35,0.35,IF(4/SQRT(Table_03[[#This Row],[Depth h (in)]]/Table_03[[#This Row],[Web Thickness tw (in)]])&gt;0.76,0.76,4/SQRT(Table_03[[#This Row],[Depth h (in)]]/Table_03[[#This Row],[Web Thickness tw (in)]])))</f>
        <v>0.54065487356324859</v>
      </c>
      <c r="AZ213" s="165"/>
    </row>
    <row r="214" spans="1:52" x14ac:dyDescent="0.3">
      <c r="A214" s="179" t="s">
        <v>306</v>
      </c>
      <c r="B214" s="180">
        <v>21</v>
      </c>
      <c r="C214" s="180">
        <v>8.24</v>
      </c>
      <c r="D214" s="180">
        <v>0.4</v>
      </c>
      <c r="E214" s="180">
        <v>0.61499999999999999</v>
      </c>
      <c r="F214" s="181">
        <v>18.3</v>
      </c>
      <c r="G214" s="180">
        <v>62</v>
      </c>
      <c r="H214" s="180">
        <v>1330</v>
      </c>
      <c r="I214" s="180">
        <v>57.5</v>
      </c>
      <c r="J214" s="181">
        <f>Table_03[[#This Row],[Width w (in)]]*Table_03[[#This Row],[Flange Thickness tf (in)]]*(Table_03[[#This Row],[Depth h (in)]]-Table_03[[#This Row],[Flange Thickness tf (in)]])+0.25*Table_03[[#This Row],[Web Thickness tw (in)]]*(Table_03[[#This Row],[Depth h (in)]]-2*Table_03[[#This Row],[Flange Thickness tf (in)]])^2</f>
        <v>142.388316</v>
      </c>
      <c r="K214" s="181">
        <f>(Table_03[[#This Row],[Width w (in)]]^2*Table_03[[#This Row],[Flange Thickness tf (in)]])/2+0.25*Table_03[[#This Row],[Web Thickness tw (in)]]^2*(Table_03[[#This Row],[Depth h (in)]]-2*Table_03[[#This Row],[Flange Thickness tf (in)]])</f>
        <v>21.669311999999998</v>
      </c>
      <c r="L214" s="181">
        <v>127</v>
      </c>
      <c r="M214" s="181">
        <v>13.9</v>
      </c>
      <c r="N214" s="182">
        <v>50</v>
      </c>
      <c r="O214" s="181">
        <f>SQRT(Table_03[[#This Row],[Static Parameters Moment of Inertia Ix (in4)]]/Table_03[[#This Row],[Sectional Area (in2)]])</f>
        <v>8.5251155785957113</v>
      </c>
      <c r="P214" s="181">
        <f>SQRT(Table_03[[#This Row],[Static Parameters Moment of Inertia Iy (in4)]]/Table_03[[#This Row],[Sectional Area (in2)]])</f>
        <v>1.7725903369736167</v>
      </c>
      <c r="Q214" s="181">
        <f>($B$6*$B$5*12)/Table_03[[#This Row],[ry (in)2]]</f>
        <v>101.29243980114985</v>
      </c>
      <c r="R214" s="181">
        <f>(PI()^2*$B$4)/(Table_03[[#This Row],[KL/ry]]^2)</f>
        <v>27.896112083725559</v>
      </c>
      <c r="S214" s="181">
        <f>IF(Table_03[[#This Row],[Strength (ksi)]]/Table_03[[#This Row],[Fe,y]]&lt;2.25,(0.658^(Table_03[[#This Row],[Strength (ksi)]]/Table_03[[#This Row],[Fe,y]])*Table_03[[#This Row],[Strength (ksi)]]),0.877*Table_03[[#This Row],[Fe,y]])</f>
        <v>23.613727948160719</v>
      </c>
      <c r="T214" s="181">
        <f>Table_03[[#This Row],[Fcr,y]]*Table_03[[#This Row],[Sectional Area (in2)]]</f>
        <v>432.13122145134116</v>
      </c>
      <c r="U214" s="181">
        <f>1.76*Table_03[[#This Row],[ry (in)2]]*SQRT($B$4/Table_03[[#This Row],[Strength (ksi)]])/12</f>
        <v>6.2611454963555255</v>
      </c>
      <c r="V214"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17.975511949381929</v>
      </c>
      <c r="W214" s="181">
        <f>Table_03[[#This Row],[Depth h (in)]]-Table_03[[#This Row],[Flange Thickness tf (in)]]</f>
        <v>20.385000000000002</v>
      </c>
      <c r="X214" s="181">
        <f>(Table_03[[#This Row],[Static Parameters Moment of Inertia Iy (in4)]]*Table_03[[#This Row],[ho]]^2)/4</f>
        <v>5973.5057343750004</v>
      </c>
      <c r="Y214" s="181">
        <f>SQRT((SQRT(Table_03[[#This Row],[Static Parameters Moment of Inertia Iy (in4)]]*Table_03[[#This Row],[Cw*]])/Table_03[[#This Row],[Static Parameters Elastic Section Modulus Sx (in3)2]]))</f>
        <v>2.1481886711667424</v>
      </c>
      <c r="Z214" s="181">
        <f>(2*Table_03[[#This Row],[Width w (in)]]*Table_03[[#This Row],[Flange Thickness tf (in)]]^3/3)+((Table_03[[#This Row],[Depth h (in)]]-Table_03[[#This Row],[Flange Thickness tf (in)]]*2)*Table_03[[#This Row],[Web Thickness tw (in)]]^3)/3</f>
        <v>1.6995553400000001</v>
      </c>
      <c r="AA214" s="181">
        <f>Table_03[[#This Row],[Width w (in)]]*0.5/Table_03[[#This Row],[Flange Thickness tf (in)]]</f>
        <v>6.6991869918699187</v>
      </c>
      <c r="AB214" s="181">
        <f>0.38*SQRT($B$4/Table_03[[#This Row],[Strength (ksi)]])</f>
        <v>9.1516118798821449</v>
      </c>
      <c r="AC214" s="181">
        <f>1*SQRT($B$4/Table_03[[#This Row],[Strength (ksi)]])</f>
        <v>24.083189157584592</v>
      </c>
      <c r="AD214" s="181">
        <f>(PI()^2*$B$4/(12*$B$5/Table_03[[#This Row],[rts]])^2)*SQRT(1+0.078*(Table_03[[#This Row],[J*]]/(Table_03[[#This Row],[Static Parameters Elastic Section Modulus Sx (in3)2]]*Table_03[[#This Row],[ho]])*$B$4/(12*$B$5/Table_03[[#This Row],[rts]])^2))</f>
        <v>180.76477989643928</v>
      </c>
      <c r="AE214" s="181">
        <f>0.69*$B$4/Table_03[[#This Row],[b/t]]^2</f>
        <v>445.86449300122536</v>
      </c>
      <c r="AF214" s="183">
        <f>Table_03[[#This Row],[Strength (ksi)]]*Table_03[[#This Row],[Static Parameters Plastic Section Modulus Zx (in3)]]</f>
        <v>7119.4157999999998</v>
      </c>
      <c r="AG214" s="181">
        <f>Table_03[[#This Row],[Mp (k-in)]]-(Table_03[[#This Row],[Mp (k-in)]]-0.7*Table_03[[#This Row],[Strength (ksi)]]*Table_03[[#This Row],[Static Parameters Elastic Section Modulus Sx (in3)2]])*((Table_03[[#This Row],[b/t]]-Table_03[[#This Row],[λpf]])/(Table_03[[#This Row],[λrf]]-Table_03[[#This Row],[λpf]]))</f>
        <v>7558.6730698001229</v>
      </c>
      <c r="AH214" s="184">
        <f>0.9*$B$4*Table_03[[#This Row],[kc]]*Table_03[[#This Row],[Static Parameters Elastic Section Modulus Sx (in3)2]]/Table_03[[#This Row],[b/t]]^2</f>
        <v>40773.722927719085</v>
      </c>
      <c r="AI214" s="185" t="str">
        <f>IF(Table_03[[#This Row],[b/t]]&lt;Table_03[[#This Row],[λpf]],"Compact",IF(AND(Table_03[[#This Row],[b/t]]&gt;Table_03[[#This Row],[λpf]],Table_03[[#This Row],[λrf]]&gt;Table_03[[#This Row],[b/t]]),"Non-Compact","Slender"))</f>
        <v>Compact</v>
      </c>
      <c r="AJ214" s="186">
        <f>IF(Table_03[[#This Row],[Controlling LBx]]="Compact",Table_03[[#This Row],[Mp (k-in)]],IF(Table_03[[#This Row],[Controlling LBx]]="Non-Compact",Table_03[[#This Row],[Mnlb,Non-Compact (k-in)]],IF(Table_03[[#This Row],[Controlling LBx]]="Slender",Table_03[[#This Row],[Mnlb,slender (k-in)]],"ERROR")))</f>
        <v>7119.4157999999998</v>
      </c>
      <c r="AK214" s="183">
        <f>Table_03[[#This Row],[Mp (k-in)]]-(Table_03[[#This Row],[Mp (k-in)]]-0.7*Table_03[[#This Row],[Strength (ksi)]]*Table_03[[#This Row],[Static Parameters Elastic Section Modulus Sx (in3)2]])*(($B$5-Table_03[[#This Row],[Lp (ft)]])/(Table_03[[#This Row],[Lr]]-Table_03[[#This Row],[Lp (ft)]]))</f>
        <v>6922.1959040105694</v>
      </c>
      <c r="AL214" s="184">
        <f>Table_03[[#This Row],[Fcrx]]*Table_03[[#This Row],[Static Parameters Elastic Section Modulus Sx (in3)2]]</f>
        <v>22957.127046847789</v>
      </c>
      <c r="AM214" s="185" t="str">
        <f>IF($B$5&lt;Table_03[[#This Row],[Lp (ft)]],"Yielding Controls",IF(AND($B$5&gt;Table_03[[#This Row],[Lp (ft)]],Table_03[[#This Row],[Lr]]&gt;$B$5),"Mltb,p Controls","Mltb,r Controls"))</f>
        <v>Mltb,p Controls</v>
      </c>
      <c r="AN214" s="186">
        <f>IF(Table_03[[#This Row],[Controlling LTB]]="Yielding Controls",Table_03[[#This Row],[Mp (k-in)]],IF(Table_03[[#This Row],[Controlling LTB]]="Mltb,p Controls",Table_03[[#This Row],[Mnltbp (k-in)]],IF(Table_03[[#This Row],[Controlling LTB]]="Mltb,r Controls",Table_03[[#This Row],[Mnltbr (k-in)]],"ERROR")))</f>
        <v>6922.1959040105694</v>
      </c>
      <c r="AO214" s="183">
        <f>MIN(Table_03[[#This Row],[Strength (ksi)]]*Table_03[[#This Row],[Static Parameters Plastic Section Modulus Zy (in3)]],1.6*Table_03[[#This Row],[Strength (ksi)]]*Table_03[[#This Row],[Static Parameters Elastic Section Modulus Sy (in3)3]])</f>
        <v>1083.4656</v>
      </c>
      <c r="AP214" s="181">
        <f>MIN(Table_03[[#This Row],[Mny (k-in)]],Table_03[[#This Row],[Mny (k-in)]]-(Table_03[[#This Row],[Mny (k-in)]]-0.7*Table_03[[#This Row],[Static Parameters Elastic Section Modulus Sy (in3)3]]*Table_03[[#This Row],[Strength (ksi)]])*((Table_03[[#This Row],[b/t]]-Table_03[[#This Row],[λpf]])/(Table_03[[#This Row],[λrf]]-Table_03[[#This Row],[λpf]])))</f>
        <v>1083.4656</v>
      </c>
      <c r="AQ214" s="184">
        <f>MIN(Table_03[[#This Row],[Mny (k-in)]],Table_03[[#This Row],[Fcry]]*Table_03[[#This Row],[Static Parameters Elastic Section Modulus Sy (in3)3]])</f>
        <v>1083.4656</v>
      </c>
      <c r="AR214" s="185" t="str">
        <f>IF(Table_03[[#This Row],[b/t]]&lt;Table_03[[#This Row],[λpf]],"Compact",IF(AND(Table_03[[#This Row],[b/t]]&gt;Table_03[[#This Row],[λpf]],Table_03[[#This Row],[λrf]]&gt;Table_03[[#This Row],[b/t]]),"Non-Compact","Slender"))</f>
        <v>Compact</v>
      </c>
      <c r="AS214" s="186">
        <f>IF(Table_03[[#This Row],[Controlling Lby]]="Compact",Table_03[[#This Row],[Mny (k-in)]],IF(Table_03[[#This Row],[Controlling Lby]]="Non-Compact",Table_03[[#This Row],[Mlby,Non-Compact (k-in)]],IF(Table_03[[#This Row],[Controlling Lby]]="Slender",Table_03[[#This Row],[Mlby,Slender (k-in)]],"ERROR")))</f>
        <v>1083.4656</v>
      </c>
      <c r="AT214" s="183">
        <f>MIN(Table_03[[#This Row],[LBx]],Table_03[[#This Row],[LTB]],Table_03[[#This Row],[Mp (k-in)]])</f>
        <v>6922.1959040105694</v>
      </c>
      <c r="AU214" s="181">
        <f>Table_03[[#This Row],[Mp (k-in)]]</f>
        <v>7119.4157999999998</v>
      </c>
      <c r="AV214" s="181">
        <f>MIN(Table_03[[#This Row],[LBy]],Table_03[[#This Row],[Mny (k-in)]])</f>
        <v>1083.4656</v>
      </c>
      <c r="AW214" s="187">
        <f>Table_03[[#This Row],[Mny (k-in)]]</f>
        <v>1083.4656</v>
      </c>
      <c r="AX214" s="165">
        <f>SQRT(((Table_03[[#This Row],[Sectional Area (in2)]]-(Table_03[[#This Row],[Flange Thickness tf (in)]]*Table_03[[#This Row],[Width w (in)]]*2+Table_03[[#This Row],[Web Thickness tw (in)]]*((Table_03[[#This Row],[Depth h (in)]]-2*Table_03[[#This Row],[Flange Thickness tf (in)]]))))/4)/(1-PI()/4))</f>
        <v>0.5469539925058583</v>
      </c>
      <c r="AY214" s="165">
        <f>IF(4/SQRT((Table_03[[#This Row],[Depth h (in)]]-Table_03[[#This Row],[Flange Thickness tf (in)]]*2)/Table_03[[#This Row],[Web Thickness tw (in)]])&lt;0.35,0.35,IF(4/SQRT(Table_03[[#This Row],[Depth h (in)]]/Table_03[[#This Row],[Web Thickness tw (in)]])&gt;0.76,0.76,4/SQRT(Table_03[[#This Row],[Depth h (in)]]/Table_03[[#This Row],[Web Thickness tw (in)]])))</f>
        <v>0.55205244747388338</v>
      </c>
      <c r="AZ214" s="165"/>
    </row>
    <row r="215" spans="1:52" x14ac:dyDescent="0.3">
      <c r="A215" s="188" t="s">
        <v>307</v>
      </c>
      <c r="B215" s="189">
        <v>21.1</v>
      </c>
      <c r="C215" s="189">
        <v>8.27</v>
      </c>
      <c r="D215" s="189">
        <v>0.43</v>
      </c>
      <c r="E215" s="189">
        <v>0.68500000000000005</v>
      </c>
      <c r="F215" s="190">
        <v>20</v>
      </c>
      <c r="G215" s="189">
        <v>68</v>
      </c>
      <c r="H215" s="190">
        <v>1480</v>
      </c>
      <c r="I215" s="190">
        <v>64.7</v>
      </c>
      <c r="J215" s="190">
        <f>Table_03[[#This Row],[Width w (in)]]*Table_03[[#This Row],[Flange Thickness tf (in)]]*(Table_03[[#This Row],[Depth h (in)]]-Table_03[[#This Row],[Flange Thickness tf (in)]])+0.25*Table_03[[#This Row],[Web Thickness tw (in)]]*(Table_03[[#This Row],[Depth h (in)]]-2*Table_03[[#This Row],[Flange Thickness tf (in)]])^2</f>
        <v>157.49679100000003</v>
      </c>
      <c r="K215" s="190">
        <f>(Table_03[[#This Row],[Width w (in)]]^2*Table_03[[#This Row],[Flange Thickness tf (in)]])/2+0.25*Table_03[[#This Row],[Web Thickness tw (in)]]^2*(Table_03[[#This Row],[Depth h (in)]]-2*Table_03[[#This Row],[Flange Thickness tf (in)]])</f>
        <v>24.3365875</v>
      </c>
      <c r="L215" s="190">
        <v>140</v>
      </c>
      <c r="M215" s="190">
        <v>15.7</v>
      </c>
      <c r="N215" s="191">
        <v>50</v>
      </c>
      <c r="O215" s="169">
        <f>SQRT(Table_03[[#This Row],[Static Parameters Moment of Inertia Ix (in4)]]/Table_03[[#This Row],[Sectional Area (in2)]])</f>
        <v>8.6023252670426267</v>
      </c>
      <c r="P215" s="190">
        <f>SQRT(Table_03[[#This Row],[Static Parameters Moment of Inertia Iy (in4)]]/Table_03[[#This Row],[Sectional Area (in2)]])</f>
        <v>1.798610574860495</v>
      </c>
      <c r="Q215" s="190">
        <f>($B$6*$B$5*12)/Table_03[[#This Row],[ry (in)2]]</f>
        <v>99.827056790170587</v>
      </c>
      <c r="R215" s="190">
        <f>(PI()^2*$B$4)/(Table_03[[#This Row],[KL/ry]]^2)</f>
        <v>28.721109276740791</v>
      </c>
      <c r="S215" s="190">
        <f>IF(Table_03[[#This Row],[Strength (ksi)]]/Table_03[[#This Row],[Fe,y]]&lt;2.25,(0.658^(Table_03[[#This Row],[Strength (ksi)]]/Table_03[[#This Row],[Fe,y]])*Table_03[[#This Row],[Strength (ksi)]]),0.877*Table_03[[#This Row],[Fe,y]])</f>
        <v>24.128100206792119</v>
      </c>
      <c r="T215" s="190">
        <f>Table_03[[#This Row],[Fcr,y]]*Table_03[[#This Row],[Sectional Area (in2)]]</f>
        <v>482.56200413584236</v>
      </c>
      <c r="U215" s="190">
        <f>1.76*Table_03[[#This Row],[ry (in)2]]*SQRT($B$4/Table_03[[#This Row],[Strength (ksi)]])/12</f>
        <v>6.3530542086289321</v>
      </c>
      <c r="V21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18.592169540725468</v>
      </c>
      <c r="W215" s="190">
        <f>Table_03[[#This Row],[Depth h (in)]]-Table_03[[#This Row],[Flange Thickness tf (in)]]</f>
        <v>20.415000000000003</v>
      </c>
      <c r="X215" s="190">
        <f>(Table_03[[#This Row],[Static Parameters Moment of Inertia Iy (in4)]]*Table_03[[#This Row],[ho]]^2)/4</f>
        <v>6741.290739375002</v>
      </c>
      <c r="Y215" s="190">
        <f>SQRT((SQRT(Table_03[[#This Row],[Static Parameters Moment of Inertia Iy (in4)]]*Table_03[[#This Row],[Cw*]])/Table_03[[#This Row],[Static Parameters Elastic Section Modulus Sx (in3)2]]))</f>
        <v>2.1719399656265166</v>
      </c>
      <c r="Z215" s="190">
        <f>(2*Table_03[[#This Row],[Width w (in)]]*Table_03[[#This Row],[Flange Thickness tf (in)]]^3/3)+((Table_03[[#This Row],[Depth h (in)]]-Table_03[[#This Row],[Flange Thickness tf (in)]]*2)*Table_03[[#This Row],[Web Thickness tw (in)]]^3)/3</f>
        <v>2.2949818125000006</v>
      </c>
      <c r="AA215" s="190">
        <f>Table_03[[#This Row],[Width w (in)]]*0.5/Table_03[[#This Row],[Flange Thickness tf (in)]]</f>
        <v>6.0364963503649625</v>
      </c>
      <c r="AB215" s="190">
        <f>0.38*SQRT($B$4/Table_03[[#This Row],[Strength (ksi)]])</f>
        <v>9.1516118798821449</v>
      </c>
      <c r="AC215" s="190">
        <f>1*SQRT($B$4/Table_03[[#This Row],[Strength (ksi)]])</f>
        <v>24.083189157584592</v>
      </c>
      <c r="AD215" s="190">
        <f>(PI()^2*$B$4/(12*$B$5/Table_03[[#This Row],[rts]])^2)*SQRT(1+0.078*(Table_03[[#This Row],[J*]]/(Table_03[[#This Row],[Static Parameters Elastic Section Modulus Sx (in3)2]]*Table_03[[#This Row],[ho]])*$B$4/(12*$B$5/Table_03[[#This Row],[rts]])^2))</f>
        <v>184.80576405497828</v>
      </c>
      <c r="AE215" s="190">
        <f>0.69*$B$4/Table_03[[#This Row],[b/t]]^2</f>
        <v>549.13257077854598</v>
      </c>
      <c r="AF215" s="192">
        <f>Table_03[[#This Row],[Strength (ksi)]]*Table_03[[#This Row],[Static Parameters Plastic Section Modulus Zx (in3)]]</f>
        <v>7874.8395500000015</v>
      </c>
      <c r="AG215" s="190">
        <f>Table_03[[#This Row],[Mp (k-in)]]-(Table_03[[#This Row],[Mp (k-in)]]-0.7*Table_03[[#This Row],[Strength (ksi)]]*Table_03[[#This Row],[Static Parameters Elastic Section Modulus Sx (in3)2]])*((Table_03[[#This Row],[b/t]]-Table_03[[#This Row],[λpf]])/(Table_03[[#This Row],[λrf]]-Table_03[[#This Row],[λpf]]))</f>
        <v>8495.4684834125092</v>
      </c>
      <c r="AH215" s="193">
        <f>0.9*$B$4*Table_03[[#This Row],[kc]]*Table_03[[#This Row],[Static Parameters Elastic Section Modulus Sx (in3)2]]/Table_03[[#This Row],[b/t]]^2</f>
        <v>57260.040345894995</v>
      </c>
      <c r="AI215" s="194" t="str">
        <f>IF(Table_03[[#This Row],[b/t]]&lt;Table_03[[#This Row],[λpf]],"Compact",IF(AND(Table_03[[#This Row],[b/t]]&gt;Table_03[[#This Row],[λpf]],Table_03[[#This Row],[λrf]]&gt;Table_03[[#This Row],[b/t]]),"Non-Compact","Slender"))</f>
        <v>Compact</v>
      </c>
      <c r="AJ215" s="195">
        <f>IF(Table_03[[#This Row],[Controlling LBx]]="Compact",Table_03[[#This Row],[Mp (k-in)]],IF(Table_03[[#This Row],[Controlling LBx]]="Non-Compact",Table_03[[#This Row],[Mnlb,Non-Compact (k-in)]],IF(Table_03[[#This Row],[Controlling LBx]]="Slender",Table_03[[#This Row],[Mnlb,slender (k-in)]],"ERROR")))</f>
        <v>7874.8395500000015</v>
      </c>
      <c r="AK215" s="192">
        <f>Table_03[[#This Row],[Mp (k-in)]]-(Table_03[[#This Row],[Mp (k-in)]]-0.7*Table_03[[#This Row],[Strength (ksi)]]*Table_03[[#This Row],[Static Parameters Elastic Section Modulus Sx (in3)2]])*(($B$5-Table_03[[#This Row],[Lp (ft)]])/(Table_03[[#This Row],[Lr]]-Table_03[[#This Row],[Lp (ft)]]))</f>
        <v>7687.2103947615951</v>
      </c>
      <c r="AL215" s="196">
        <f>Table_03[[#This Row],[Fcrx]]*Table_03[[#This Row],[Static Parameters Elastic Section Modulus Sx (in3)2]]</f>
        <v>25872.806967696961</v>
      </c>
      <c r="AM215" s="197" t="str">
        <f>IF($B$5&lt;Table_03[[#This Row],[Lp (ft)]],"Yielding Controls",IF(AND($B$5&gt;Table_03[[#This Row],[Lp (ft)]],Table_03[[#This Row],[Lr]]&gt;$B$5),"Mltb,p Controls","Mltb,r Controls"))</f>
        <v>Mltb,p Controls</v>
      </c>
      <c r="AN215" s="198">
        <f>IF(Table_03[[#This Row],[Controlling LTB]]="Yielding Controls",Table_03[[#This Row],[Mp (k-in)]],IF(Table_03[[#This Row],[Controlling LTB]]="Mltb,p Controls",Table_03[[#This Row],[Mnltbp (k-in)]],IF(Table_03[[#This Row],[Controlling LTB]]="Mltb,r Controls",Table_03[[#This Row],[Mnltbr (k-in)]],"ERROR")))</f>
        <v>7687.2103947615951</v>
      </c>
      <c r="AO215" s="199">
        <f>MIN(Table_03[[#This Row],[Strength (ksi)]]*Table_03[[#This Row],[Static Parameters Plastic Section Modulus Zy (in3)]],1.6*Table_03[[#This Row],[Strength (ksi)]]*Table_03[[#This Row],[Static Parameters Elastic Section Modulus Sy (in3)3]])</f>
        <v>1216.829375</v>
      </c>
      <c r="AP215" s="169">
        <f>MIN(Table_03[[#This Row],[Mny (k-in)]],Table_03[[#This Row],[Mny (k-in)]]-(Table_03[[#This Row],[Mny (k-in)]]-0.7*Table_03[[#This Row],[Static Parameters Elastic Section Modulus Sy (in3)3]]*Table_03[[#This Row],[Strength (ksi)]])*((Table_03[[#This Row],[b/t]]-Table_03[[#This Row],[λpf]])/(Table_03[[#This Row],[λrf]]-Table_03[[#This Row],[λpf]])))</f>
        <v>1216.829375</v>
      </c>
      <c r="AQ215" s="196">
        <f>MIN(Table_03[[#This Row],[Mny (k-in)]],Table_03[[#This Row],[Fcry]]*Table_03[[#This Row],[Static Parameters Elastic Section Modulus Sy (in3)3]])</f>
        <v>1216.829375</v>
      </c>
      <c r="AR215" s="197" t="str">
        <f>IF(Table_03[[#This Row],[b/t]]&lt;Table_03[[#This Row],[λpf]],"Compact",IF(AND(Table_03[[#This Row],[b/t]]&gt;Table_03[[#This Row],[λpf]],Table_03[[#This Row],[λrf]]&gt;Table_03[[#This Row],[b/t]]),"Non-Compact","Slender"))</f>
        <v>Compact</v>
      </c>
      <c r="AS215" s="198">
        <f>IF(Table_03[[#This Row],[Controlling Lby]]="Compact",Table_03[[#This Row],[Mny (k-in)]],IF(Table_03[[#This Row],[Controlling Lby]]="Non-Compact",Table_03[[#This Row],[Mlby,Non-Compact (k-in)]],IF(Table_03[[#This Row],[Controlling Lby]]="Slender",Table_03[[#This Row],[Mlby,Slender (k-in)]],"ERROR")))</f>
        <v>1216.829375</v>
      </c>
      <c r="AT215" s="199">
        <f>MIN(Table_03[[#This Row],[LBx]],Table_03[[#This Row],[LTB]],Table_03[[#This Row],[Mp (k-in)]])</f>
        <v>7687.2103947615951</v>
      </c>
      <c r="AU215" s="169">
        <f>Table_03[[#This Row],[Mp (k-in)]]</f>
        <v>7874.8395500000015</v>
      </c>
      <c r="AV215" s="169">
        <f>MIN(Table_03[[#This Row],[LBy]],Table_03[[#This Row],[Mny (k-in)]])</f>
        <v>1216.829375</v>
      </c>
      <c r="AW215" s="200">
        <f>Table_03[[#This Row],[Mny (k-in)]]</f>
        <v>1216.829375</v>
      </c>
      <c r="AX215" s="165">
        <f>SQRT(((Table_03[[#This Row],[Sectional Area (in2)]]-(Table_03[[#This Row],[Flange Thickness tf (in)]]*Table_03[[#This Row],[Width w (in)]]*2+Table_03[[#This Row],[Web Thickness tw (in)]]*((Table_03[[#This Row],[Depth h (in)]]-2*Table_03[[#This Row],[Flange Thickness tf (in)]]))))/4)/(1-PI()/4))</f>
        <v>0.46573955667567124</v>
      </c>
      <c r="AY215" s="165">
        <f>IF(4/SQRT((Table_03[[#This Row],[Depth h (in)]]-Table_03[[#This Row],[Flange Thickness tf (in)]]*2)/Table_03[[#This Row],[Web Thickness tw (in)]])&lt;0.35,0.35,IF(4/SQRT(Table_03[[#This Row],[Depth h (in)]]/Table_03[[#This Row],[Web Thickness tw (in)]])&gt;0.76,0.76,4/SQRT(Table_03[[#This Row],[Depth h (in)]]/Table_03[[#This Row],[Web Thickness tw (in)]])))</f>
        <v>0.57102219808944421</v>
      </c>
      <c r="AZ215" s="165"/>
    </row>
    <row r="216" spans="1:52" ht="14.4" thickBot="1" x14ac:dyDescent="0.35">
      <c r="A216" s="201" t="s">
        <v>308</v>
      </c>
      <c r="B216" s="202">
        <v>21.1</v>
      </c>
      <c r="C216" s="202">
        <v>6.56</v>
      </c>
      <c r="D216" s="202">
        <v>0.40500000000000003</v>
      </c>
      <c r="E216" s="202">
        <v>0.65</v>
      </c>
      <c r="F216" s="203">
        <v>16.7</v>
      </c>
      <c r="G216" s="204">
        <v>57</v>
      </c>
      <c r="H216" s="203">
        <v>1170</v>
      </c>
      <c r="I216" s="203">
        <v>30.6</v>
      </c>
      <c r="J216" s="203">
        <f>Table_03[[#This Row],[Width w (in)]]*Table_03[[#This Row],[Flange Thickness tf (in)]]*(Table_03[[#This Row],[Depth h (in)]]-Table_03[[#This Row],[Flange Thickness tf (in)]])+0.25*Table_03[[#This Row],[Web Thickness tw (in)]]*(Table_03[[#This Row],[Depth h (in)]]-2*Table_03[[#This Row],[Flange Thickness tf (in)]])^2</f>
        <v>126.89285000000002</v>
      </c>
      <c r="K216" s="203">
        <f>(Table_03[[#This Row],[Width w (in)]]^2*Table_03[[#This Row],[Flange Thickness tf (in)]])/2+0.25*Table_03[[#This Row],[Web Thickness tw (in)]]^2*(Table_03[[#This Row],[Depth h (in)]]-2*Table_03[[#This Row],[Flange Thickness tf (in)]])</f>
        <v>14.797843749999998</v>
      </c>
      <c r="L216" s="203">
        <v>111</v>
      </c>
      <c r="M216" s="203">
        <v>9.4</v>
      </c>
      <c r="N216" s="205">
        <v>50</v>
      </c>
      <c r="O216" s="206">
        <f>SQRT(Table_03[[#This Row],[Static Parameters Moment of Inertia Ix (in4)]]/Table_03[[#This Row],[Sectional Area (in2)]])</f>
        <v>8.370178029141373</v>
      </c>
      <c r="P216" s="203">
        <f>SQRT(Table_03[[#This Row],[Static Parameters Moment of Inertia Iy (in4)]]/Table_03[[#This Row],[Sectional Area (in2)]])</f>
        <v>1.3536378132060722</v>
      </c>
      <c r="Q216" s="203">
        <f>($B$6*$B$5*12)/Table_03[[#This Row],[ry (in)2]]</f>
        <v>132.64257118729444</v>
      </c>
      <c r="R216" s="203">
        <f>(PI()^2*$B$4)/(Table_03[[#This Row],[KL/ry]]^2)</f>
        <v>16.267914443785099</v>
      </c>
      <c r="S216" s="203">
        <f>IF(Table_03[[#This Row],[Strength (ksi)]]/Table_03[[#This Row],[Fe,y]]&lt;2.25,(0.658^(Table_03[[#This Row],[Strength (ksi)]]/Table_03[[#This Row],[Fe,y]])*Table_03[[#This Row],[Strength (ksi)]]),0.877*Table_03[[#This Row],[Fe,y]])</f>
        <v>14.266960967199532</v>
      </c>
      <c r="T216" s="203">
        <f>Table_03[[#This Row],[Fcr,y]]*Table_03[[#This Row],[Sectional Area (in2)]]</f>
        <v>238.25824815223217</v>
      </c>
      <c r="U216" s="203">
        <f>1.76*Table_03[[#This Row],[ry (in)2]]*SQRT($B$4/Table_03[[#This Row],[Strength (ksi)]])/12</f>
        <v>4.7813209409241457</v>
      </c>
      <c r="V21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14.19334885131093</v>
      </c>
      <c r="W216" s="203">
        <f>Table_03[[#This Row],[Depth h (in)]]-Table_03[[#This Row],[Flange Thickness tf (in)]]</f>
        <v>20.450000000000003</v>
      </c>
      <c r="X216" s="203">
        <f>(Table_03[[#This Row],[Static Parameters Moment of Inertia Iy (in4)]]*Table_03[[#This Row],[ho]]^2)/4</f>
        <v>3199.2491250000007</v>
      </c>
      <c r="Y216" s="203">
        <f>SQRT((SQRT(Table_03[[#This Row],[Static Parameters Moment of Inertia Iy (in4)]]*Table_03[[#This Row],[Cw*]])/Table_03[[#This Row],[Static Parameters Elastic Section Modulus Sx (in3)2]]))</f>
        <v>1.6789234002132987</v>
      </c>
      <c r="Z216" s="203">
        <f>(2*Table_03[[#This Row],[Width w (in)]]*Table_03[[#This Row],[Flange Thickness tf (in)]]^3/3)+((Table_03[[#This Row],[Depth h (in)]]-Table_03[[#This Row],[Flange Thickness tf (in)]]*2)*Table_03[[#This Row],[Web Thickness tw (in)]]^3)/3</f>
        <v>1.6394654916666671</v>
      </c>
      <c r="AA216" s="203">
        <f>Table_03[[#This Row],[Width w (in)]]*0.5/Table_03[[#This Row],[Flange Thickness tf (in)]]</f>
        <v>5.046153846153846</v>
      </c>
      <c r="AB216" s="203">
        <f>0.38*SQRT($B$4/Table_03[[#This Row],[Strength (ksi)]])</f>
        <v>9.1516118798821449</v>
      </c>
      <c r="AC216" s="203">
        <f>1*SQRT($B$4/Table_03[[#This Row],[Strength (ksi)]])</f>
        <v>24.083189157584592</v>
      </c>
      <c r="AD216" s="203">
        <f>(PI()^2*$B$4/(12*$B$5/Table_03[[#This Row],[rts]])^2)*SQRT(1+0.078*(Table_03[[#This Row],[J*]]/(Table_03[[#This Row],[Static Parameters Elastic Section Modulus Sx (in3)2]]*Table_03[[#This Row],[ho]])*$B$4/(12*$B$5/Table_03[[#This Row],[rts]])^2))</f>
        <v>110.39871736122984</v>
      </c>
      <c r="AE216" s="203">
        <f>0.69*$B$4/Table_03[[#This Row],[b/t]]^2</f>
        <v>785.82549449732301</v>
      </c>
      <c r="AF216" s="207">
        <f>Table_03[[#This Row],[Strength (ksi)]]*Table_03[[#This Row],[Static Parameters Plastic Section Modulus Zx (in3)]]</f>
        <v>6344.6425000000008</v>
      </c>
      <c r="AG216" s="203">
        <f>Table_03[[#This Row],[Mp (k-in)]]-(Table_03[[#This Row],[Mp (k-in)]]-0.7*Table_03[[#This Row],[Strength (ksi)]]*Table_03[[#This Row],[Static Parameters Elastic Section Modulus Sx (in3)2]])*((Table_03[[#This Row],[b/t]]-Table_03[[#This Row],[λpf]])/(Table_03[[#This Row],[λrf]]-Table_03[[#This Row],[λpf]]))</f>
        <v>7020.924641793822</v>
      </c>
      <c r="AH216" s="208">
        <f>0.9*$B$4*Table_03[[#This Row],[kc]]*Table_03[[#This Row],[Static Parameters Elastic Section Modulus Sx (in3)2]]/Table_03[[#This Row],[b/t]]^2</f>
        <v>63050.536633073054</v>
      </c>
      <c r="AI216" s="209" t="str">
        <f>IF(Table_03[[#This Row],[b/t]]&lt;Table_03[[#This Row],[λpf]],"Compact",IF(AND(Table_03[[#This Row],[b/t]]&gt;Table_03[[#This Row],[λpf]],Table_03[[#This Row],[λrf]]&gt;Table_03[[#This Row],[b/t]]),"Non-Compact","Slender"))</f>
        <v>Compact</v>
      </c>
      <c r="AJ216" s="210">
        <f>IF(Table_03[[#This Row],[Controlling LBx]]="Compact",Table_03[[#This Row],[Mp (k-in)]],IF(Table_03[[#This Row],[Controlling LBx]]="Non-Compact",Table_03[[#This Row],[Mnlb,Non-Compact (k-in)]],IF(Table_03[[#This Row],[Controlling LBx]]="Slender",Table_03[[#This Row],[Mnlb,slender (k-in)]],"ERROR")))</f>
        <v>6344.6425000000008</v>
      </c>
      <c r="AK216" s="207">
        <f>Table_03[[#This Row],[Mp (k-in)]]-(Table_03[[#This Row],[Mp (k-in)]]-0.7*Table_03[[#This Row],[Strength (ksi)]]*Table_03[[#This Row],[Static Parameters Elastic Section Modulus Sx (in3)2]])*(($B$5-Table_03[[#This Row],[Lp (ft)]])/(Table_03[[#This Row],[Lr]]-Table_03[[#This Row],[Lp (ft)]]))</f>
        <v>5732.1695372178401</v>
      </c>
      <c r="AL216" s="211">
        <f>Table_03[[#This Row],[Fcrx]]*Table_03[[#This Row],[Static Parameters Elastic Section Modulus Sx (in3)2]]</f>
        <v>12254.257627096513</v>
      </c>
      <c r="AM216" s="212" t="str">
        <f>IF($B$5&lt;Table_03[[#This Row],[Lp (ft)]],"Yielding Controls",IF(AND($B$5&gt;Table_03[[#This Row],[Lp (ft)]],Table_03[[#This Row],[Lr]]&gt;$B$5),"Mltb,p Controls","Mltb,r Controls"))</f>
        <v>Mltb,p Controls</v>
      </c>
      <c r="AN216" s="213">
        <f>IF(Table_03[[#This Row],[Controlling LTB]]="Yielding Controls",Table_03[[#This Row],[Mp (k-in)]],IF(Table_03[[#This Row],[Controlling LTB]]="Mltb,p Controls",Table_03[[#This Row],[Mnltbp (k-in)]],IF(Table_03[[#This Row],[Controlling LTB]]="Mltb,r Controls",Table_03[[#This Row],[Mnltbr (k-in)]],"ERROR")))</f>
        <v>5732.1695372178401</v>
      </c>
      <c r="AO216" s="214">
        <f>MIN(Table_03[[#This Row],[Strength (ksi)]]*Table_03[[#This Row],[Static Parameters Plastic Section Modulus Zy (in3)]],1.6*Table_03[[#This Row],[Strength (ksi)]]*Table_03[[#This Row],[Static Parameters Elastic Section Modulus Sy (in3)3]])</f>
        <v>739.89218749999986</v>
      </c>
      <c r="AP216" s="206">
        <f>MIN(Table_03[[#This Row],[Mny (k-in)]],Table_03[[#This Row],[Mny (k-in)]]-(Table_03[[#This Row],[Mny (k-in)]]-0.7*Table_03[[#This Row],[Static Parameters Elastic Section Modulus Sy (in3)3]]*Table_03[[#This Row],[Strength (ksi)]])*((Table_03[[#This Row],[b/t]]-Table_03[[#This Row],[λpf]])/(Table_03[[#This Row],[λrf]]-Table_03[[#This Row],[λpf]])))</f>
        <v>739.89218749999986</v>
      </c>
      <c r="AQ216" s="211">
        <f>MIN(Table_03[[#This Row],[Mny (k-in)]],Table_03[[#This Row],[Fcry]]*Table_03[[#This Row],[Static Parameters Elastic Section Modulus Sy (in3)3]])</f>
        <v>739.89218749999986</v>
      </c>
      <c r="AR216" s="212" t="str">
        <f>IF(Table_03[[#This Row],[b/t]]&lt;Table_03[[#This Row],[λpf]],"Compact",IF(AND(Table_03[[#This Row],[b/t]]&gt;Table_03[[#This Row],[λpf]],Table_03[[#This Row],[λrf]]&gt;Table_03[[#This Row],[b/t]]),"Non-Compact","Slender"))</f>
        <v>Compact</v>
      </c>
      <c r="AS216" s="213">
        <f>IF(Table_03[[#This Row],[Controlling Lby]]="Compact",Table_03[[#This Row],[Mny (k-in)]],IF(Table_03[[#This Row],[Controlling Lby]]="Non-Compact",Table_03[[#This Row],[Mlby,Non-Compact (k-in)]],IF(Table_03[[#This Row],[Controlling Lby]]="Slender",Table_03[[#This Row],[Mlby,Slender (k-in)]],"ERROR")))</f>
        <v>739.89218749999986</v>
      </c>
      <c r="AT216" s="214">
        <f>MIN(Table_03[[#This Row],[LBx]],Table_03[[#This Row],[LTB]],Table_03[[#This Row],[Mp (k-in)]])</f>
        <v>5732.1695372178401</v>
      </c>
      <c r="AU216" s="206">
        <f>Table_03[[#This Row],[Mp (k-in)]]</f>
        <v>6344.6425000000008</v>
      </c>
      <c r="AV216" s="206">
        <f>MIN(Table_03[[#This Row],[LBy]],Table_03[[#This Row],[Mny (k-in)]])</f>
        <v>739.89218749999986</v>
      </c>
      <c r="AW216" s="215">
        <f>Table_03[[#This Row],[Mny (k-in)]]</f>
        <v>739.89218749999986</v>
      </c>
      <c r="AX216" s="165">
        <f>SQRT(((Table_03[[#This Row],[Sectional Area (in2)]]-(Table_03[[#This Row],[Flange Thickness tf (in)]]*Table_03[[#This Row],[Width w (in)]]*2+Table_03[[#This Row],[Web Thickness tw (in)]]*((Table_03[[#This Row],[Depth h (in)]]-2*Table_03[[#This Row],[Flange Thickness tf (in)]]))))/4)/(1-PI()/4))</f>
        <v>0.42218130940621751</v>
      </c>
      <c r="AY216" s="165">
        <f>IF(4/SQRT((Table_03[[#This Row],[Depth h (in)]]-Table_03[[#This Row],[Flange Thickness tf (in)]]*2)/Table_03[[#This Row],[Web Thickness tw (in)]])&lt;0.35,0.35,IF(4/SQRT(Table_03[[#This Row],[Depth h (in)]]/Table_03[[#This Row],[Web Thickness tw (in)]])&gt;0.76,0.76,4/SQRT(Table_03[[#This Row],[Depth h (in)]]/Table_03[[#This Row],[Web Thickness tw (in)]])))</f>
        <v>0.55417416462637137</v>
      </c>
      <c r="AZ216" s="165"/>
    </row>
    <row r="217" spans="1:52" x14ac:dyDescent="0.3">
      <c r="A217" s="179" t="s">
        <v>309</v>
      </c>
      <c r="B217" s="180">
        <v>21.2</v>
      </c>
      <c r="C217" s="180">
        <v>8.3000000000000007</v>
      </c>
      <c r="D217" s="180">
        <v>0.45500000000000002</v>
      </c>
      <c r="E217" s="180">
        <v>0.74</v>
      </c>
      <c r="F217" s="181">
        <v>21.5</v>
      </c>
      <c r="G217" s="180">
        <v>73</v>
      </c>
      <c r="H217" s="180">
        <v>1600</v>
      </c>
      <c r="I217" s="180">
        <v>70.599999999999994</v>
      </c>
      <c r="J217" s="181">
        <f>Table_03[[#This Row],[Width w (in)]]*Table_03[[#This Row],[Flange Thickness tf (in)]]*(Table_03[[#This Row],[Depth h (in)]]-Table_03[[#This Row],[Flange Thickness tf (in)]])+0.25*Table_03[[#This Row],[Web Thickness tw (in)]]*(Table_03[[#This Row],[Depth h (in)]]-2*Table_03[[#This Row],[Flange Thickness tf (in)]])^2</f>
        <v>169.900238</v>
      </c>
      <c r="K217" s="181">
        <f>(Table_03[[#This Row],[Width w (in)]]^2*Table_03[[#This Row],[Flange Thickness tf (in)]])/2+0.25*Table_03[[#This Row],[Web Thickness tw (in)]]^2*(Table_03[[#This Row],[Depth h (in)]]-2*Table_03[[#This Row],[Flange Thickness tf (in)]])</f>
        <v>26.509933250000003</v>
      </c>
      <c r="L217" s="181">
        <v>151</v>
      </c>
      <c r="M217" s="181">
        <v>17</v>
      </c>
      <c r="N217" s="182">
        <v>50</v>
      </c>
      <c r="O217" s="181">
        <f>SQRT(Table_03[[#This Row],[Static Parameters Moment of Inertia Ix (in4)]]/Table_03[[#This Row],[Sectional Area (in2)]])</f>
        <v>8.6266218562750741</v>
      </c>
      <c r="P217" s="181">
        <f>SQRT(Table_03[[#This Row],[Static Parameters Moment of Inertia Iy (in4)]]/Table_03[[#This Row],[Sectional Area (in2)]])</f>
        <v>1.8121040064611518</v>
      </c>
      <c r="Q217" s="181">
        <f>($B$6*$B$5*12)/Table_03[[#This Row],[ry (in)2]]</f>
        <v>99.0837166960644</v>
      </c>
      <c r="R217" s="181">
        <f>(PI()^2*$B$4)/(Table_03[[#This Row],[KL/ry]]^2)</f>
        <v>29.153665431694034</v>
      </c>
      <c r="S217" s="181">
        <f>IF(Table_03[[#This Row],[Strength (ksi)]]/Table_03[[#This Row],[Fe,y]]&lt;2.25,(0.658^(Table_03[[#This Row],[Strength (ksi)]]/Table_03[[#This Row],[Fe,y]])*Table_03[[#This Row],[Strength (ksi)]]),0.877*Table_03[[#This Row],[Fe,y]])</f>
        <v>24.390364190684938</v>
      </c>
      <c r="T217" s="181">
        <f>Table_03[[#This Row],[Fcr,y]]*Table_03[[#This Row],[Sectional Area (in2)]]</f>
        <v>524.39283009972621</v>
      </c>
      <c r="U217" s="181">
        <f>1.76*Table_03[[#This Row],[ry (in)2]]*SQRT($B$4/Table_03[[#This Row],[Strength (ksi)]])/12</f>
        <v>6.400715722253719</v>
      </c>
      <c r="V21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19.078919448923752</v>
      </c>
      <c r="W217" s="181">
        <f>Table_03[[#This Row],[Depth h (in)]]-Table_03[[#This Row],[Flange Thickness tf (in)]]</f>
        <v>20.46</v>
      </c>
      <c r="X217" s="181">
        <f>(Table_03[[#This Row],[Static Parameters Moment of Inertia Iy (in4)]]*Table_03[[#This Row],[ho]]^2)/4</f>
        <v>7388.4947399999992</v>
      </c>
      <c r="Y217" s="181">
        <f>SQRT((SQRT(Table_03[[#This Row],[Static Parameters Moment of Inertia Iy (in4)]]*Table_03[[#This Row],[Cw*]])/Table_03[[#This Row],[Static Parameters Elastic Section Modulus Sx (in3)2]]))</f>
        <v>2.1870146576058382</v>
      </c>
      <c r="Z217" s="181">
        <f>(2*Table_03[[#This Row],[Width w (in)]]*Table_03[[#This Row],[Flange Thickness tf (in)]]^3/3)+((Table_03[[#This Row],[Depth h (in)]]-Table_03[[#This Row],[Flange Thickness tf (in)]]*2)*Table_03[[#This Row],[Web Thickness tw (in)]]^3)/3</f>
        <v>2.8614236383333336</v>
      </c>
      <c r="AA217" s="181">
        <f>Table_03[[#This Row],[Width w (in)]]*0.5/Table_03[[#This Row],[Flange Thickness tf (in)]]</f>
        <v>5.6081081081081088</v>
      </c>
      <c r="AB217" s="181">
        <f>0.38*SQRT($B$4/Table_03[[#This Row],[Strength (ksi)]])</f>
        <v>9.1516118798821449</v>
      </c>
      <c r="AC217" s="181">
        <f>1*SQRT($B$4/Table_03[[#This Row],[Strength (ksi)]])</f>
        <v>24.083189157584592</v>
      </c>
      <c r="AD217" s="181">
        <f>(PI()^2*$B$4/(12*$B$5/Table_03[[#This Row],[rts]])^2)*SQRT(1+0.078*(Table_03[[#This Row],[J*]]/(Table_03[[#This Row],[Static Parameters Elastic Section Modulus Sx (in3)2]]*Table_03[[#This Row],[ho]])*$B$4/(12*$B$5/Table_03[[#This Row],[rts]])^2))</f>
        <v>187.39860581175901</v>
      </c>
      <c r="AE217" s="181">
        <f>0.69*$B$4/Table_03[[#This Row],[b/t]]^2</f>
        <v>636.23028015677153</v>
      </c>
      <c r="AF217" s="183">
        <f>Table_03[[#This Row],[Strength (ksi)]]*Table_03[[#This Row],[Static Parameters Plastic Section Modulus Zx (in3)]]</f>
        <v>8495.0118999999995</v>
      </c>
      <c r="AG217" s="181">
        <f>Table_03[[#This Row],[Mp (k-in)]]-(Table_03[[#This Row],[Mp (k-in)]]-0.7*Table_03[[#This Row],[Strength (ksi)]]*Table_03[[#This Row],[Static Parameters Elastic Section Modulus Sx (in3)2]])*((Table_03[[#This Row],[b/t]]-Table_03[[#This Row],[λpf]])/(Table_03[[#This Row],[λrf]]-Table_03[[#This Row],[λpf]]))</f>
        <v>9256.7994234169346</v>
      </c>
      <c r="AH217" s="184">
        <f>0.9*$B$4*Table_03[[#This Row],[kc]]*Table_03[[#This Row],[Static Parameters Elastic Section Modulus Sx (in3)2]]/Table_03[[#This Row],[b/t]]^2</f>
        <v>73431.510169001238</v>
      </c>
      <c r="AI217" s="185" t="str">
        <f>IF(Table_03[[#This Row],[b/t]]&lt;Table_03[[#This Row],[λpf]],"Compact",IF(AND(Table_03[[#This Row],[b/t]]&gt;Table_03[[#This Row],[λpf]],Table_03[[#This Row],[λrf]]&gt;Table_03[[#This Row],[b/t]]),"Non-Compact","Slender"))</f>
        <v>Compact</v>
      </c>
      <c r="AJ217" s="186">
        <f>IF(Table_03[[#This Row],[Controlling LBx]]="Compact",Table_03[[#This Row],[Mp (k-in)]],IF(Table_03[[#This Row],[Controlling LBx]]="Non-Compact",Table_03[[#This Row],[Mnlb,Non-Compact (k-in)]],IF(Table_03[[#This Row],[Controlling LBx]]="Slender",Table_03[[#This Row],[Mnlb,slender (k-in)]],"ERROR")))</f>
        <v>8495.0118999999995</v>
      </c>
      <c r="AK217" s="183">
        <f>Table_03[[#This Row],[Mp (k-in)]]-(Table_03[[#This Row],[Mp (k-in)]]-0.7*Table_03[[#This Row],[Strength (ksi)]]*Table_03[[#This Row],[Static Parameters Elastic Section Modulus Sx (in3)2]])*(($B$5-Table_03[[#This Row],[Lp (ft)]])/(Table_03[[#This Row],[Lr]]-Table_03[[#This Row],[Lp (ft)]]))</f>
        <v>8311.6293640609656</v>
      </c>
      <c r="AL217" s="184">
        <f>Table_03[[#This Row],[Fcrx]]*Table_03[[#This Row],[Static Parameters Elastic Section Modulus Sx (in3)2]]</f>
        <v>28297.189477575612</v>
      </c>
      <c r="AM217" s="185" t="str">
        <f>IF($B$5&lt;Table_03[[#This Row],[Lp (ft)]],"Yielding Controls",IF(AND($B$5&gt;Table_03[[#This Row],[Lp (ft)]],Table_03[[#This Row],[Lr]]&gt;$B$5),"Mltb,p Controls","Mltb,r Controls"))</f>
        <v>Mltb,p Controls</v>
      </c>
      <c r="AN217" s="186">
        <f>IF(Table_03[[#This Row],[Controlling LTB]]="Yielding Controls",Table_03[[#This Row],[Mp (k-in)]],IF(Table_03[[#This Row],[Controlling LTB]]="Mltb,p Controls",Table_03[[#This Row],[Mnltbp (k-in)]],IF(Table_03[[#This Row],[Controlling LTB]]="Mltb,r Controls",Table_03[[#This Row],[Mnltbr (k-in)]],"ERROR")))</f>
        <v>8311.6293640609656</v>
      </c>
      <c r="AO217" s="183">
        <f>MIN(Table_03[[#This Row],[Strength (ksi)]]*Table_03[[#This Row],[Static Parameters Plastic Section Modulus Zy (in3)]],1.6*Table_03[[#This Row],[Strength (ksi)]]*Table_03[[#This Row],[Static Parameters Elastic Section Modulus Sy (in3)3]])</f>
        <v>1325.4966625000002</v>
      </c>
      <c r="AP217" s="181">
        <f>MIN(Table_03[[#This Row],[Mny (k-in)]],Table_03[[#This Row],[Mny (k-in)]]-(Table_03[[#This Row],[Mny (k-in)]]-0.7*Table_03[[#This Row],[Static Parameters Elastic Section Modulus Sy (in3)3]]*Table_03[[#This Row],[Strength (ksi)]])*((Table_03[[#This Row],[b/t]]-Table_03[[#This Row],[λpf]])/(Table_03[[#This Row],[λrf]]-Table_03[[#This Row],[λpf]])))</f>
        <v>1325.4966625000002</v>
      </c>
      <c r="AQ217" s="184">
        <f>MIN(Table_03[[#This Row],[Mny (k-in)]],Table_03[[#This Row],[Fcry]]*Table_03[[#This Row],[Static Parameters Elastic Section Modulus Sy (in3)3]])</f>
        <v>1325.4966625000002</v>
      </c>
      <c r="AR217" s="185" t="str">
        <f>IF(Table_03[[#This Row],[b/t]]&lt;Table_03[[#This Row],[λpf]],"Compact",IF(AND(Table_03[[#This Row],[b/t]]&gt;Table_03[[#This Row],[λpf]],Table_03[[#This Row],[λrf]]&gt;Table_03[[#This Row],[b/t]]),"Non-Compact","Slender"))</f>
        <v>Compact</v>
      </c>
      <c r="AS217" s="186">
        <f>IF(Table_03[[#This Row],[Controlling Lby]]="Compact",Table_03[[#This Row],[Mny (k-in)]],IF(Table_03[[#This Row],[Controlling Lby]]="Non-Compact",Table_03[[#This Row],[Mlby,Non-Compact (k-in)]],IF(Table_03[[#This Row],[Controlling Lby]]="Slender",Table_03[[#This Row],[Mlby,Slender (k-in)]],"ERROR")))</f>
        <v>1325.4966625000002</v>
      </c>
      <c r="AT217" s="183">
        <f>MIN(Table_03[[#This Row],[LBx]],Table_03[[#This Row],[LTB]],Table_03[[#This Row],[Mp (k-in)]])</f>
        <v>8311.6293640609656</v>
      </c>
      <c r="AU217" s="181">
        <f>Table_03[[#This Row],[Mp (k-in)]]</f>
        <v>8495.0118999999995</v>
      </c>
      <c r="AV217" s="181">
        <f>MIN(Table_03[[#This Row],[LBy]],Table_03[[#This Row],[Mny (k-in)]])</f>
        <v>1325.4966625000002</v>
      </c>
      <c r="AW217" s="187">
        <f>Table_03[[#This Row],[Mny (k-in)]]</f>
        <v>1325.4966625000002</v>
      </c>
      <c r="AX217" s="165">
        <f>SQRT(((Table_03[[#This Row],[Sectional Area (in2)]]-(Table_03[[#This Row],[Flange Thickness tf (in)]]*Table_03[[#This Row],[Width w (in)]]*2+Table_03[[#This Row],[Web Thickness tw (in)]]*((Table_03[[#This Row],[Depth h (in)]]-2*Table_03[[#This Row],[Flange Thickness tf (in)]]))))/4)/(1-PI()/4))</f>
        <v>0.53249259665361282</v>
      </c>
      <c r="AY217" s="165">
        <f>IF(4/SQRT((Table_03[[#This Row],[Depth h (in)]]-Table_03[[#This Row],[Flange Thickness tf (in)]]*2)/Table_03[[#This Row],[Web Thickness tw (in)]])&lt;0.35,0.35,IF(4/SQRT(Table_03[[#This Row],[Depth h (in)]]/Table_03[[#This Row],[Web Thickness tw (in)]])&gt;0.76,0.76,4/SQRT(Table_03[[#This Row],[Depth h (in)]]/Table_03[[#This Row],[Web Thickness tw (in)]])))</f>
        <v>0.58600019318690877</v>
      </c>
      <c r="AZ217" s="165"/>
    </row>
    <row r="218" spans="1:52" x14ac:dyDescent="0.3">
      <c r="A218" s="188" t="s">
        <v>310</v>
      </c>
      <c r="B218" s="189">
        <v>21.4</v>
      </c>
      <c r="C218" s="189">
        <v>12.29</v>
      </c>
      <c r="D218" s="189">
        <v>0.5</v>
      </c>
      <c r="E218" s="189">
        <v>0.8</v>
      </c>
      <c r="F218" s="190">
        <v>29.8</v>
      </c>
      <c r="G218" s="189">
        <v>101</v>
      </c>
      <c r="H218" s="190">
        <v>2420</v>
      </c>
      <c r="I218" s="190">
        <v>248</v>
      </c>
      <c r="J218" s="190">
        <f>Table_03[[#This Row],[Width w (in)]]*Table_03[[#This Row],[Flange Thickness tf (in)]]*(Table_03[[#This Row],[Depth h (in)]]-Table_03[[#This Row],[Flange Thickness tf (in)]])+0.25*Table_03[[#This Row],[Web Thickness tw (in)]]*(Table_03[[#This Row],[Depth h (in)]]-2*Table_03[[#This Row],[Flange Thickness tf (in)]])^2</f>
        <v>251.54419999999999</v>
      </c>
      <c r="K218" s="190">
        <f>(Table_03[[#This Row],[Width w (in)]]^2*Table_03[[#This Row],[Flange Thickness tf (in)]])/2+0.25*Table_03[[#This Row],[Web Thickness tw (in)]]^2*(Table_03[[#This Row],[Depth h (in)]]-2*Table_03[[#This Row],[Flange Thickness tf (in)]])</f>
        <v>61.655139999999996</v>
      </c>
      <c r="L218" s="190">
        <v>227</v>
      </c>
      <c r="M218" s="190">
        <v>40.299999999999997</v>
      </c>
      <c r="N218" s="191">
        <v>50</v>
      </c>
      <c r="O218" s="169">
        <f>SQRT(Table_03[[#This Row],[Static Parameters Moment of Inertia Ix (in4)]]/Table_03[[#This Row],[Sectional Area (in2)]])</f>
        <v>9.0115511257094454</v>
      </c>
      <c r="P218" s="190">
        <f>SQRT(Table_03[[#This Row],[Static Parameters Moment of Inertia Iy (in4)]]/Table_03[[#This Row],[Sectional Area (in2)]])</f>
        <v>2.8848132783607867</v>
      </c>
      <c r="Q218" s="190">
        <f>($B$6*$B$5*12)/Table_03[[#This Row],[ry (in)2]]</f>
        <v>62.239730157517926</v>
      </c>
      <c r="R218" s="190">
        <f>(PI()^2*$B$4)/(Table_03[[#This Row],[KL/ry]]^2)</f>
        <v>73.88603156158743</v>
      </c>
      <c r="S218" s="190">
        <f>IF(Table_03[[#This Row],[Strength (ksi)]]/Table_03[[#This Row],[Fe,y]]&lt;2.25,(0.658^(Table_03[[#This Row],[Strength (ksi)]]/Table_03[[#This Row],[Fe,y]])*Table_03[[#This Row],[Strength (ksi)]]),0.877*Table_03[[#This Row],[Fe,y]])</f>
        <v>37.666928968454059</v>
      </c>
      <c r="T218" s="190">
        <f>Table_03[[#This Row],[Fcr,y]]*Table_03[[#This Row],[Sectional Area (in2)]]</f>
        <v>1122.474483259931</v>
      </c>
      <c r="U218" s="190">
        <f>1.76*Table_03[[#This Row],[ry (in)2]]*SQRT($B$4/Table_03[[#This Row],[Strength (ksi)]])/12</f>
        <v>10.189740567170935</v>
      </c>
      <c r="V21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29.925893252626768</v>
      </c>
      <c r="W218" s="190">
        <f>Table_03[[#This Row],[Depth h (in)]]-Table_03[[#This Row],[Flange Thickness tf (in)]]</f>
        <v>20.599999999999998</v>
      </c>
      <c r="X218" s="190">
        <f>(Table_03[[#This Row],[Static Parameters Moment of Inertia Iy (in4)]]*Table_03[[#This Row],[ho]]^2)/4</f>
        <v>26310.319999999992</v>
      </c>
      <c r="Y218" s="190">
        <f>SQRT((SQRT(Table_03[[#This Row],[Static Parameters Moment of Inertia Iy (in4)]]*Table_03[[#This Row],[Cw*]])/Table_03[[#This Row],[Static Parameters Elastic Section Modulus Sx (in3)2]]))</f>
        <v>3.354528794946221</v>
      </c>
      <c r="Z218" s="190">
        <f>(2*Table_03[[#This Row],[Width w (in)]]*Table_03[[#This Row],[Flange Thickness tf (in)]]^3/3)+((Table_03[[#This Row],[Depth h (in)]]-Table_03[[#This Row],[Flange Thickness tf (in)]]*2)*Table_03[[#This Row],[Web Thickness tw (in)]]^3)/3</f>
        <v>5.0199866666666679</v>
      </c>
      <c r="AA218" s="190">
        <f>Table_03[[#This Row],[Width w (in)]]*0.5/Table_03[[#This Row],[Flange Thickness tf (in)]]</f>
        <v>7.6812499999999995</v>
      </c>
      <c r="AB218" s="190">
        <f>0.38*SQRT($B$4/Table_03[[#This Row],[Strength (ksi)]])</f>
        <v>9.1516118798821449</v>
      </c>
      <c r="AC218" s="190">
        <f>1*SQRT($B$4/Table_03[[#This Row],[Strength (ksi)]])</f>
        <v>24.083189157584592</v>
      </c>
      <c r="AD218" s="190">
        <f>(PI()^2*$B$4/(12*$B$5/Table_03[[#This Row],[rts]])^2)*SQRT(1+0.078*(Table_03[[#This Row],[J*]]/(Table_03[[#This Row],[Static Parameters Elastic Section Modulus Sx (in3)2]]*Table_03[[#This Row],[ho]])*$B$4/(12*$B$5/Table_03[[#This Row],[rts]])^2))</f>
        <v>441.40650937149127</v>
      </c>
      <c r="AE218" s="190">
        <f>0.69*$B$4/Table_03[[#This Row],[b/t]]^2</f>
        <v>339.14333628390654</v>
      </c>
      <c r="AF218" s="192">
        <f>Table_03[[#This Row],[Strength (ksi)]]*Table_03[[#This Row],[Static Parameters Plastic Section Modulus Zx (in3)]]</f>
        <v>12577.21</v>
      </c>
      <c r="AG218" s="190">
        <f>Table_03[[#This Row],[Mp (k-in)]]-(Table_03[[#This Row],[Mp (k-in)]]-0.7*Table_03[[#This Row],[Strength (ksi)]]*Table_03[[#This Row],[Static Parameters Elastic Section Modulus Sx (in3)2]])*((Table_03[[#This Row],[b/t]]-Table_03[[#This Row],[λpf]])/(Table_03[[#This Row],[λrf]]-Table_03[[#This Row],[λpf]]))</f>
        <v>13033.35906429074</v>
      </c>
      <c r="AH218" s="193">
        <f>0.9*$B$4*Table_03[[#This Row],[kc]]*Table_03[[#This Row],[Static Parameters Elastic Section Modulus Sx (in3)2]]/Table_03[[#This Row],[b/t]]^2</f>
        <v>61396.083898949226</v>
      </c>
      <c r="AI218" s="194" t="str">
        <f>IF(Table_03[[#This Row],[b/t]]&lt;Table_03[[#This Row],[λpf]],"Compact",IF(AND(Table_03[[#This Row],[b/t]]&gt;Table_03[[#This Row],[λpf]],Table_03[[#This Row],[λrf]]&gt;Table_03[[#This Row],[b/t]]),"Non-Compact","Slender"))</f>
        <v>Compact</v>
      </c>
      <c r="AJ218" s="195">
        <f>IF(Table_03[[#This Row],[Controlling LBx]]="Compact",Table_03[[#This Row],[Mp (k-in)]],IF(Table_03[[#This Row],[Controlling LBx]]="Non-Compact",Table_03[[#This Row],[Mnlb,Non-Compact (k-in)]],IF(Table_03[[#This Row],[Controlling LBx]]="Slender",Table_03[[#This Row],[Mnlb,slender (k-in)]],"ERROR")))</f>
        <v>12577.21</v>
      </c>
      <c r="AK218" s="192">
        <f>Table_03[[#This Row],[Mp (k-in)]]-(Table_03[[#This Row],[Mp (k-in)]]-0.7*Table_03[[#This Row],[Strength (ksi)]]*Table_03[[#This Row],[Static Parameters Elastic Section Modulus Sx (in3)2]])*(($B$5-Table_03[[#This Row],[Lp (ft)]])/(Table_03[[#This Row],[Lr]]-Table_03[[#This Row],[Lp (ft)]]))</f>
        <v>13296.525569194837</v>
      </c>
      <c r="AL218" s="196">
        <f>Table_03[[#This Row],[Fcrx]]*Table_03[[#This Row],[Static Parameters Elastic Section Modulus Sx (in3)2]]</f>
        <v>100199.27762732851</v>
      </c>
      <c r="AM218" s="197" t="str">
        <f>IF($B$5&lt;Table_03[[#This Row],[Lp (ft)]],"Yielding Controls",IF(AND($B$5&gt;Table_03[[#This Row],[Lp (ft)]],Table_03[[#This Row],[Lr]]&gt;$B$5),"Mltb,p Controls","Mltb,r Controls"))</f>
        <v>Yielding Controls</v>
      </c>
      <c r="AN218" s="198">
        <f>IF(Table_03[[#This Row],[Controlling LTB]]="Yielding Controls",Table_03[[#This Row],[Mp (k-in)]],IF(Table_03[[#This Row],[Controlling LTB]]="Mltb,p Controls",Table_03[[#This Row],[Mnltbp (k-in)]],IF(Table_03[[#This Row],[Controlling LTB]]="Mltb,r Controls",Table_03[[#This Row],[Mnltbr (k-in)]],"ERROR")))</f>
        <v>12577.21</v>
      </c>
      <c r="AO218" s="199">
        <f>MIN(Table_03[[#This Row],[Strength (ksi)]]*Table_03[[#This Row],[Static Parameters Plastic Section Modulus Zy (in3)]],1.6*Table_03[[#This Row],[Strength (ksi)]]*Table_03[[#This Row],[Static Parameters Elastic Section Modulus Sy (in3)3]])</f>
        <v>3082.7569999999996</v>
      </c>
      <c r="AP218" s="169">
        <f>MIN(Table_03[[#This Row],[Mny (k-in)]],Table_03[[#This Row],[Mny (k-in)]]-(Table_03[[#This Row],[Mny (k-in)]]-0.7*Table_03[[#This Row],[Static Parameters Elastic Section Modulus Sy (in3)3]]*Table_03[[#This Row],[Strength (ksi)]])*((Table_03[[#This Row],[b/t]]-Table_03[[#This Row],[λpf]])/(Table_03[[#This Row],[λrf]]-Table_03[[#This Row],[λpf]])))</f>
        <v>3082.7569999999996</v>
      </c>
      <c r="AQ218" s="196">
        <f>MIN(Table_03[[#This Row],[Mny (k-in)]],Table_03[[#This Row],[Fcry]]*Table_03[[#This Row],[Static Parameters Elastic Section Modulus Sy (in3)3]])</f>
        <v>3082.7569999999996</v>
      </c>
      <c r="AR218" s="197" t="str">
        <f>IF(Table_03[[#This Row],[b/t]]&lt;Table_03[[#This Row],[λpf]],"Compact",IF(AND(Table_03[[#This Row],[b/t]]&gt;Table_03[[#This Row],[λpf]],Table_03[[#This Row],[λrf]]&gt;Table_03[[#This Row],[b/t]]),"Non-Compact","Slender"))</f>
        <v>Compact</v>
      </c>
      <c r="AS218" s="198">
        <f>IF(Table_03[[#This Row],[Controlling Lby]]="Compact",Table_03[[#This Row],[Mny (k-in)]],IF(Table_03[[#This Row],[Controlling Lby]]="Non-Compact",Table_03[[#This Row],[Mlby,Non-Compact (k-in)]],IF(Table_03[[#This Row],[Controlling Lby]]="Slender",Table_03[[#This Row],[Mlby,Slender (k-in)]],"ERROR")))</f>
        <v>3082.7569999999996</v>
      </c>
      <c r="AT218" s="199">
        <f>MIN(Table_03[[#This Row],[LBx]],Table_03[[#This Row],[LTB]],Table_03[[#This Row],[Mp (k-in)]])</f>
        <v>12577.21</v>
      </c>
      <c r="AU218" s="169">
        <f>Table_03[[#This Row],[Mp (k-in)]]</f>
        <v>12577.21</v>
      </c>
      <c r="AV218" s="169">
        <f>MIN(Table_03[[#This Row],[LBy]],Table_03[[#This Row],[Mny (k-in)]])</f>
        <v>3082.7569999999996</v>
      </c>
      <c r="AW218" s="200">
        <f>Table_03[[#This Row],[Mny (k-in)]]</f>
        <v>3082.7569999999996</v>
      </c>
      <c r="AX218" s="165">
        <f>SQRT(((Table_03[[#This Row],[Sectional Area (in2)]]-(Table_03[[#This Row],[Flange Thickness tf (in)]]*Table_03[[#This Row],[Width w (in)]]*2+Table_03[[#This Row],[Web Thickness tw (in)]]*((Table_03[[#This Row],[Depth h (in)]]-2*Table_03[[#This Row],[Flange Thickness tf (in)]]))))/4)/(1-PI()/4))</f>
        <v>0.52433553151889722</v>
      </c>
      <c r="AY218" s="165">
        <f>IF(4/SQRT((Table_03[[#This Row],[Depth h (in)]]-Table_03[[#This Row],[Flange Thickness tf (in)]]*2)/Table_03[[#This Row],[Web Thickness tw (in)]])&lt;0.35,0.35,IF(4/SQRT(Table_03[[#This Row],[Depth h (in)]]/Table_03[[#This Row],[Web Thickness tw (in)]])&gt;0.76,0.76,4/SQRT(Table_03[[#This Row],[Depth h (in)]]/Table_03[[#This Row],[Web Thickness tw (in)]])))</f>
        <v>0.61141784051574311</v>
      </c>
      <c r="AZ218" s="165"/>
    </row>
    <row r="219" spans="1:52" ht="14.4" thickBot="1" x14ac:dyDescent="0.35">
      <c r="A219" s="201" t="s">
        <v>311</v>
      </c>
      <c r="B219" s="202">
        <v>21.4</v>
      </c>
      <c r="C219" s="202">
        <v>8.36</v>
      </c>
      <c r="D219" s="202">
        <v>0.51500000000000001</v>
      </c>
      <c r="E219" s="202">
        <v>0.83499999999999996</v>
      </c>
      <c r="F219" s="203">
        <v>24.3</v>
      </c>
      <c r="G219" s="204">
        <v>83</v>
      </c>
      <c r="H219" s="203">
        <v>1830</v>
      </c>
      <c r="I219" s="203">
        <v>81.400000000000006</v>
      </c>
      <c r="J219" s="203">
        <f>Table_03[[#This Row],[Width w (in)]]*Table_03[[#This Row],[Flange Thickness tf (in)]]*(Table_03[[#This Row],[Depth h (in)]]-Table_03[[#This Row],[Flange Thickness tf (in)]])+0.25*Table_03[[#This Row],[Web Thickness tw (in)]]*(Table_03[[#This Row],[Depth h (in)]]-2*Table_03[[#This Row],[Flange Thickness tf (in)]])^2</f>
        <v>193.67492487499996</v>
      </c>
      <c r="K219" s="203">
        <f>(Table_03[[#This Row],[Width w (in)]]^2*Table_03[[#This Row],[Flange Thickness tf (in)]])/2+0.25*Table_03[[#This Row],[Web Thickness tw (in)]]^2*(Table_03[[#This Row],[Depth h (in)]]-2*Table_03[[#This Row],[Flange Thickness tf (in)]])</f>
        <v>30.487130312499993</v>
      </c>
      <c r="L219" s="203">
        <v>171</v>
      </c>
      <c r="M219" s="203">
        <v>19.5</v>
      </c>
      <c r="N219" s="205">
        <v>50</v>
      </c>
      <c r="O219" s="206">
        <f>SQRT(Table_03[[#This Row],[Static Parameters Moment of Inertia Ix (in4)]]/Table_03[[#This Row],[Sectional Area (in2)]])</f>
        <v>8.6780551954518383</v>
      </c>
      <c r="P219" s="203">
        <f>SQRT(Table_03[[#This Row],[Static Parameters Moment of Inertia Iy (in4)]]/Table_03[[#This Row],[Sectional Area (in2)]])</f>
        <v>1.8302443112008646</v>
      </c>
      <c r="Q219" s="203">
        <f>($B$6*$B$5*12)/Table_03[[#This Row],[ry (in)2]]</f>
        <v>98.101657194712544</v>
      </c>
      <c r="R219" s="203">
        <f>(PI()^2*$B$4)/(Table_03[[#This Row],[KL/ry]]^2)</f>
        <v>29.740280180468254</v>
      </c>
      <c r="S219" s="203">
        <f>IF(Table_03[[#This Row],[Strength (ksi)]]/Table_03[[#This Row],[Fe,y]]&lt;2.25,(0.658^(Table_03[[#This Row],[Strength (ksi)]]/Table_03[[#This Row],[Fe,y]])*Table_03[[#This Row],[Strength (ksi)]]),0.877*Table_03[[#This Row],[Fe,y]])</f>
        <v>24.738163702392256</v>
      </c>
      <c r="T219" s="203">
        <f>Table_03[[#This Row],[Fcr,y]]*Table_03[[#This Row],[Sectional Area (in2)]]</f>
        <v>601.13737796813189</v>
      </c>
      <c r="U219" s="203">
        <f>1.76*Table_03[[#This Row],[ry (in)2]]*SQRT($B$4/Table_03[[#This Row],[Strength (ksi)]])/12</f>
        <v>6.4647909261823857</v>
      </c>
      <c r="V21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20.0489908238354</v>
      </c>
      <c r="W219" s="203">
        <f>Table_03[[#This Row],[Depth h (in)]]-Table_03[[#This Row],[Flange Thickness tf (in)]]</f>
        <v>20.564999999999998</v>
      </c>
      <c r="X219" s="203">
        <f>(Table_03[[#This Row],[Static Parameters Moment of Inertia Iy (in4)]]*Table_03[[#This Row],[ho]]^2)/4</f>
        <v>8606.4062287499983</v>
      </c>
      <c r="Y219" s="203">
        <f>SQRT((SQRT(Table_03[[#This Row],[Static Parameters Moment of Inertia Iy (in4)]]*Table_03[[#This Row],[Cw*]])/Table_03[[#This Row],[Static Parameters Elastic Section Modulus Sx (in3)2]]))</f>
        <v>2.2123992691907555</v>
      </c>
      <c r="Z219" s="203">
        <f>(2*Table_03[[#This Row],[Width w (in)]]*Table_03[[#This Row],[Flange Thickness tf (in)]]^3/3)+((Table_03[[#This Row],[Depth h (in)]]-Table_03[[#This Row],[Flange Thickness tf (in)]]*2)*Table_03[[#This Row],[Web Thickness tw (in)]]^3)/3</f>
        <v>4.143011877916666</v>
      </c>
      <c r="AA219" s="203">
        <f>Table_03[[#This Row],[Width w (in)]]*0.5/Table_03[[#This Row],[Flange Thickness tf (in)]]</f>
        <v>5.0059880239520957</v>
      </c>
      <c r="AB219" s="203">
        <f>0.38*SQRT($B$4/Table_03[[#This Row],[Strength (ksi)]])</f>
        <v>9.1516118798821449</v>
      </c>
      <c r="AC219" s="203">
        <f>1*SQRT($B$4/Table_03[[#This Row],[Strength (ksi)]])</f>
        <v>24.083189157584592</v>
      </c>
      <c r="AD219" s="203">
        <f>(PI()^2*$B$4/(12*$B$5/Table_03[[#This Row],[rts]])^2)*SQRT(1+0.078*(Table_03[[#This Row],[J*]]/(Table_03[[#This Row],[Static Parameters Elastic Section Modulus Sx (in3)2]]*Table_03[[#This Row],[ho]])*$B$4/(12*$B$5/Table_03[[#This Row],[rts]])^2))</f>
        <v>191.81371059370485</v>
      </c>
      <c r="AE219" s="203">
        <f>0.69*$B$4/Table_03[[#This Row],[b/t]]^2</f>
        <v>798.48631269888506</v>
      </c>
      <c r="AF219" s="207">
        <f>Table_03[[#This Row],[Strength (ksi)]]*Table_03[[#This Row],[Static Parameters Plastic Section Modulus Zx (in3)]]</f>
        <v>9683.746243749998</v>
      </c>
      <c r="AG219" s="203">
        <f>Table_03[[#This Row],[Mp (k-in)]]-(Table_03[[#This Row],[Mp (k-in)]]-0.7*Table_03[[#This Row],[Strength (ksi)]]*Table_03[[#This Row],[Static Parameters Elastic Section Modulus Sx (in3)2]])*((Table_03[[#This Row],[b/t]]-Table_03[[#This Row],[λpf]])/(Table_03[[#This Row],[λrf]]-Table_03[[#This Row],[λpf]]))</f>
        <v>10710.671288568912</v>
      </c>
      <c r="AH219" s="208">
        <f>0.9*$B$4*Table_03[[#This Row],[kc]]*Table_03[[#This Row],[Static Parameters Elastic Section Modulus Sx (in3)2]]/Table_03[[#This Row],[b/t]]^2</f>
        <v>110513.09054836007</v>
      </c>
      <c r="AI219" s="209" t="str">
        <f>IF(Table_03[[#This Row],[b/t]]&lt;Table_03[[#This Row],[λpf]],"Compact",IF(AND(Table_03[[#This Row],[b/t]]&gt;Table_03[[#This Row],[λpf]],Table_03[[#This Row],[λrf]]&gt;Table_03[[#This Row],[b/t]]),"Non-Compact","Slender"))</f>
        <v>Compact</v>
      </c>
      <c r="AJ219" s="210">
        <f>IF(Table_03[[#This Row],[Controlling LBx]]="Compact",Table_03[[#This Row],[Mp (k-in)]],IF(Table_03[[#This Row],[Controlling LBx]]="Non-Compact",Table_03[[#This Row],[Mnlb,Non-Compact (k-in)]],IF(Table_03[[#This Row],[Controlling LBx]]="Slender",Table_03[[#This Row],[Mnlb,slender (k-in)]],"ERROR")))</f>
        <v>9683.746243749998</v>
      </c>
      <c r="AK219" s="207">
        <f>Table_03[[#This Row],[Mp (k-in)]]-(Table_03[[#This Row],[Mp (k-in)]]-0.7*Table_03[[#This Row],[Strength (ksi)]]*Table_03[[#This Row],[Static Parameters Elastic Section Modulus Sx (in3)2]])*(($B$5-Table_03[[#This Row],[Lp (ft)]])/(Table_03[[#This Row],[Lr]]-Table_03[[#This Row],[Lp (ft)]]))</f>
        <v>9503.9825587136438</v>
      </c>
      <c r="AL219" s="211">
        <f>Table_03[[#This Row],[Fcrx]]*Table_03[[#This Row],[Static Parameters Elastic Section Modulus Sx (in3)2]]</f>
        <v>32800.144511523533</v>
      </c>
      <c r="AM219" s="212" t="str">
        <f>IF($B$5&lt;Table_03[[#This Row],[Lp (ft)]],"Yielding Controls",IF(AND($B$5&gt;Table_03[[#This Row],[Lp (ft)]],Table_03[[#This Row],[Lr]]&gt;$B$5),"Mltb,p Controls","Mltb,r Controls"))</f>
        <v>Mltb,p Controls</v>
      </c>
      <c r="AN219" s="213">
        <f>IF(Table_03[[#This Row],[Controlling LTB]]="Yielding Controls",Table_03[[#This Row],[Mp (k-in)]],IF(Table_03[[#This Row],[Controlling LTB]]="Mltb,p Controls",Table_03[[#This Row],[Mnltbp (k-in)]],IF(Table_03[[#This Row],[Controlling LTB]]="Mltb,r Controls",Table_03[[#This Row],[Mnltbr (k-in)]],"ERROR")))</f>
        <v>9503.9825587136438</v>
      </c>
      <c r="AO219" s="214">
        <f>MIN(Table_03[[#This Row],[Strength (ksi)]]*Table_03[[#This Row],[Static Parameters Plastic Section Modulus Zy (in3)]],1.6*Table_03[[#This Row],[Strength (ksi)]]*Table_03[[#This Row],[Static Parameters Elastic Section Modulus Sy (in3)3]])</f>
        <v>1524.3565156249997</v>
      </c>
      <c r="AP219" s="206">
        <f>MIN(Table_03[[#This Row],[Mny (k-in)]],Table_03[[#This Row],[Mny (k-in)]]-(Table_03[[#This Row],[Mny (k-in)]]-0.7*Table_03[[#This Row],[Static Parameters Elastic Section Modulus Sy (in3)3]]*Table_03[[#This Row],[Strength (ksi)]])*((Table_03[[#This Row],[b/t]]-Table_03[[#This Row],[λpf]])/(Table_03[[#This Row],[λrf]]-Table_03[[#This Row],[λpf]])))</f>
        <v>1524.3565156249997</v>
      </c>
      <c r="AQ219" s="211">
        <f>MIN(Table_03[[#This Row],[Mny (k-in)]],Table_03[[#This Row],[Fcry]]*Table_03[[#This Row],[Static Parameters Elastic Section Modulus Sy (in3)3]])</f>
        <v>1524.3565156249997</v>
      </c>
      <c r="AR219" s="212" t="str">
        <f>IF(Table_03[[#This Row],[b/t]]&lt;Table_03[[#This Row],[λpf]],"Compact",IF(AND(Table_03[[#This Row],[b/t]]&gt;Table_03[[#This Row],[λpf]],Table_03[[#This Row],[λrf]]&gt;Table_03[[#This Row],[b/t]]),"Non-Compact","Slender"))</f>
        <v>Compact</v>
      </c>
      <c r="AS219" s="213">
        <f>IF(Table_03[[#This Row],[Controlling Lby]]="Compact",Table_03[[#This Row],[Mny (k-in)]],IF(Table_03[[#This Row],[Controlling Lby]]="Non-Compact",Table_03[[#This Row],[Mlby,Non-Compact (k-in)]],IF(Table_03[[#This Row],[Controlling Lby]]="Slender",Table_03[[#This Row],[Mlby,Slender (k-in)]],"ERROR")))</f>
        <v>1524.3565156249997</v>
      </c>
      <c r="AT219" s="214">
        <f>MIN(Table_03[[#This Row],[LBx]],Table_03[[#This Row],[LTB]],Table_03[[#This Row],[Mp (k-in)]])</f>
        <v>9503.9825587136438</v>
      </c>
      <c r="AU219" s="206">
        <f>Table_03[[#This Row],[Mp (k-in)]]</f>
        <v>9683.746243749998</v>
      </c>
      <c r="AV219" s="206">
        <f>MIN(Table_03[[#This Row],[LBy]],Table_03[[#This Row],[Mny (k-in)]])</f>
        <v>1524.3565156249997</v>
      </c>
      <c r="AW219" s="215">
        <f>Table_03[[#This Row],[Mny (k-in)]]</f>
        <v>1524.3565156249997</v>
      </c>
      <c r="AX219" s="165">
        <f>SQRT(((Table_03[[#This Row],[Sectional Area (in2)]]-(Table_03[[#This Row],[Flange Thickness tf (in)]]*Table_03[[#This Row],[Width w (in)]]*2+Table_03[[#This Row],[Web Thickness tw (in)]]*((Table_03[[#This Row],[Depth h (in)]]-2*Table_03[[#This Row],[Flange Thickness tf (in)]]))))/4)/(1-PI()/4))</f>
        <v>0.45517690856166071</v>
      </c>
      <c r="AY219" s="165">
        <f>IF(4/SQRT((Table_03[[#This Row],[Depth h (in)]]-Table_03[[#This Row],[Flange Thickness tf (in)]]*2)/Table_03[[#This Row],[Web Thickness tw (in)]])&lt;0.35,0.35,IF(4/SQRT(Table_03[[#This Row],[Depth h (in)]]/Table_03[[#This Row],[Web Thickness tw (in)]])&gt;0.76,0.76,4/SQRT(Table_03[[#This Row],[Depth h (in)]]/Table_03[[#This Row],[Web Thickness tw (in)]])))</f>
        <v>0.62052133643571239</v>
      </c>
      <c r="AZ219" s="165"/>
    </row>
    <row r="220" spans="1:52" x14ac:dyDescent="0.3">
      <c r="A220" s="179" t="s">
        <v>312</v>
      </c>
      <c r="B220" s="180">
        <v>21.5</v>
      </c>
      <c r="C220" s="180">
        <v>12.34</v>
      </c>
      <c r="D220" s="180">
        <v>0.55000000000000004</v>
      </c>
      <c r="E220" s="180">
        <v>0.875</v>
      </c>
      <c r="F220" s="181">
        <v>32.700000000000003</v>
      </c>
      <c r="G220" s="180">
        <v>111</v>
      </c>
      <c r="H220" s="180">
        <v>2670</v>
      </c>
      <c r="I220" s="180">
        <v>274</v>
      </c>
      <c r="J220" s="181">
        <f>Table_03[[#This Row],[Width w (in)]]*Table_03[[#This Row],[Flange Thickness tf (in)]]*(Table_03[[#This Row],[Depth h (in)]]-Table_03[[#This Row],[Flange Thickness tf (in)]])+0.25*Table_03[[#This Row],[Web Thickness tw (in)]]*(Table_03[[#This Row],[Depth h (in)]]-2*Table_03[[#This Row],[Flange Thickness tf (in)]])^2</f>
        <v>276.33203125</v>
      </c>
      <c r="K220" s="181">
        <f>(Table_03[[#This Row],[Width w (in)]]^2*Table_03[[#This Row],[Flange Thickness tf (in)]])/2+0.25*Table_03[[#This Row],[Web Thickness tw (in)]]^2*(Table_03[[#This Row],[Depth h (in)]]-2*Table_03[[#This Row],[Flange Thickness tf (in)]])</f>
        <v>68.114168750000005</v>
      </c>
      <c r="L220" s="181">
        <v>249</v>
      </c>
      <c r="M220" s="181">
        <v>44.5</v>
      </c>
      <c r="N220" s="182">
        <v>50</v>
      </c>
      <c r="O220" s="181">
        <f>SQRT(Table_03[[#This Row],[Static Parameters Moment of Inertia Ix (in4)]]/Table_03[[#This Row],[Sectional Area (in2)]])</f>
        <v>9.0361151025642101</v>
      </c>
      <c r="P220" s="181">
        <f>SQRT(Table_03[[#This Row],[Static Parameters Moment of Inertia Iy (in4)]]/Table_03[[#This Row],[Sectional Area (in2)]])</f>
        <v>2.894685629384711</v>
      </c>
      <c r="Q220" s="181">
        <f>($B$6*$B$5*12)/Table_03[[#This Row],[ry (in)2]]</f>
        <v>62.027461005554798</v>
      </c>
      <c r="R220" s="181">
        <f>(PI()^2*$B$4)/(Table_03[[#This Row],[KL/ry]]^2)</f>
        <v>74.392599500181731</v>
      </c>
      <c r="S220" s="181">
        <f>IF(Table_03[[#This Row],[Strength (ksi)]]/Table_03[[#This Row],[Fe,y]]&lt;2.25,(0.658^(Table_03[[#This Row],[Strength (ksi)]]/Table_03[[#This Row],[Fe,y]])*Table_03[[#This Row],[Strength (ksi)]]),0.877*Table_03[[#This Row],[Fe,y]])</f>
        <v>37.739647052195139</v>
      </c>
      <c r="T220" s="181">
        <f>Table_03[[#This Row],[Fcr,y]]*Table_03[[#This Row],[Sectional Area (in2)]]</f>
        <v>1234.0864586067812</v>
      </c>
      <c r="U220" s="181">
        <f>1.76*Table_03[[#This Row],[ry (in)2]]*SQRT($B$4/Table_03[[#This Row],[Strength (ksi)]])/12</f>
        <v>10.224611696084692</v>
      </c>
      <c r="V220"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31.021398721653387</v>
      </c>
      <c r="W220" s="181">
        <f>Table_03[[#This Row],[Depth h (in)]]-Table_03[[#This Row],[Flange Thickness tf (in)]]</f>
        <v>20.625</v>
      </c>
      <c r="X220" s="181">
        <f>(Table_03[[#This Row],[Static Parameters Moment of Inertia Iy (in4)]]*Table_03[[#This Row],[ho]]^2)/4</f>
        <v>29139.2578125</v>
      </c>
      <c r="Y220" s="181">
        <f>SQRT((SQRT(Table_03[[#This Row],[Static Parameters Moment of Inertia Iy (in4)]]*Table_03[[#This Row],[Cw*]])/Table_03[[#This Row],[Static Parameters Elastic Section Modulus Sx (in3)2]]))</f>
        <v>3.3686631719815892</v>
      </c>
      <c r="Z220" s="181">
        <f>(2*Table_03[[#This Row],[Width w (in)]]*Table_03[[#This Row],[Flange Thickness tf (in)]]^3/3)+((Table_03[[#This Row],[Depth h (in)]]-Table_03[[#This Row],[Flange Thickness tf (in)]]*2)*Table_03[[#This Row],[Web Thickness tw (in)]]^3)/3</f>
        <v>6.6065260416666662</v>
      </c>
      <c r="AA220" s="181">
        <f>Table_03[[#This Row],[Width w (in)]]*0.5/Table_03[[#This Row],[Flange Thickness tf (in)]]</f>
        <v>7.0514285714285716</v>
      </c>
      <c r="AB220" s="181">
        <f>0.38*SQRT($B$4/Table_03[[#This Row],[Strength (ksi)]])</f>
        <v>9.1516118798821449</v>
      </c>
      <c r="AC220" s="181">
        <f>1*SQRT($B$4/Table_03[[#This Row],[Strength (ksi)]])</f>
        <v>24.083189157584592</v>
      </c>
      <c r="AD220" s="181">
        <f>(PI()^2*$B$4/(12*$B$5/Table_03[[#This Row],[rts]])^2)*SQRT(1+0.078*(Table_03[[#This Row],[J*]]/(Table_03[[#This Row],[Static Parameters Elastic Section Modulus Sx (in3)2]]*Table_03[[#This Row],[ho]])*$B$4/(12*$B$5/Table_03[[#This Row],[rts]])^2))</f>
        <v>445.30682204275956</v>
      </c>
      <c r="AE220" s="181">
        <f>0.69*$B$4/Table_03[[#This Row],[b/t]]^2</f>
        <v>402.43233321687779</v>
      </c>
      <c r="AF220" s="183">
        <f>Table_03[[#This Row],[Strength (ksi)]]*Table_03[[#This Row],[Static Parameters Plastic Section Modulus Zx (in3)]]</f>
        <v>13816.6015625</v>
      </c>
      <c r="AG220" s="181">
        <f>Table_03[[#This Row],[Mp (k-in)]]-(Table_03[[#This Row],[Mp (k-in)]]-0.7*Table_03[[#This Row],[Strength (ksi)]]*Table_03[[#This Row],[Static Parameters Elastic Section Modulus Sx (in3)2]])*((Table_03[[#This Row],[b/t]]-Table_03[[#This Row],[λpf]])/(Table_03[[#This Row],[λrf]]-Table_03[[#This Row],[λpf]]))</f>
        <v>14534.161285004533</v>
      </c>
      <c r="AH220" s="184">
        <f>0.9*$B$4*Table_03[[#This Row],[kc]]*Table_03[[#This Row],[Static Parameters Elastic Section Modulus Sx (in3)2]]/Table_03[[#This Row],[b/t]]^2</f>
        <v>83619.533147211623</v>
      </c>
      <c r="AI220" s="185" t="str">
        <f>IF(Table_03[[#This Row],[b/t]]&lt;Table_03[[#This Row],[λpf]],"Compact",IF(AND(Table_03[[#This Row],[b/t]]&gt;Table_03[[#This Row],[λpf]],Table_03[[#This Row],[λrf]]&gt;Table_03[[#This Row],[b/t]]),"Non-Compact","Slender"))</f>
        <v>Compact</v>
      </c>
      <c r="AJ220" s="186">
        <f>IF(Table_03[[#This Row],[Controlling LBx]]="Compact",Table_03[[#This Row],[Mp (k-in)]],IF(Table_03[[#This Row],[Controlling LBx]]="Non-Compact",Table_03[[#This Row],[Mnlb,Non-Compact (k-in)]],IF(Table_03[[#This Row],[Controlling LBx]]="Slender",Table_03[[#This Row],[Mnlb,slender (k-in)]],"ERROR")))</f>
        <v>13816.6015625</v>
      </c>
      <c r="AK220" s="183">
        <f>Table_03[[#This Row],[Mp (k-in)]]-(Table_03[[#This Row],[Mp (k-in)]]-0.7*Table_03[[#This Row],[Strength (ksi)]]*Table_03[[#This Row],[Static Parameters Elastic Section Modulus Sx (in3)2]])*(($B$5-Table_03[[#This Row],[Lp (ft)]])/(Table_03[[#This Row],[Lr]]-Table_03[[#This Row],[Lp (ft)]]))</f>
        <v>14576.958624023378</v>
      </c>
      <c r="AL220" s="184">
        <f>Table_03[[#This Row],[Fcrx]]*Table_03[[#This Row],[Static Parameters Elastic Section Modulus Sx (in3)2]]</f>
        <v>110881.39868864712</v>
      </c>
      <c r="AM220" s="185" t="str">
        <f>IF($B$5&lt;Table_03[[#This Row],[Lp (ft)]],"Yielding Controls",IF(AND($B$5&gt;Table_03[[#This Row],[Lp (ft)]],Table_03[[#This Row],[Lr]]&gt;$B$5),"Mltb,p Controls","Mltb,r Controls"))</f>
        <v>Yielding Controls</v>
      </c>
      <c r="AN220" s="186">
        <f>IF(Table_03[[#This Row],[Controlling LTB]]="Yielding Controls",Table_03[[#This Row],[Mp (k-in)]],IF(Table_03[[#This Row],[Controlling LTB]]="Mltb,p Controls",Table_03[[#This Row],[Mnltbp (k-in)]],IF(Table_03[[#This Row],[Controlling LTB]]="Mltb,r Controls",Table_03[[#This Row],[Mnltbr (k-in)]],"ERROR")))</f>
        <v>13816.6015625</v>
      </c>
      <c r="AO220" s="183">
        <f>MIN(Table_03[[#This Row],[Strength (ksi)]]*Table_03[[#This Row],[Static Parameters Plastic Section Modulus Zy (in3)]],1.6*Table_03[[#This Row],[Strength (ksi)]]*Table_03[[#This Row],[Static Parameters Elastic Section Modulus Sy (in3)3]])</f>
        <v>3405.7084375000004</v>
      </c>
      <c r="AP220" s="181">
        <f>MIN(Table_03[[#This Row],[Mny (k-in)]],Table_03[[#This Row],[Mny (k-in)]]-(Table_03[[#This Row],[Mny (k-in)]]-0.7*Table_03[[#This Row],[Static Parameters Elastic Section Modulus Sy (in3)3]]*Table_03[[#This Row],[Strength (ksi)]])*((Table_03[[#This Row],[b/t]]-Table_03[[#This Row],[λpf]])/(Table_03[[#This Row],[λrf]]-Table_03[[#This Row],[λpf]])))</f>
        <v>3405.7084375000004</v>
      </c>
      <c r="AQ220" s="184">
        <f>MIN(Table_03[[#This Row],[Mny (k-in)]],Table_03[[#This Row],[Fcry]]*Table_03[[#This Row],[Static Parameters Elastic Section Modulus Sy (in3)3]])</f>
        <v>3405.7084375000004</v>
      </c>
      <c r="AR220" s="185" t="str">
        <f>IF(Table_03[[#This Row],[b/t]]&lt;Table_03[[#This Row],[λpf]],"Compact",IF(AND(Table_03[[#This Row],[b/t]]&gt;Table_03[[#This Row],[λpf]],Table_03[[#This Row],[λrf]]&gt;Table_03[[#This Row],[b/t]]),"Non-Compact","Slender"))</f>
        <v>Compact</v>
      </c>
      <c r="AS220" s="186">
        <f>IF(Table_03[[#This Row],[Controlling Lby]]="Compact",Table_03[[#This Row],[Mny (k-in)]],IF(Table_03[[#This Row],[Controlling Lby]]="Non-Compact",Table_03[[#This Row],[Mlby,Non-Compact (k-in)]],IF(Table_03[[#This Row],[Controlling Lby]]="Slender",Table_03[[#This Row],[Mlby,Slender (k-in)]],"ERROR")))</f>
        <v>3405.7084375000004</v>
      </c>
      <c r="AT220" s="183">
        <f>MIN(Table_03[[#This Row],[LBx]],Table_03[[#This Row],[LTB]],Table_03[[#This Row],[Mp (k-in)]])</f>
        <v>13816.6015625</v>
      </c>
      <c r="AU220" s="181">
        <f>Table_03[[#This Row],[Mp (k-in)]]</f>
        <v>13816.6015625</v>
      </c>
      <c r="AV220" s="181">
        <f>MIN(Table_03[[#This Row],[LBy]],Table_03[[#This Row],[Mny (k-in)]])</f>
        <v>3405.7084375000004</v>
      </c>
      <c r="AW220" s="187">
        <f>Table_03[[#This Row],[Mny (k-in)]]</f>
        <v>3405.7084375000004</v>
      </c>
      <c r="AX220" s="165">
        <f>SQRT(((Table_03[[#This Row],[Sectional Area (in2)]]-(Table_03[[#This Row],[Flange Thickness tf (in)]]*Table_03[[#This Row],[Width w (in)]]*2+Table_03[[#This Row],[Web Thickness tw (in)]]*((Table_03[[#This Row],[Depth h (in)]]-2*Table_03[[#This Row],[Flange Thickness tf (in)]]))))/4)/(1-PI()/4))</f>
        <v>0.53150720804942109</v>
      </c>
      <c r="AY220" s="165">
        <f>IF(4/SQRT((Table_03[[#This Row],[Depth h (in)]]-Table_03[[#This Row],[Flange Thickness tf (in)]]*2)/Table_03[[#This Row],[Web Thickness tw (in)]])&lt;0.35,0.35,IF(4/SQRT(Table_03[[#This Row],[Depth h (in)]]/Table_03[[#This Row],[Web Thickness tw (in)]])&gt;0.76,0.76,4/SQRT(Table_03[[#This Row],[Depth h (in)]]/Table_03[[#This Row],[Web Thickness tw (in)]])))</f>
        <v>0.63976739959253581</v>
      </c>
      <c r="AZ220" s="165"/>
    </row>
    <row r="221" spans="1:52" x14ac:dyDescent="0.3">
      <c r="A221" s="188" t="s">
        <v>313</v>
      </c>
      <c r="B221" s="189">
        <v>21.6</v>
      </c>
      <c r="C221" s="189">
        <v>8.42</v>
      </c>
      <c r="D221" s="189">
        <v>0.57999999999999996</v>
      </c>
      <c r="E221" s="189">
        <v>0.93</v>
      </c>
      <c r="F221" s="190">
        <v>27.3</v>
      </c>
      <c r="G221" s="189">
        <v>93</v>
      </c>
      <c r="H221" s="190">
        <v>2070</v>
      </c>
      <c r="I221" s="190">
        <v>92.9</v>
      </c>
      <c r="J221" s="190">
        <f>Table_03[[#This Row],[Width w (in)]]*Table_03[[#This Row],[Flange Thickness tf (in)]]*(Table_03[[#This Row],[Depth h (in)]]-Table_03[[#This Row],[Flange Thickness tf (in)]])+0.25*Table_03[[#This Row],[Web Thickness tw (in)]]*(Table_03[[#This Row],[Depth h (in)]]-2*Table_03[[#This Row],[Flange Thickness tf (in)]])^2</f>
        <v>218.36030400000004</v>
      </c>
      <c r="K221" s="190">
        <f>(Table_03[[#This Row],[Width w (in)]]^2*Table_03[[#This Row],[Flange Thickness tf (in)]])/2+0.25*Table_03[[#This Row],[Web Thickness tw (in)]]^2*(Table_03[[#This Row],[Depth h (in)]]-2*Table_03[[#This Row],[Flange Thickness tf (in)]])</f>
        <v>34.626960000000004</v>
      </c>
      <c r="L221" s="190">
        <v>192</v>
      </c>
      <c r="M221" s="190">
        <v>22.1</v>
      </c>
      <c r="N221" s="191">
        <v>50</v>
      </c>
      <c r="O221" s="169">
        <f>SQRT(Table_03[[#This Row],[Static Parameters Moment of Inertia Ix (in4)]]/Table_03[[#This Row],[Sectional Area (in2)]])</f>
        <v>8.7077078398494638</v>
      </c>
      <c r="P221" s="190">
        <f>SQRT(Table_03[[#This Row],[Static Parameters Moment of Inertia Iy (in4)]]/Table_03[[#This Row],[Sectional Area (in2)]])</f>
        <v>1.844703337377152</v>
      </c>
      <c r="Q221" s="190">
        <f>($B$6*$B$5*12)/Table_03[[#This Row],[ry (in)2]]</f>
        <v>97.332723566971453</v>
      </c>
      <c r="R221" s="190">
        <f>(PI()^2*$B$4)/(Table_03[[#This Row],[KL/ry]]^2)</f>
        <v>30.212035846586595</v>
      </c>
      <c r="S221" s="190">
        <f>IF(Table_03[[#This Row],[Strength (ksi)]]/Table_03[[#This Row],[Fe,y]]&lt;2.25,(0.658^(Table_03[[#This Row],[Strength (ksi)]]/Table_03[[#This Row],[Fe,y]])*Table_03[[#This Row],[Strength (ksi)]]),0.877*Table_03[[#This Row],[Fe,y]])</f>
        <v>25.011479917781426</v>
      </c>
      <c r="T221" s="190">
        <f>Table_03[[#This Row],[Fcr,y]]*Table_03[[#This Row],[Sectional Area (in2)]]</f>
        <v>682.81340175543289</v>
      </c>
      <c r="U221" s="190">
        <f>1.76*Table_03[[#This Row],[ry (in)2]]*SQRT($B$4/Table_03[[#This Row],[Strength (ksi)]])/12</f>
        <v>6.515863114006625</v>
      </c>
      <c r="V22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21.124942902496574</v>
      </c>
      <c r="W221" s="190">
        <f>Table_03[[#This Row],[Depth h (in)]]-Table_03[[#This Row],[Flange Thickness tf (in)]]</f>
        <v>20.67</v>
      </c>
      <c r="X221" s="190">
        <f>(Table_03[[#This Row],[Static Parameters Moment of Inertia Iy (in4)]]*Table_03[[#This Row],[ho]]^2)/4</f>
        <v>9922.8557025000009</v>
      </c>
      <c r="Y221" s="190">
        <f>SQRT((SQRT(Table_03[[#This Row],[Static Parameters Moment of Inertia Iy (in4)]]*Table_03[[#This Row],[Cw*]])/Table_03[[#This Row],[Static Parameters Elastic Section Modulus Sx (in3)2]]))</f>
        <v>2.2362094741995886</v>
      </c>
      <c r="Z221" s="190">
        <f>(2*Table_03[[#This Row],[Width w (in)]]*Table_03[[#This Row],[Flange Thickness tf (in)]]^3/3)+((Table_03[[#This Row],[Depth h (in)]]-Table_03[[#This Row],[Flange Thickness tf (in)]]*2)*Table_03[[#This Row],[Web Thickness tw (in)]]^3)/3</f>
        <v>5.7989609200000007</v>
      </c>
      <c r="AA221" s="190">
        <f>Table_03[[#This Row],[Width w (in)]]*0.5/Table_03[[#This Row],[Flange Thickness tf (in)]]</f>
        <v>4.5268817204301071</v>
      </c>
      <c r="AB221" s="190">
        <f>0.38*SQRT($B$4/Table_03[[#This Row],[Strength (ksi)]])</f>
        <v>9.1516118798821449</v>
      </c>
      <c r="AC221" s="190">
        <f>1*SQRT($B$4/Table_03[[#This Row],[Strength (ksi)]])</f>
        <v>24.083189157584592</v>
      </c>
      <c r="AD221" s="190">
        <f>(PI()^2*$B$4/(12*$B$5/Table_03[[#This Row],[rts]])^2)*SQRT(1+0.078*(Table_03[[#This Row],[J*]]/(Table_03[[#This Row],[Static Parameters Elastic Section Modulus Sx (in3)2]]*Table_03[[#This Row],[ho]])*$B$4/(12*$B$5/Table_03[[#This Row],[rts]])^2))</f>
        <v>196.01120031734342</v>
      </c>
      <c r="AE221" s="190">
        <f>0.69*$B$4/Table_03[[#This Row],[b/t]]^2</f>
        <v>976.4472667159406</v>
      </c>
      <c r="AF221" s="192">
        <f>Table_03[[#This Row],[Strength (ksi)]]*Table_03[[#This Row],[Static Parameters Plastic Section Modulus Zx (in3)]]</f>
        <v>10918.015200000002</v>
      </c>
      <c r="AG221" s="190">
        <f>Table_03[[#This Row],[Mp (k-in)]]-(Table_03[[#This Row],[Mp (k-in)]]-0.7*Table_03[[#This Row],[Strength (ksi)]]*Table_03[[#This Row],[Static Parameters Elastic Section Modulus Sx (in3)2]])*((Table_03[[#This Row],[b/t]]-Table_03[[#This Row],[λpf]])/(Table_03[[#This Row],[λrf]]-Table_03[[#This Row],[λpf]]))</f>
        <v>12218.258780714701</v>
      </c>
      <c r="AH221" s="193">
        <f>0.9*$B$4*Table_03[[#This Row],[kc]]*Table_03[[#This Row],[Static Parameters Elastic Section Modulus Sx (in3)2]]/Table_03[[#This Row],[b/t]]^2</f>
        <v>160284.14098093243</v>
      </c>
      <c r="AI221" s="194" t="str">
        <f>IF(Table_03[[#This Row],[b/t]]&lt;Table_03[[#This Row],[λpf]],"Compact",IF(AND(Table_03[[#This Row],[b/t]]&gt;Table_03[[#This Row],[λpf]],Table_03[[#This Row],[λrf]]&gt;Table_03[[#This Row],[b/t]]),"Non-Compact","Slender"))</f>
        <v>Compact</v>
      </c>
      <c r="AJ221" s="195">
        <f>IF(Table_03[[#This Row],[Controlling LBx]]="Compact",Table_03[[#This Row],[Mp (k-in)]],IF(Table_03[[#This Row],[Controlling LBx]]="Non-Compact",Table_03[[#This Row],[Mnlb,Non-Compact (k-in)]],IF(Table_03[[#This Row],[Controlling LBx]]="Slender",Table_03[[#This Row],[Mnlb,slender (k-in)]],"ERROR")))</f>
        <v>10918.015200000002</v>
      </c>
      <c r="AK221" s="192">
        <f>Table_03[[#This Row],[Mp (k-in)]]-(Table_03[[#This Row],[Mp (k-in)]]-0.7*Table_03[[#This Row],[Strength (ksi)]]*Table_03[[#This Row],[Static Parameters Elastic Section Modulus Sx (in3)2]])*(($B$5-Table_03[[#This Row],[Lp (ft)]])/(Table_03[[#This Row],[Lr]]-Table_03[[#This Row],[Lp (ft)]]))</f>
        <v>10742.975707896223</v>
      </c>
      <c r="AL221" s="196">
        <f>Table_03[[#This Row],[Fcrx]]*Table_03[[#This Row],[Static Parameters Elastic Section Modulus Sx (in3)2]]</f>
        <v>37634.150460929937</v>
      </c>
      <c r="AM221" s="197" t="str">
        <f>IF($B$5&lt;Table_03[[#This Row],[Lp (ft)]],"Yielding Controls",IF(AND($B$5&gt;Table_03[[#This Row],[Lp (ft)]],Table_03[[#This Row],[Lr]]&gt;$B$5),"Mltb,p Controls","Mltb,r Controls"))</f>
        <v>Mltb,p Controls</v>
      </c>
      <c r="AN221" s="198">
        <f>IF(Table_03[[#This Row],[Controlling LTB]]="Yielding Controls",Table_03[[#This Row],[Mp (k-in)]],IF(Table_03[[#This Row],[Controlling LTB]]="Mltb,p Controls",Table_03[[#This Row],[Mnltbp (k-in)]],IF(Table_03[[#This Row],[Controlling LTB]]="Mltb,r Controls",Table_03[[#This Row],[Mnltbr (k-in)]],"ERROR")))</f>
        <v>10742.975707896223</v>
      </c>
      <c r="AO221" s="199">
        <f>MIN(Table_03[[#This Row],[Strength (ksi)]]*Table_03[[#This Row],[Static Parameters Plastic Section Modulus Zy (in3)]],1.6*Table_03[[#This Row],[Strength (ksi)]]*Table_03[[#This Row],[Static Parameters Elastic Section Modulus Sy (in3)3]])</f>
        <v>1731.3480000000002</v>
      </c>
      <c r="AP221" s="169">
        <f>MIN(Table_03[[#This Row],[Mny (k-in)]],Table_03[[#This Row],[Mny (k-in)]]-(Table_03[[#This Row],[Mny (k-in)]]-0.7*Table_03[[#This Row],[Static Parameters Elastic Section Modulus Sy (in3)3]]*Table_03[[#This Row],[Strength (ksi)]])*((Table_03[[#This Row],[b/t]]-Table_03[[#This Row],[λpf]])/(Table_03[[#This Row],[λrf]]-Table_03[[#This Row],[λpf]])))</f>
        <v>1731.3480000000002</v>
      </c>
      <c r="AQ221" s="196">
        <f>MIN(Table_03[[#This Row],[Mny (k-in)]],Table_03[[#This Row],[Fcry]]*Table_03[[#This Row],[Static Parameters Elastic Section Modulus Sy (in3)3]])</f>
        <v>1731.3480000000002</v>
      </c>
      <c r="AR221" s="197" t="str">
        <f>IF(Table_03[[#This Row],[b/t]]&lt;Table_03[[#This Row],[λpf]],"Compact",IF(AND(Table_03[[#This Row],[b/t]]&gt;Table_03[[#This Row],[λpf]],Table_03[[#This Row],[λrf]]&gt;Table_03[[#This Row],[b/t]]),"Non-Compact","Slender"))</f>
        <v>Compact</v>
      </c>
      <c r="AS221" s="198">
        <f>IF(Table_03[[#This Row],[Controlling Lby]]="Compact",Table_03[[#This Row],[Mny (k-in)]],IF(Table_03[[#This Row],[Controlling Lby]]="Non-Compact",Table_03[[#This Row],[Mlby,Non-Compact (k-in)]],IF(Table_03[[#This Row],[Controlling Lby]]="Slender",Table_03[[#This Row],[Mlby,Slender (k-in)]],"ERROR")))</f>
        <v>1731.3480000000002</v>
      </c>
      <c r="AT221" s="199">
        <f>MIN(Table_03[[#This Row],[LBx]],Table_03[[#This Row],[LTB]],Table_03[[#This Row],[Mp (k-in)]])</f>
        <v>10742.975707896223</v>
      </c>
      <c r="AU221" s="169">
        <f>Table_03[[#This Row],[Mp (k-in)]]</f>
        <v>10918.015200000002</v>
      </c>
      <c r="AV221" s="169">
        <f>MIN(Table_03[[#This Row],[LBy]],Table_03[[#This Row],[Mny (k-in)]])</f>
        <v>1731.3480000000002</v>
      </c>
      <c r="AW221" s="200">
        <f>Table_03[[#This Row],[Mny (k-in)]]</f>
        <v>1731.3480000000002</v>
      </c>
      <c r="AX221" s="165">
        <f>SQRT(((Table_03[[#This Row],[Sectional Area (in2)]]-(Table_03[[#This Row],[Flange Thickness tf (in)]]*Table_03[[#This Row],[Width w (in)]]*2+Table_03[[#This Row],[Web Thickness tw (in)]]*((Table_03[[#This Row],[Depth h (in)]]-2*Table_03[[#This Row],[Flange Thickness tf (in)]]))))/4)/(1-PI()/4))</f>
        <v>0.46997250788086159</v>
      </c>
      <c r="AY221" s="165">
        <f>IF(4/SQRT((Table_03[[#This Row],[Depth h (in)]]-Table_03[[#This Row],[Flange Thickness tf (in)]]*2)/Table_03[[#This Row],[Web Thickness tw (in)]])&lt;0.35,0.35,IF(4/SQRT(Table_03[[#This Row],[Depth h (in)]]/Table_03[[#This Row],[Web Thickness tw (in)]])&gt;0.76,0.76,4/SQRT(Table_03[[#This Row],[Depth h (in)]]/Table_03[[#This Row],[Web Thickness tw (in)]])))</f>
        <v>0.65546138683345001</v>
      </c>
      <c r="AZ221" s="165"/>
    </row>
    <row r="222" spans="1:52" ht="14.4" thickBot="1" x14ac:dyDescent="0.35">
      <c r="A222" s="201" t="s">
        <v>314</v>
      </c>
      <c r="B222" s="202">
        <v>21.7</v>
      </c>
      <c r="C222" s="202">
        <v>12.39</v>
      </c>
      <c r="D222" s="202">
        <v>0.6</v>
      </c>
      <c r="E222" s="202">
        <v>0.96</v>
      </c>
      <c r="F222" s="203">
        <v>35.9</v>
      </c>
      <c r="G222" s="204">
        <v>122</v>
      </c>
      <c r="H222" s="203">
        <v>2960</v>
      </c>
      <c r="I222" s="203">
        <v>305</v>
      </c>
      <c r="J222" s="203">
        <f>Table_03[[#This Row],[Width w (in)]]*Table_03[[#This Row],[Flange Thickness tf (in)]]*(Table_03[[#This Row],[Depth h (in)]]-Table_03[[#This Row],[Flange Thickness tf (in)]])+0.25*Table_03[[#This Row],[Web Thickness tw (in)]]*(Table_03[[#This Row],[Depth h (in)]]-2*Table_03[[#This Row],[Flange Thickness tf (in)]])^2</f>
        <v>305.377116</v>
      </c>
      <c r="K222" s="203">
        <f>(Table_03[[#This Row],[Width w (in)]]^2*Table_03[[#This Row],[Flange Thickness tf (in)]])/2+0.25*Table_03[[#This Row],[Web Thickness tw (in)]]^2*(Table_03[[#This Row],[Depth h (in)]]-2*Table_03[[#This Row],[Flange Thickness tf (in)]])</f>
        <v>75.466007999999988</v>
      </c>
      <c r="L222" s="203">
        <v>273</v>
      </c>
      <c r="M222" s="203">
        <v>49.2</v>
      </c>
      <c r="N222" s="205">
        <v>50</v>
      </c>
      <c r="O222" s="206">
        <f>SQRT(Table_03[[#This Row],[Static Parameters Moment of Inertia Ix (in4)]]/Table_03[[#This Row],[Sectional Area (in2)]])</f>
        <v>9.0802672582856374</v>
      </c>
      <c r="P222" s="203">
        <f>SQRT(Table_03[[#This Row],[Static Parameters Moment of Inertia Iy (in4)]]/Table_03[[#This Row],[Sectional Area (in2)]])</f>
        <v>2.9147592914372016</v>
      </c>
      <c r="Q222" s="203">
        <f>($B$6*$B$5*12)/Table_03[[#This Row],[ry (in)2]]</f>
        <v>61.600283950537808</v>
      </c>
      <c r="R222" s="203">
        <f>(PI()^2*$B$4)/(Table_03[[#This Row],[KL/ry]]^2)</f>
        <v>75.427951844647794</v>
      </c>
      <c r="S222" s="203">
        <f>IF(Table_03[[#This Row],[Strength (ksi)]]/Table_03[[#This Row],[Fe,y]]&lt;2.25,(0.658^(Table_03[[#This Row],[Strength (ksi)]]/Table_03[[#This Row],[Fe,y]])*Table_03[[#This Row],[Strength (ksi)]]),0.877*Table_03[[#This Row],[Fe,y]])</f>
        <v>37.885656321479146</v>
      </c>
      <c r="T222" s="203">
        <f>Table_03[[#This Row],[Fcr,y]]*Table_03[[#This Row],[Sectional Area (in2)]]</f>
        <v>1360.0950619411012</v>
      </c>
      <c r="U222" s="203">
        <f>1.76*Table_03[[#This Row],[ry (in)2]]*SQRT($B$4/Table_03[[#This Row],[Strength (ksi)]])/12</f>
        <v>10.295515906794707</v>
      </c>
      <c r="V22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32.531086442214473</v>
      </c>
      <c r="W222" s="203">
        <f>Table_03[[#This Row],[Depth h (in)]]-Table_03[[#This Row],[Flange Thickness tf (in)]]</f>
        <v>20.74</v>
      </c>
      <c r="X222" s="203">
        <f>(Table_03[[#This Row],[Static Parameters Moment of Inertia Iy (in4)]]*Table_03[[#This Row],[ho]]^2)/4</f>
        <v>32798.754499999995</v>
      </c>
      <c r="Y222" s="203">
        <f>SQRT((SQRT(Table_03[[#This Row],[Static Parameters Moment of Inertia Iy (in4)]]*Table_03[[#This Row],[Cw*]])/Table_03[[#This Row],[Static Parameters Elastic Section Modulus Sx (in3)2]]))</f>
        <v>3.403752507972801</v>
      </c>
      <c r="Z222" s="203">
        <f>(2*Table_03[[#This Row],[Width w (in)]]*Table_03[[#This Row],[Flange Thickness tf (in)]]^3/3)+((Table_03[[#This Row],[Depth h (in)]]-Table_03[[#This Row],[Flange Thickness tf (in)]]*2)*Table_03[[#This Row],[Web Thickness tw (in)]]^3)/3</f>
        <v>8.7320793600000002</v>
      </c>
      <c r="AA222" s="203">
        <f>Table_03[[#This Row],[Width w (in)]]*0.5/Table_03[[#This Row],[Flange Thickness tf (in)]]</f>
        <v>6.4531250000000009</v>
      </c>
      <c r="AB222" s="203">
        <f>0.38*SQRT($B$4/Table_03[[#This Row],[Strength (ksi)]])</f>
        <v>9.1516118798821449</v>
      </c>
      <c r="AC222" s="203">
        <f>1*SQRT($B$4/Table_03[[#This Row],[Strength (ksi)]])</f>
        <v>24.083189157584592</v>
      </c>
      <c r="AD222" s="203">
        <f>(PI()^2*$B$4/(12*$B$5/Table_03[[#This Row],[rts]])^2)*SQRT(1+0.078*(Table_03[[#This Row],[J*]]/(Table_03[[#This Row],[Static Parameters Elastic Section Modulus Sx (in3)2]]*Table_03[[#This Row],[ho]])*$B$4/(12*$B$5/Table_03[[#This Row],[rts]])^2))</f>
        <v>454.86099470996118</v>
      </c>
      <c r="AE222" s="203">
        <f>0.69*$B$4/Table_03[[#This Row],[b/t]]^2</f>
        <v>480.51498220661415</v>
      </c>
      <c r="AF222" s="207">
        <f>Table_03[[#This Row],[Strength (ksi)]]*Table_03[[#This Row],[Static Parameters Plastic Section Modulus Zx (in3)]]</f>
        <v>15268.855799999999</v>
      </c>
      <c r="AG222" s="203">
        <f>Table_03[[#This Row],[Mp (k-in)]]-(Table_03[[#This Row],[Mp (k-in)]]-0.7*Table_03[[#This Row],[Strength (ksi)]]*Table_03[[#This Row],[Static Parameters Elastic Section Modulus Sx (in3)2]])*((Table_03[[#This Row],[b/t]]-Table_03[[#This Row],[λpf]])/(Table_03[[#This Row],[λrf]]-Table_03[[#This Row],[λpf]]))</f>
        <v>16301.4838086206</v>
      </c>
      <c r="AH222" s="208">
        <f>0.9*$B$4*Table_03[[#This Row],[kc]]*Table_03[[#This Row],[Static Parameters Elastic Section Modulus Sx (in3)2]]/Table_03[[#This Row],[b/t]]^2</f>
        <v>113806.94059851368</v>
      </c>
      <c r="AI222" s="209" t="str">
        <f>IF(Table_03[[#This Row],[b/t]]&lt;Table_03[[#This Row],[λpf]],"Compact",IF(AND(Table_03[[#This Row],[b/t]]&gt;Table_03[[#This Row],[λpf]],Table_03[[#This Row],[λrf]]&gt;Table_03[[#This Row],[b/t]]),"Non-Compact","Slender"))</f>
        <v>Compact</v>
      </c>
      <c r="AJ222" s="210">
        <f>IF(Table_03[[#This Row],[Controlling LBx]]="Compact",Table_03[[#This Row],[Mp (k-in)]],IF(Table_03[[#This Row],[Controlling LBx]]="Non-Compact",Table_03[[#This Row],[Mnlb,Non-Compact (k-in)]],IF(Table_03[[#This Row],[Controlling LBx]]="Slender",Table_03[[#This Row],[Mnlb,slender (k-in)]],"ERROR")))</f>
        <v>15268.855799999999</v>
      </c>
      <c r="AK222" s="207">
        <f>Table_03[[#This Row],[Mp (k-in)]]-(Table_03[[#This Row],[Mp (k-in)]]-0.7*Table_03[[#This Row],[Strength (ksi)]]*Table_03[[#This Row],[Static Parameters Elastic Section Modulus Sx (in3)2]])*(($B$5-Table_03[[#This Row],[Lp (ft)]])/(Table_03[[#This Row],[Lr]]-Table_03[[#This Row],[Lp (ft)]]))</f>
        <v>16083.580597556862</v>
      </c>
      <c r="AL222" s="211">
        <f>Table_03[[#This Row],[Fcrx]]*Table_03[[#This Row],[Static Parameters Elastic Section Modulus Sx (in3)2]]</f>
        <v>124177.0515558194</v>
      </c>
      <c r="AM222" s="212" t="str">
        <f>IF($B$5&lt;Table_03[[#This Row],[Lp (ft)]],"Yielding Controls",IF(AND($B$5&gt;Table_03[[#This Row],[Lp (ft)]],Table_03[[#This Row],[Lr]]&gt;$B$5),"Mltb,p Controls","Mltb,r Controls"))</f>
        <v>Yielding Controls</v>
      </c>
      <c r="AN222" s="213">
        <f>IF(Table_03[[#This Row],[Controlling LTB]]="Yielding Controls",Table_03[[#This Row],[Mp (k-in)]],IF(Table_03[[#This Row],[Controlling LTB]]="Mltb,p Controls",Table_03[[#This Row],[Mnltbp (k-in)]],IF(Table_03[[#This Row],[Controlling LTB]]="Mltb,r Controls",Table_03[[#This Row],[Mnltbr (k-in)]],"ERROR")))</f>
        <v>15268.855799999999</v>
      </c>
      <c r="AO222" s="214">
        <f>MIN(Table_03[[#This Row],[Strength (ksi)]]*Table_03[[#This Row],[Static Parameters Plastic Section Modulus Zy (in3)]],1.6*Table_03[[#This Row],[Strength (ksi)]]*Table_03[[#This Row],[Static Parameters Elastic Section Modulus Sy (in3)3]])</f>
        <v>3773.3003999999992</v>
      </c>
      <c r="AP222" s="206">
        <f>MIN(Table_03[[#This Row],[Mny (k-in)]],Table_03[[#This Row],[Mny (k-in)]]-(Table_03[[#This Row],[Mny (k-in)]]-0.7*Table_03[[#This Row],[Static Parameters Elastic Section Modulus Sy (in3)3]]*Table_03[[#This Row],[Strength (ksi)]])*((Table_03[[#This Row],[b/t]]-Table_03[[#This Row],[λpf]])/(Table_03[[#This Row],[λrf]]-Table_03[[#This Row],[λpf]])))</f>
        <v>3773.3003999999992</v>
      </c>
      <c r="AQ222" s="211">
        <f>MIN(Table_03[[#This Row],[Mny (k-in)]],Table_03[[#This Row],[Fcry]]*Table_03[[#This Row],[Static Parameters Elastic Section Modulus Sy (in3)3]])</f>
        <v>3773.3003999999992</v>
      </c>
      <c r="AR222" s="212" t="str">
        <f>IF(Table_03[[#This Row],[b/t]]&lt;Table_03[[#This Row],[λpf]],"Compact",IF(AND(Table_03[[#This Row],[b/t]]&gt;Table_03[[#This Row],[λpf]],Table_03[[#This Row],[λrf]]&gt;Table_03[[#This Row],[b/t]]),"Non-Compact","Slender"))</f>
        <v>Compact</v>
      </c>
      <c r="AS222" s="213">
        <f>IF(Table_03[[#This Row],[Controlling Lby]]="Compact",Table_03[[#This Row],[Mny (k-in)]],IF(Table_03[[#This Row],[Controlling Lby]]="Non-Compact",Table_03[[#This Row],[Mlby,Non-Compact (k-in)]],IF(Table_03[[#This Row],[Controlling Lby]]="Slender",Table_03[[#This Row],[Mlby,Slender (k-in)]],"ERROR")))</f>
        <v>3773.3003999999992</v>
      </c>
      <c r="AT222" s="214">
        <f>MIN(Table_03[[#This Row],[LBx]],Table_03[[#This Row],[LTB]],Table_03[[#This Row],[Mp (k-in)]])</f>
        <v>15268.855799999999</v>
      </c>
      <c r="AU222" s="206">
        <f>Table_03[[#This Row],[Mp (k-in)]]</f>
        <v>15268.855799999999</v>
      </c>
      <c r="AV222" s="206">
        <f>MIN(Table_03[[#This Row],[LBy]],Table_03[[#This Row],[Mny (k-in)]])</f>
        <v>3773.3003999999992</v>
      </c>
      <c r="AW222" s="215">
        <f>Table_03[[#This Row],[Mny (k-in)]]</f>
        <v>3773.3003999999992</v>
      </c>
      <c r="AX222" s="165">
        <f>SQRT(((Table_03[[#This Row],[Sectional Area (in2)]]-(Table_03[[#This Row],[Flange Thickness tf (in)]]*Table_03[[#This Row],[Width w (in)]]*2+Table_03[[#This Row],[Web Thickness tw (in)]]*((Table_03[[#This Row],[Depth h (in)]]-2*Table_03[[#This Row],[Flange Thickness tf (in)]]))))/4)/(1-PI()/4))</f>
        <v>0.53227377905790485</v>
      </c>
      <c r="AY222" s="165">
        <f>IF(4/SQRT((Table_03[[#This Row],[Depth h (in)]]-Table_03[[#This Row],[Flange Thickness tf (in)]]*2)/Table_03[[#This Row],[Web Thickness tw (in)]])&lt;0.35,0.35,IF(4/SQRT(Table_03[[#This Row],[Depth h (in)]]/Table_03[[#This Row],[Web Thickness tw (in)]])&gt;0.76,0.76,4/SQRT(Table_03[[#This Row],[Depth h (in)]]/Table_03[[#This Row],[Web Thickness tw (in)]])))</f>
        <v>0.66512879456843199</v>
      </c>
      <c r="AZ222" s="165"/>
    </row>
    <row r="223" spans="1:52" x14ac:dyDescent="0.3">
      <c r="A223" s="179" t="s">
        <v>315</v>
      </c>
      <c r="B223" s="180">
        <v>21.8</v>
      </c>
      <c r="C223" s="180">
        <v>12.44</v>
      </c>
      <c r="D223" s="180">
        <v>0.65</v>
      </c>
      <c r="E223" s="180">
        <v>1.0349999999999999</v>
      </c>
      <c r="F223" s="181">
        <v>38.799999999999997</v>
      </c>
      <c r="G223" s="180">
        <v>132</v>
      </c>
      <c r="H223" s="180">
        <v>3220</v>
      </c>
      <c r="I223" s="180">
        <v>333</v>
      </c>
      <c r="J223" s="181">
        <f>Table_03[[#This Row],[Width w (in)]]*Table_03[[#This Row],[Flange Thickness tf (in)]]*(Table_03[[#This Row],[Depth h (in)]]-Table_03[[#This Row],[Flange Thickness tf (in)]])+0.25*Table_03[[#This Row],[Web Thickness tw (in)]]*(Table_03[[#This Row],[Depth h (in)]]-2*Table_03[[#This Row],[Flange Thickness tf (in)]])^2</f>
        <v>330.61452725000004</v>
      </c>
      <c r="K223" s="181">
        <f>(Table_03[[#This Row],[Width w (in)]]^2*Table_03[[#This Row],[Flange Thickness tf (in)]])/2+0.25*Table_03[[#This Row],[Web Thickness tw (in)]]^2*(Table_03[[#This Row],[Depth h (in)]]-2*Table_03[[#This Row],[Flange Thickness tf (in)]])</f>
        <v>82.168969249999975</v>
      </c>
      <c r="L223" s="181">
        <v>295</v>
      </c>
      <c r="M223" s="181">
        <v>53.5</v>
      </c>
      <c r="N223" s="182">
        <v>50</v>
      </c>
      <c r="O223" s="181">
        <f>SQRT(Table_03[[#This Row],[Static Parameters Moment of Inertia Ix (in4)]]/Table_03[[#This Row],[Sectional Area (in2)]])</f>
        <v>9.1098677664195264</v>
      </c>
      <c r="P223" s="181">
        <f>SQRT(Table_03[[#This Row],[Static Parameters Moment of Inertia Iy (in4)]]/Table_03[[#This Row],[Sectional Area (in2)]])</f>
        <v>2.929586016283551</v>
      </c>
      <c r="Q223" s="181">
        <f>($B$6*$B$5*12)/Table_03[[#This Row],[ry (in)2]]</f>
        <v>61.288523020660676</v>
      </c>
      <c r="R223" s="181">
        <f>(PI()^2*$B$4)/(Table_03[[#This Row],[KL/ry]]^2)</f>
        <v>76.197273611391864</v>
      </c>
      <c r="S223" s="181">
        <f>IF(Table_03[[#This Row],[Strength (ksi)]]/Table_03[[#This Row],[Fe,y]]&lt;2.25,(0.658^(Table_03[[#This Row],[Strength (ksi)]]/Table_03[[#This Row],[Fe,y]])*Table_03[[#This Row],[Strength (ksi)]]),0.877*Table_03[[#This Row],[Fe,y]])</f>
        <v>37.991932817752847</v>
      </c>
      <c r="T223" s="181">
        <f>Table_03[[#This Row],[Fcr,y]]*Table_03[[#This Row],[Sectional Area (in2)]]</f>
        <v>1474.0869933288104</v>
      </c>
      <c r="U223" s="181">
        <f>1.76*Table_03[[#This Row],[ry (in)2]]*SQRT($B$4/Table_03[[#This Row],[Strength (ksi)]])/12</f>
        <v>10.347886880257146</v>
      </c>
      <c r="V223"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33.907847072449265</v>
      </c>
      <c r="W223" s="181">
        <f>Table_03[[#This Row],[Depth h (in)]]-Table_03[[#This Row],[Flange Thickness tf (in)]]</f>
        <v>20.765000000000001</v>
      </c>
      <c r="X223" s="181">
        <f>(Table_03[[#This Row],[Static Parameters Moment of Inertia Iy (in4)]]*Table_03[[#This Row],[ho]]^2)/4</f>
        <v>35896.169981250001</v>
      </c>
      <c r="Y223" s="181">
        <f>SQRT((SQRT(Table_03[[#This Row],[Static Parameters Moment of Inertia Iy (in4)]]*Table_03[[#This Row],[Cw*]])/Table_03[[#This Row],[Static Parameters Elastic Section Modulus Sx (in3)2]]))</f>
        <v>3.4234349387217828</v>
      </c>
      <c r="Z223" s="181">
        <f>(2*Table_03[[#This Row],[Width w (in)]]*Table_03[[#This Row],[Flange Thickness tf (in)]]^3/3)+((Table_03[[#This Row],[Depth h (in)]]-Table_03[[#This Row],[Flange Thickness tf (in)]]*2)*Table_03[[#This Row],[Web Thickness tw (in)]]^3)/3</f>
        <v>11.001083993333332</v>
      </c>
      <c r="AA223" s="181">
        <f>Table_03[[#This Row],[Width w (in)]]*0.5/Table_03[[#This Row],[Flange Thickness tf (in)]]</f>
        <v>6.0096618357487923</v>
      </c>
      <c r="AB223" s="181">
        <f>0.38*SQRT($B$4/Table_03[[#This Row],[Strength (ksi)]])</f>
        <v>9.1516118798821449</v>
      </c>
      <c r="AC223" s="181">
        <f>1*SQRT($B$4/Table_03[[#This Row],[Strength (ksi)]])</f>
        <v>24.083189157584592</v>
      </c>
      <c r="AD223" s="181">
        <f>(PI()^2*$B$4/(12*$B$5/Table_03[[#This Row],[rts]])^2)*SQRT(1+0.078*(Table_03[[#This Row],[J*]]/(Table_03[[#This Row],[Static Parameters Elastic Section Modulus Sx (in3)2]]*Table_03[[#This Row],[ho]])*$B$4/(12*$B$5/Table_03[[#This Row],[rts]])^2))</f>
        <v>460.36183959103556</v>
      </c>
      <c r="AE223" s="181">
        <f>0.69*$B$4/Table_03[[#This Row],[b/t]]^2</f>
        <v>554.04752458101143</v>
      </c>
      <c r="AF223" s="183">
        <f>Table_03[[#This Row],[Strength (ksi)]]*Table_03[[#This Row],[Static Parameters Plastic Section Modulus Zx (in3)]]</f>
        <v>16530.726362500001</v>
      </c>
      <c r="AG223" s="181">
        <f>Table_03[[#This Row],[Mp (k-in)]]-(Table_03[[#This Row],[Mp (k-in)]]-0.7*Table_03[[#This Row],[Strength (ksi)]]*Table_03[[#This Row],[Static Parameters Elastic Section Modulus Sx (in3)2]])*((Table_03[[#This Row],[b/t]]-Table_03[[#This Row],[λpf]])/(Table_03[[#This Row],[λrf]]-Table_03[[#This Row],[λpf]]))</f>
        <v>17836.555067391961</v>
      </c>
      <c r="AH223" s="184">
        <f>0.9*$B$4*Table_03[[#This Row],[kc]]*Table_03[[#This Row],[Static Parameters Elastic Section Modulus Sx (in3)2]]/Table_03[[#This Row],[b/t]]^2</f>
        <v>147248.49897728593</v>
      </c>
      <c r="AI223" s="185" t="str">
        <f>IF(Table_03[[#This Row],[b/t]]&lt;Table_03[[#This Row],[λpf]],"Compact",IF(AND(Table_03[[#This Row],[b/t]]&gt;Table_03[[#This Row],[λpf]],Table_03[[#This Row],[λrf]]&gt;Table_03[[#This Row],[b/t]]),"Non-Compact","Slender"))</f>
        <v>Compact</v>
      </c>
      <c r="AJ223" s="186">
        <f>IF(Table_03[[#This Row],[Controlling LBx]]="Compact",Table_03[[#This Row],[Mp (k-in)]],IF(Table_03[[#This Row],[Controlling LBx]]="Non-Compact",Table_03[[#This Row],[Mnlb,Non-Compact (k-in)]],IF(Table_03[[#This Row],[Controlling LBx]]="Slender",Table_03[[#This Row],[Mnlb,slender (k-in)]],"ERROR")))</f>
        <v>16530.726362500001</v>
      </c>
      <c r="AK223" s="183">
        <f>Table_03[[#This Row],[Mp (k-in)]]-(Table_03[[#This Row],[Mp (k-in)]]-0.7*Table_03[[#This Row],[Strength (ksi)]]*Table_03[[#This Row],[Static Parameters Elastic Section Modulus Sx (in3)2]])*(($B$5-Table_03[[#This Row],[Lp (ft)]])/(Table_03[[#This Row],[Lr]]-Table_03[[#This Row],[Lp (ft)]]))</f>
        <v>17379.639260187978</v>
      </c>
      <c r="AL223" s="184">
        <f>Table_03[[#This Row],[Fcrx]]*Table_03[[#This Row],[Static Parameters Elastic Section Modulus Sx (in3)2]]</f>
        <v>135806.74267935549</v>
      </c>
      <c r="AM223" s="185" t="str">
        <f>IF($B$5&lt;Table_03[[#This Row],[Lp (ft)]],"Yielding Controls",IF(AND($B$5&gt;Table_03[[#This Row],[Lp (ft)]],Table_03[[#This Row],[Lr]]&gt;$B$5),"Mltb,p Controls","Mltb,r Controls"))</f>
        <v>Yielding Controls</v>
      </c>
      <c r="AN223" s="186">
        <f>IF(Table_03[[#This Row],[Controlling LTB]]="Yielding Controls",Table_03[[#This Row],[Mp (k-in)]],IF(Table_03[[#This Row],[Controlling LTB]]="Mltb,p Controls",Table_03[[#This Row],[Mnltbp (k-in)]],IF(Table_03[[#This Row],[Controlling LTB]]="Mltb,r Controls",Table_03[[#This Row],[Mnltbr (k-in)]],"ERROR")))</f>
        <v>16530.726362500001</v>
      </c>
      <c r="AO223" s="183">
        <f>MIN(Table_03[[#This Row],[Strength (ksi)]]*Table_03[[#This Row],[Static Parameters Plastic Section Modulus Zy (in3)]],1.6*Table_03[[#This Row],[Strength (ksi)]]*Table_03[[#This Row],[Static Parameters Elastic Section Modulus Sy (in3)3]])</f>
        <v>4108.4484624999986</v>
      </c>
      <c r="AP223" s="181">
        <f>MIN(Table_03[[#This Row],[Mny (k-in)]],Table_03[[#This Row],[Mny (k-in)]]-(Table_03[[#This Row],[Mny (k-in)]]-0.7*Table_03[[#This Row],[Static Parameters Elastic Section Modulus Sy (in3)3]]*Table_03[[#This Row],[Strength (ksi)]])*((Table_03[[#This Row],[b/t]]-Table_03[[#This Row],[λpf]])/(Table_03[[#This Row],[λrf]]-Table_03[[#This Row],[λpf]])))</f>
        <v>4108.4484624999986</v>
      </c>
      <c r="AQ223" s="184">
        <f>MIN(Table_03[[#This Row],[Mny (k-in)]],Table_03[[#This Row],[Fcry]]*Table_03[[#This Row],[Static Parameters Elastic Section Modulus Sy (in3)3]])</f>
        <v>4108.4484624999986</v>
      </c>
      <c r="AR223" s="185" t="str">
        <f>IF(Table_03[[#This Row],[b/t]]&lt;Table_03[[#This Row],[λpf]],"Compact",IF(AND(Table_03[[#This Row],[b/t]]&gt;Table_03[[#This Row],[λpf]],Table_03[[#This Row],[λrf]]&gt;Table_03[[#This Row],[b/t]]),"Non-Compact","Slender"))</f>
        <v>Compact</v>
      </c>
      <c r="AS223" s="186">
        <f>IF(Table_03[[#This Row],[Controlling Lby]]="Compact",Table_03[[#This Row],[Mny (k-in)]],IF(Table_03[[#This Row],[Controlling Lby]]="Non-Compact",Table_03[[#This Row],[Mlby,Non-Compact (k-in)]],IF(Table_03[[#This Row],[Controlling Lby]]="Slender",Table_03[[#This Row],[Mlby,Slender (k-in)]],"ERROR")))</f>
        <v>4108.4484624999986</v>
      </c>
      <c r="AT223" s="183">
        <f>MIN(Table_03[[#This Row],[LBx]],Table_03[[#This Row],[LTB]],Table_03[[#This Row],[Mp (k-in)]])</f>
        <v>16530.726362500001</v>
      </c>
      <c r="AU223" s="181">
        <f>Table_03[[#This Row],[Mp (k-in)]]</f>
        <v>16530.726362500001</v>
      </c>
      <c r="AV223" s="181">
        <f>MIN(Table_03[[#This Row],[LBy]],Table_03[[#This Row],[Mny (k-in)]])</f>
        <v>4108.4484624999986</v>
      </c>
      <c r="AW223" s="187">
        <f>Table_03[[#This Row],[Mny (k-in)]]</f>
        <v>4108.4484624999986</v>
      </c>
      <c r="AX223" s="165">
        <f>SQRT(((Table_03[[#This Row],[Sectional Area (in2)]]-(Table_03[[#This Row],[Flange Thickness tf (in)]]*Table_03[[#This Row],[Width w (in)]]*2+Table_03[[#This Row],[Web Thickness tw (in)]]*((Table_03[[#This Row],[Depth h (in)]]-2*Table_03[[#This Row],[Flange Thickness tf (in)]]))))/4)/(1-PI()/4))</f>
        <v>0.51162861157125739</v>
      </c>
      <c r="AY223" s="165">
        <f>IF(4/SQRT((Table_03[[#This Row],[Depth h (in)]]-Table_03[[#This Row],[Flange Thickness tf (in)]]*2)/Table_03[[#This Row],[Web Thickness tw (in)]])&lt;0.35,0.35,IF(4/SQRT(Table_03[[#This Row],[Depth h (in)]]/Table_03[[#This Row],[Web Thickness tw (in)]])&gt;0.76,0.76,4/SQRT(Table_03[[#This Row],[Depth h (in)]]/Table_03[[#This Row],[Web Thickness tw (in)]])))</f>
        <v>0.69069835687041137</v>
      </c>
      <c r="AZ223" s="165"/>
    </row>
    <row r="224" spans="1:52" x14ac:dyDescent="0.3">
      <c r="A224" s="188" t="s">
        <v>316</v>
      </c>
      <c r="B224" s="189">
        <v>22.1</v>
      </c>
      <c r="C224" s="189">
        <v>12.51</v>
      </c>
      <c r="D224" s="189">
        <v>0.72</v>
      </c>
      <c r="E224" s="189">
        <v>1.1499999999999999</v>
      </c>
      <c r="F224" s="190">
        <v>43.2</v>
      </c>
      <c r="G224" s="189">
        <v>147</v>
      </c>
      <c r="H224" s="190">
        <v>3630</v>
      </c>
      <c r="I224" s="190">
        <v>376</v>
      </c>
      <c r="J224" s="190">
        <f>Table_03[[#This Row],[Width w (in)]]*Table_03[[#This Row],[Flange Thickness tf (in)]]*(Table_03[[#This Row],[Depth h (in)]]-Table_03[[#This Row],[Flange Thickness tf (in)]])+0.25*Table_03[[#This Row],[Web Thickness tw (in)]]*(Table_03[[#This Row],[Depth h (in)]]-2*Table_03[[#This Row],[Flange Thickness tf (in)]])^2</f>
        <v>371.96437500000002</v>
      </c>
      <c r="K224" s="190">
        <f>(Table_03[[#This Row],[Width w (in)]]^2*Table_03[[#This Row],[Flange Thickness tf (in)]])/2+0.25*Table_03[[#This Row],[Web Thickness tw (in)]]^2*(Table_03[[#This Row],[Depth h (in)]]-2*Table_03[[#This Row],[Flange Thickness tf (in)]])</f>
        <v>92.553637499999994</v>
      </c>
      <c r="L224" s="190">
        <v>329</v>
      </c>
      <c r="M224" s="190">
        <v>60.1</v>
      </c>
      <c r="N224" s="191">
        <v>50</v>
      </c>
      <c r="O224" s="169">
        <f>SQRT(Table_03[[#This Row],[Static Parameters Moment of Inertia Ix (in4)]]/Table_03[[#This Row],[Sectional Area (in2)]])</f>
        <v>9.1666666666666661</v>
      </c>
      <c r="P224" s="190">
        <f>SQRT(Table_03[[#This Row],[Static Parameters Moment of Inertia Iy (in4)]]/Table_03[[#This Row],[Sectional Area (in2)]])</f>
        <v>2.9502040105226115</v>
      </c>
      <c r="Q224" s="190">
        <f>($B$6*$B$5*12)/Table_03[[#This Row],[ry (in)2]]</f>
        <v>60.860197925157649</v>
      </c>
      <c r="R224" s="190">
        <f>(PI()^2*$B$4)/(Table_03[[#This Row],[KL/ry]]^2)</f>
        <v>77.273578110184687</v>
      </c>
      <c r="S224" s="190">
        <f>IF(Table_03[[#This Row],[Strength (ksi)]]/Table_03[[#This Row],[Fe,y]]&lt;2.25,(0.658^(Table_03[[#This Row],[Strength (ksi)]]/Table_03[[#This Row],[Fe,y]])*Table_03[[#This Row],[Strength (ksi)]]),0.877*Table_03[[#This Row],[Fe,y]])</f>
        <v>38.13754736065134</v>
      </c>
      <c r="T224" s="190">
        <f>Table_03[[#This Row],[Fcr,y]]*Table_03[[#This Row],[Sectional Area (in2)]]</f>
        <v>1647.542045980138</v>
      </c>
      <c r="U224" s="190">
        <f>1.76*Table_03[[#This Row],[ry (in)2]]*SQRT($B$4/Table_03[[#This Row],[Strength (ksi)]])/12</f>
        <v>10.420713781702508</v>
      </c>
      <c r="V22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36.171457512575479</v>
      </c>
      <c r="W224" s="190">
        <f>Table_03[[#This Row],[Depth h (in)]]-Table_03[[#This Row],[Flange Thickness tf (in)]]</f>
        <v>20.950000000000003</v>
      </c>
      <c r="X224" s="190">
        <f>(Table_03[[#This Row],[Static Parameters Moment of Inertia Iy (in4)]]*Table_03[[#This Row],[ho]]^2)/4</f>
        <v>41256.835000000014</v>
      </c>
      <c r="Y224" s="190">
        <f>SQRT((SQRT(Table_03[[#This Row],[Static Parameters Moment of Inertia Iy (in4)]]*Table_03[[#This Row],[Cw*]])/Table_03[[#This Row],[Static Parameters Elastic Section Modulus Sx (in3)2]]))</f>
        <v>3.4599752269963688</v>
      </c>
      <c r="Z224" s="190">
        <f>(2*Table_03[[#This Row],[Width w (in)]]*Table_03[[#This Row],[Flange Thickness tf (in)]]^3/3)+((Table_03[[#This Row],[Depth h (in)]]-Table_03[[#This Row],[Flange Thickness tf (in)]]*2)*Table_03[[#This Row],[Web Thickness tw (in)]]^3)/3</f>
        <v>15.147534299999995</v>
      </c>
      <c r="AA224" s="190">
        <f>Table_03[[#This Row],[Width w (in)]]*0.5/Table_03[[#This Row],[Flange Thickness tf (in)]]</f>
        <v>5.4391304347826086</v>
      </c>
      <c r="AB224" s="190">
        <f>0.38*SQRT($B$4/Table_03[[#This Row],[Strength (ksi)]])</f>
        <v>9.1516118798821449</v>
      </c>
      <c r="AC224" s="190">
        <f>1*SQRT($B$4/Table_03[[#This Row],[Strength (ksi)]])</f>
        <v>24.083189157584592</v>
      </c>
      <c r="AD224" s="190">
        <f>(PI()^2*$B$4/(12*$B$5/Table_03[[#This Row],[rts]])^2)*SQRT(1+0.078*(Table_03[[#This Row],[J*]]/(Table_03[[#This Row],[Static Parameters Elastic Section Modulus Sx (in3)2]]*Table_03[[#This Row],[ho]])*$B$4/(12*$B$5/Table_03[[#This Row],[rts]])^2))</f>
        <v>470.62185708858794</v>
      </c>
      <c r="AE224" s="190">
        <f>0.69*$B$4/Table_03[[#This Row],[b/t]]^2</f>
        <v>676.37592563838621</v>
      </c>
      <c r="AF224" s="192">
        <f>Table_03[[#This Row],[Strength (ksi)]]*Table_03[[#This Row],[Static Parameters Plastic Section Modulus Zx (in3)]]</f>
        <v>18598.21875</v>
      </c>
      <c r="AG224" s="190">
        <f>Table_03[[#This Row],[Mp (k-in)]]-(Table_03[[#This Row],[Mp (k-in)]]-0.7*Table_03[[#This Row],[Strength (ksi)]]*Table_03[[#This Row],[Static Parameters Elastic Section Modulus Sx (in3)2]])*((Table_03[[#This Row],[b/t]]-Table_03[[#This Row],[λpf]])/(Table_03[[#This Row],[λrf]]-Table_03[[#This Row],[λpf]]))</f>
        <v>20359.340009454943</v>
      </c>
      <c r="AH224" s="193">
        <f>0.9*$B$4*Table_03[[#This Row],[kc]]*Table_03[[#This Row],[Static Parameters Elastic Section Modulus Sx (in3)2]]/Table_03[[#This Row],[b/t]]^2</f>
        <v>209559.59991651642</v>
      </c>
      <c r="AI224" s="194" t="str">
        <f>IF(Table_03[[#This Row],[b/t]]&lt;Table_03[[#This Row],[λpf]],"Compact",IF(AND(Table_03[[#This Row],[b/t]]&gt;Table_03[[#This Row],[λpf]],Table_03[[#This Row],[λrf]]&gt;Table_03[[#This Row],[b/t]]),"Non-Compact","Slender"))</f>
        <v>Compact</v>
      </c>
      <c r="AJ224" s="195">
        <f>IF(Table_03[[#This Row],[Controlling LBx]]="Compact",Table_03[[#This Row],[Mp (k-in)]],IF(Table_03[[#This Row],[Controlling LBx]]="Non-Compact",Table_03[[#This Row],[Mnlb,Non-Compact (k-in)]],IF(Table_03[[#This Row],[Controlling LBx]]="Slender",Table_03[[#This Row],[Mnlb,slender (k-in)]],"ERROR")))</f>
        <v>18598.21875</v>
      </c>
      <c r="AK224" s="192">
        <f>Table_03[[#This Row],[Mp (k-in)]]-(Table_03[[#This Row],[Mp (k-in)]]-0.7*Table_03[[#This Row],[Strength (ksi)]]*Table_03[[#This Row],[Static Parameters Elastic Section Modulus Sx (in3)2]])*(($B$5-Table_03[[#This Row],[Lp (ft)]])/(Table_03[[#This Row],[Lr]]-Table_03[[#This Row],[Lp (ft)]]))</f>
        <v>19504.765834510061</v>
      </c>
      <c r="AL224" s="196">
        <f>Table_03[[#This Row],[Fcrx]]*Table_03[[#This Row],[Static Parameters Elastic Section Modulus Sx (in3)2]]</f>
        <v>154834.59098214543</v>
      </c>
      <c r="AM224" s="197" t="str">
        <f>IF($B$5&lt;Table_03[[#This Row],[Lp (ft)]],"Yielding Controls",IF(AND($B$5&gt;Table_03[[#This Row],[Lp (ft)]],Table_03[[#This Row],[Lr]]&gt;$B$5),"Mltb,p Controls","Mltb,r Controls"))</f>
        <v>Yielding Controls</v>
      </c>
      <c r="AN224" s="198">
        <f>IF(Table_03[[#This Row],[Controlling LTB]]="Yielding Controls",Table_03[[#This Row],[Mp (k-in)]],IF(Table_03[[#This Row],[Controlling LTB]]="Mltb,p Controls",Table_03[[#This Row],[Mnltbp (k-in)]],IF(Table_03[[#This Row],[Controlling LTB]]="Mltb,r Controls",Table_03[[#This Row],[Mnltbr (k-in)]],"ERROR")))</f>
        <v>18598.21875</v>
      </c>
      <c r="AO224" s="199">
        <f>MIN(Table_03[[#This Row],[Strength (ksi)]]*Table_03[[#This Row],[Static Parameters Plastic Section Modulus Zy (in3)]],1.6*Table_03[[#This Row],[Strength (ksi)]]*Table_03[[#This Row],[Static Parameters Elastic Section Modulus Sy (in3)3]])</f>
        <v>4627.6818749999993</v>
      </c>
      <c r="AP224" s="169">
        <f>MIN(Table_03[[#This Row],[Mny (k-in)]],Table_03[[#This Row],[Mny (k-in)]]-(Table_03[[#This Row],[Mny (k-in)]]-0.7*Table_03[[#This Row],[Static Parameters Elastic Section Modulus Sy (in3)3]]*Table_03[[#This Row],[Strength (ksi)]])*((Table_03[[#This Row],[b/t]]-Table_03[[#This Row],[λpf]])/(Table_03[[#This Row],[λrf]]-Table_03[[#This Row],[λpf]])))</f>
        <v>4627.6818749999993</v>
      </c>
      <c r="AQ224" s="196">
        <f>MIN(Table_03[[#This Row],[Mny (k-in)]],Table_03[[#This Row],[Fcry]]*Table_03[[#This Row],[Static Parameters Elastic Section Modulus Sy (in3)3]])</f>
        <v>4627.6818749999993</v>
      </c>
      <c r="AR224" s="197" t="str">
        <f>IF(Table_03[[#This Row],[b/t]]&lt;Table_03[[#This Row],[λpf]],"Compact",IF(AND(Table_03[[#This Row],[b/t]]&gt;Table_03[[#This Row],[λpf]],Table_03[[#This Row],[λrf]]&gt;Table_03[[#This Row],[b/t]]),"Non-Compact","Slender"))</f>
        <v>Compact</v>
      </c>
      <c r="AS224" s="198">
        <f>IF(Table_03[[#This Row],[Controlling Lby]]="Compact",Table_03[[#This Row],[Mny (k-in)]],IF(Table_03[[#This Row],[Controlling Lby]]="Non-Compact",Table_03[[#This Row],[Mlby,Non-Compact (k-in)]],IF(Table_03[[#This Row],[Controlling Lby]]="Slender",Table_03[[#This Row],[Mlby,Slender (k-in)]],"ERROR")))</f>
        <v>4627.6818749999993</v>
      </c>
      <c r="AT224" s="199">
        <f>MIN(Table_03[[#This Row],[LBx]],Table_03[[#This Row],[LTB]],Table_03[[#This Row],[Mp (k-in)]])</f>
        <v>18598.21875</v>
      </c>
      <c r="AU224" s="169">
        <f>Table_03[[#This Row],[Mp (k-in)]]</f>
        <v>18598.21875</v>
      </c>
      <c r="AV224" s="169">
        <f>MIN(Table_03[[#This Row],[LBy]],Table_03[[#This Row],[Mny (k-in)]])</f>
        <v>4627.6818749999993</v>
      </c>
      <c r="AW224" s="200">
        <f>Table_03[[#This Row],[Mny (k-in)]]</f>
        <v>4627.6818749999993</v>
      </c>
      <c r="AX224" s="165">
        <f>SQRT(((Table_03[[#This Row],[Sectional Area (in2)]]-(Table_03[[#This Row],[Flange Thickness tf (in)]]*Table_03[[#This Row],[Width w (in)]]*2+Table_03[[#This Row],[Web Thickness tw (in)]]*((Table_03[[#This Row],[Depth h (in)]]-2*Table_03[[#This Row],[Flange Thickness tf (in)]]))))/4)/(1-PI()/4))</f>
        <v>0.4463251322303306</v>
      </c>
      <c r="AY224" s="165">
        <f>IF(4/SQRT((Table_03[[#This Row],[Depth h (in)]]-Table_03[[#This Row],[Flange Thickness tf (in)]]*2)/Table_03[[#This Row],[Web Thickness tw (in)]])&lt;0.35,0.35,IF(4/SQRT(Table_03[[#This Row],[Depth h (in)]]/Table_03[[#This Row],[Web Thickness tw (in)]])&gt;0.76,0.76,4/SQRT(Table_03[[#This Row],[Depth h (in)]]/Table_03[[#This Row],[Web Thickness tw (in)]])))</f>
        <v>0.72198820511542416</v>
      </c>
      <c r="AZ224" s="165"/>
    </row>
    <row r="225" spans="1:52" ht="14.4" thickBot="1" x14ac:dyDescent="0.35">
      <c r="A225" s="201" t="s">
        <v>317</v>
      </c>
      <c r="B225" s="202">
        <v>23.6</v>
      </c>
      <c r="C225" s="202">
        <v>7.01</v>
      </c>
      <c r="D225" s="202">
        <v>0.39500000000000002</v>
      </c>
      <c r="E225" s="202">
        <v>0.505</v>
      </c>
      <c r="F225" s="203">
        <v>16.2</v>
      </c>
      <c r="G225" s="204">
        <v>55</v>
      </c>
      <c r="H225" s="203">
        <v>1350</v>
      </c>
      <c r="I225" s="203">
        <v>29.1</v>
      </c>
      <c r="J225" s="203">
        <f>Table_03[[#This Row],[Width w (in)]]*Table_03[[#This Row],[Flange Thickness tf (in)]]*(Table_03[[#This Row],[Depth h (in)]]-Table_03[[#This Row],[Flange Thickness tf (in)]])+0.25*Table_03[[#This Row],[Web Thickness tw (in)]]*(Table_03[[#This Row],[Depth h (in)]]-2*Table_03[[#This Row],[Flange Thickness tf (in)]])^2</f>
        <v>132.150379625</v>
      </c>
      <c r="K225" s="203">
        <f>(Table_03[[#This Row],[Width w (in)]]^2*Table_03[[#This Row],[Flange Thickness tf (in)]])/2+0.25*Table_03[[#This Row],[Web Thickness tw (in)]]^2*(Table_03[[#This Row],[Depth h (in)]]-2*Table_03[[#This Row],[Flange Thickness tf (in)]])</f>
        <v>13.2890264375</v>
      </c>
      <c r="L225" s="203">
        <v>114</v>
      </c>
      <c r="M225" s="203">
        <v>8.3000000000000007</v>
      </c>
      <c r="N225" s="205">
        <v>50</v>
      </c>
      <c r="O225" s="206">
        <f>SQRT(Table_03[[#This Row],[Static Parameters Moment of Inertia Ix (in4)]]/Table_03[[#This Row],[Sectional Area (in2)]])</f>
        <v>9.1287092917527684</v>
      </c>
      <c r="P225" s="203">
        <f>SQRT(Table_03[[#This Row],[Static Parameters Moment of Inertia Iy (in4)]]/Table_03[[#This Row],[Sectional Area (in2)]])</f>
        <v>1.3402597868683133</v>
      </c>
      <c r="Q225" s="203">
        <f>($B$6*$B$5*12)/Table_03[[#This Row],[ry (in)2]]</f>
        <v>133.96656510865057</v>
      </c>
      <c r="R225" s="203">
        <f>(PI()^2*$B$4)/(Table_03[[#This Row],[KL/ry]]^2)</f>
        <v>15.947951226995569</v>
      </c>
      <c r="S225" s="203">
        <f>IF(Table_03[[#This Row],[Strength (ksi)]]/Table_03[[#This Row],[Fe,y]]&lt;2.25,(0.658^(Table_03[[#This Row],[Strength (ksi)]]/Table_03[[#This Row],[Fe,y]])*Table_03[[#This Row],[Strength (ksi)]]),0.877*Table_03[[#This Row],[Fe,y]])</f>
        <v>13.986353226075114</v>
      </c>
      <c r="T225" s="203">
        <f>Table_03[[#This Row],[Fcr,y]]*Table_03[[#This Row],[Sectional Area (in2)]]</f>
        <v>226.57892226241682</v>
      </c>
      <c r="U225" s="203">
        <f>1.76*Table_03[[#This Row],[ry (in)2]]*SQRT($B$4/Table_03[[#This Row],[Strength (ksi)]])/12</f>
        <v>4.734067061893195</v>
      </c>
      <c r="V22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13.809656525941753</v>
      </c>
      <c r="W225" s="203">
        <f>Table_03[[#This Row],[Depth h (in)]]-Table_03[[#This Row],[Flange Thickness tf (in)]]</f>
        <v>23.095000000000002</v>
      </c>
      <c r="X225" s="203">
        <f>(Table_03[[#This Row],[Static Parameters Moment of Inertia Iy (in4)]]*Table_03[[#This Row],[ho]]^2)/4</f>
        <v>3880.3324068750007</v>
      </c>
      <c r="Y225" s="203">
        <f>SQRT((SQRT(Table_03[[#This Row],[Static Parameters Moment of Inertia Iy (in4)]]*Table_03[[#This Row],[Cw*]])/Table_03[[#This Row],[Static Parameters Elastic Section Modulus Sx (in3)2]]))</f>
        <v>1.7168725391797359</v>
      </c>
      <c r="Z225" s="203">
        <f>(2*Table_03[[#This Row],[Width w (in)]]*Table_03[[#This Row],[Flange Thickness tf (in)]]^3/3)+((Table_03[[#This Row],[Depth h (in)]]-Table_03[[#This Row],[Flange Thickness tf (in)]]*2)*Table_03[[#This Row],[Web Thickness tw (in)]]^3)/3</f>
        <v>1.0659404595833335</v>
      </c>
      <c r="AA225" s="203">
        <f>Table_03[[#This Row],[Width w (in)]]*0.5/Table_03[[#This Row],[Flange Thickness tf (in)]]</f>
        <v>6.9405940594059405</v>
      </c>
      <c r="AB225" s="203">
        <f>0.38*SQRT($B$4/Table_03[[#This Row],[Strength (ksi)]])</f>
        <v>9.1516118798821449</v>
      </c>
      <c r="AC225" s="203">
        <f>1*SQRT($B$4/Table_03[[#This Row],[Strength (ksi)]])</f>
        <v>24.083189157584592</v>
      </c>
      <c r="AD225" s="203">
        <f>(PI()^2*$B$4/(12*$B$5/Table_03[[#This Row],[rts]])^2)*SQRT(1+0.078*(Table_03[[#This Row],[J*]]/(Table_03[[#This Row],[Static Parameters Elastic Section Modulus Sx (in3)2]]*Table_03[[#This Row],[ho]])*$B$4/(12*$B$5/Table_03[[#This Row],[rts]])^2))</f>
        <v>115.4308235124702</v>
      </c>
      <c r="AE225" s="203">
        <f>0.69*$B$4/Table_03[[#This Row],[b/t]]^2</f>
        <v>415.38786042356446</v>
      </c>
      <c r="AF225" s="207">
        <f>Table_03[[#This Row],[Strength (ksi)]]*Table_03[[#This Row],[Static Parameters Plastic Section Modulus Zx (in3)]]</f>
        <v>6607.5189812500003</v>
      </c>
      <c r="AG225" s="203">
        <f>Table_03[[#This Row],[Mp (k-in)]]-(Table_03[[#This Row],[Mp (k-in)]]-0.7*Table_03[[#This Row],[Strength (ksi)]]*Table_03[[#This Row],[Static Parameters Elastic Section Modulus Sx (in3)2]])*((Table_03[[#This Row],[b/t]]-Table_03[[#This Row],[λpf]])/(Table_03[[#This Row],[λrf]]-Table_03[[#This Row],[λpf]]))</f>
        <v>6995.1124019143299</v>
      </c>
      <c r="AH225" s="208">
        <f>0.9*$B$4*Table_03[[#This Row],[kc]]*Table_03[[#This Row],[Static Parameters Elastic Section Modulus Sx (in3)2]]/Table_03[[#This Row],[b/t]]^2</f>
        <v>31963.52057197527</v>
      </c>
      <c r="AI225" s="209" t="str">
        <f>IF(Table_03[[#This Row],[b/t]]&lt;Table_03[[#This Row],[λpf]],"Compact",IF(AND(Table_03[[#This Row],[b/t]]&gt;Table_03[[#This Row],[λpf]],Table_03[[#This Row],[λrf]]&gt;Table_03[[#This Row],[b/t]]),"Non-Compact","Slender"))</f>
        <v>Compact</v>
      </c>
      <c r="AJ225" s="210">
        <f>IF(Table_03[[#This Row],[Controlling LBx]]="Compact",Table_03[[#This Row],[Mp (k-in)]],IF(Table_03[[#This Row],[Controlling LBx]]="Non-Compact",Table_03[[#This Row],[Mnlb,Non-Compact (k-in)]],IF(Table_03[[#This Row],[Controlling LBx]]="Slender",Table_03[[#This Row],[Mnlb,slender (k-in)]],"ERROR")))</f>
        <v>6607.5189812500003</v>
      </c>
      <c r="AK225" s="207">
        <f>Table_03[[#This Row],[Mp (k-in)]]-(Table_03[[#This Row],[Mp (k-in)]]-0.7*Table_03[[#This Row],[Strength (ksi)]]*Table_03[[#This Row],[Static Parameters Elastic Section Modulus Sx (in3)2]])*(($B$5-Table_03[[#This Row],[Lp (ft)]])/(Table_03[[#This Row],[Lr]]-Table_03[[#This Row],[Lp (ft)]]))</f>
        <v>5917.9425770746393</v>
      </c>
      <c r="AL225" s="211">
        <f>Table_03[[#This Row],[Fcrx]]*Table_03[[#This Row],[Static Parameters Elastic Section Modulus Sx (in3)2]]</f>
        <v>13159.113880421603</v>
      </c>
      <c r="AM225" s="212" t="str">
        <f>IF($B$5&lt;Table_03[[#This Row],[Lp (ft)]],"Yielding Controls",IF(AND($B$5&gt;Table_03[[#This Row],[Lp (ft)]],Table_03[[#This Row],[Lr]]&gt;$B$5),"Mltb,p Controls","Mltb,r Controls"))</f>
        <v>Mltb,p Controls</v>
      </c>
      <c r="AN225" s="213">
        <f>IF(Table_03[[#This Row],[Controlling LTB]]="Yielding Controls",Table_03[[#This Row],[Mp (k-in)]],IF(Table_03[[#This Row],[Controlling LTB]]="Mltb,p Controls",Table_03[[#This Row],[Mnltbp (k-in)]],IF(Table_03[[#This Row],[Controlling LTB]]="Mltb,r Controls",Table_03[[#This Row],[Mnltbr (k-in)]],"ERROR")))</f>
        <v>5917.9425770746393</v>
      </c>
      <c r="AO225" s="214">
        <f>MIN(Table_03[[#This Row],[Strength (ksi)]]*Table_03[[#This Row],[Static Parameters Plastic Section Modulus Zy (in3)]],1.6*Table_03[[#This Row],[Strength (ksi)]]*Table_03[[#This Row],[Static Parameters Elastic Section Modulus Sy (in3)3]])</f>
        <v>664</v>
      </c>
      <c r="AP225" s="206">
        <f>MIN(Table_03[[#This Row],[Mny (k-in)]],Table_03[[#This Row],[Mny (k-in)]]-(Table_03[[#This Row],[Mny (k-in)]]-0.7*Table_03[[#This Row],[Static Parameters Elastic Section Modulus Sy (in3)3]]*Table_03[[#This Row],[Strength (ksi)]])*((Table_03[[#This Row],[b/t]]-Table_03[[#This Row],[λpf]])/(Table_03[[#This Row],[λrf]]-Table_03[[#This Row],[λpf]])))</f>
        <v>664</v>
      </c>
      <c r="AQ225" s="211">
        <f>MIN(Table_03[[#This Row],[Mny (k-in)]],Table_03[[#This Row],[Fcry]]*Table_03[[#This Row],[Static Parameters Elastic Section Modulus Sy (in3)3]])</f>
        <v>664</v>
      </c>
      <c r="AR225" s="212" t="str">
        <f>IF(Table_03[[#This Row],[b/t]]&lt;Table_03[[#This Row],[λpf]],"Compact",IF(AND(Table_03[[#This Row],[b/t]]&gt;Table_03[[#This Row],[λpf]],Table_03[[#This Row],[λrf]]&gt;Table_03[[#This Row],[b/t]]),"Non-Compact","Slender"))</f>
        <v>Compact</v>
      </c>
      <c r="AS225" s="213">
        <f>IF(Table_03[[#This Row],[Controlling Lby]]="Compact",Table_03[[#This Row],[Mny (k-in)]],IF(Table_03[[#This Row],[Controlling Lby]]="Non-Compact",Table_03[[#This Row],[Mlby,Non-Compact (k-in)]],IF(Table_03[[#This Row],[Controlling Lby]]="Slender",Table_03[[#This Row],[Mlby,Slender (k-in)]],"ERROR")))</f>
        <v>664</v>
      </c>
      <c r="AT225" s="214">
        <f>MIN(Table_03[[#This Row],[LBx]],Table_03[[#This Row],[LTB]],Table_03[[#This Row],[Mp (k-in)]])</f>
        <v>5917.9425770746393</v>
      </c>
      <c r="AU225" s="206">
        <f>Table_03[[#This Row],[Mp (k-in)]]</f>
        <v>6607.5189812500003</v>
      </c>
      <c r="AV225" s="206">
        <f>MIN(Table_03[[#This Row],[LBy]],Table_03[[#This Row],[Mny (k-in)]])</f>
        <v>664</v>
      </c>
      <c r="AW225" s="215">
        <f>Table_03[[#This Row],[Mny (k-in)]]</f>
        <v>664</v>
      </c>
      <c r="AX225" s="165">
        <f>SQRT(((Table_03[[#This Row],[Sectional Area (in2)]]-(Table_03[[#This Row],[Flange Thickness tf (in)]]*Table_03[[#This Row],[Width w (in)]]*2+Table_03[[#This Row],[Web Thickness tw (in)]]*((Table_03[[#This Row],[Depth h (in)]]-2*Table_03[[#This Row],[Flange Thickness tf (in)]]))))/4)/(1-PI()/4))</f>
        <v>0.47887371177356824</v>
      </c>
      <c r="AY225" s="165">
        <f>IF(4/SQRT((Table_03[[#This Row],[Depth h (in)]]-Table_03[[#This Row],[Flange Thickness tf (in)]]*2)/Table_03[[#This Row],[Web Thickness tw (in)]])&lt;0.35,0.35,IF(4/SQRT(Table_03[[#This Row],[Depth h (in)]]/Table_03[[#This Row],[Web Thickness tw (in)]])&gt;0.76,0.76,4/SQRT(Table_03[[#This Row],[Depth h (in)]]/Table_03[[#This Row],[Web Thickness tw (in)]])))</f>
        <v>0.51749068607028237</v>
      </c>
      <c r="AZ225" s="165"/>
    </row>
    <row r="226" spans="1:52" x14ac:dyDescent="0.3">
      <c r="A226" s="179" t="s">
        <v>318</v>
      </c>
      <c r="B226" s="180">
        <v>23.7</v>
      </c>
      <c r="C226" s="180">
        <v>8.9700000000000006</v>
      </c>
      <c r="D226" s="180">
        <v>0.41499999999999998</v>
      </c>
      <c r="E226" s="180">
        <v>0.58499999999999996</v>
      </c>
      <c r="F226" s="181">
        <v>20.100000000000001</v>
      </c>
      <c r="G226" s="180">
        <v>68</v>
      </c>
      <c r="H226" s="180">
        <v>1830</v>
      </c>
      <c r="I226" s="180">
        <v>70.400000000000006</v>
      </c>
      <c r="J226" s="181">
        <f>Table_03[[#This Row],[Width w (in)]]*Table_03[[#This Row],[Flange Thickness tf (in)]]*(Table_03[[#This Row],[Depth h (in)]]-Table_03[[#This Row],[Flange Thickness tf (in)]])+0.25*Table_03[[#This Row],[Web Thickness tw (in)]]*(Table_03[[#This Row],[Depth h (in)]]-2*Table_03[[#This Row],[Flange Thickness tf (in)]])^2</f>
        <v>173.958400125</v>
      </c>
      <c r="K226" s="181">
        <f>(Table_03[[#This Row],[Width w (in)]]^2*Table_03[[#This Row],[Flange Thickness tf (in)]])/2+0.25*Table_03[[#This Row],[Web Thickness tw (in)]]^2*(Table_03[[#This Row],[Depth h (in)]]-2*Table_03[[#This Row],[Flange Thickness tf (in)]])</f>
        <v>24.504870562500003</v>
      </c>
      <c r="L226" s="181">
        <v>154</v>
      </c>
      <c r="M226" s="181">
        <v>15.7</v>
      </c>
      <c r="N226" s="182">
        <v>50</v>
      </c>
      <c r="O226" s="181">
        <f>SQRT(Table_03[[#This Row],[Static Parameters Moment of Inertia Ix (in4)]]/Table_03[[#This Row],[Sectional Area (in2)]])</f>
        <v>9.5417386318952886</v>
      </c>
      <c r="P226" s="181">
        <f>SQRT(Table_03[[#This Row],[Static Parameters Moment of Inertia Iy (in4)]]/Table_03[[#This Row],[Sectional Area (in2)]])</f>
        <v>1.871493404260099</v>
      </c>
      <c r="Q226" s="181">
        <f>($B$6*$B$5*12)/Table_03[[#This Row],[ry (in)2]]</f>
        <v>95.939424414367991</v>
      </c>
      <c r="R226" s="181">
        <f>(PI()^2*$B$4)/(Table_03[[#This Row],[KL/ry]]^2)</f>
        <v>31.095928288734857</v>
      </c>
      <c r="S226" s="181">
        <f>IF(Table_03[[#This Row],[Strength (ksi)]]/Table_03[[#This Row],[Fe,y]]&lt;2.25,(0.658^(Table_03[[#This Row],[Strength (ksi)]]/Table_03[[#This Row],[Fe,y]])*Table_03[[#This Row],[Strength (ksi)]]),0.877*Table_03[[#This Row],[Fe,y]])</f>
        <v>25.508822367349392</v>
      </c>
      <c r="T226" s="181">
        <f>Table_03[[#This Row],[Fcr,y]]*Table_03[[#This Row],[Sectional Area (in2)]]</f>
        <v>512.72732958372285</v>
      </c>
      <c r="U226" s="181">
        <f>1.76*Table_03[[#This Row],[ry (in)2]]*SQRT($B$4/Table_03[[#This Row],[Strength (ksi)]])/12</f>
        <v>6.6104910170886244</v>
      </c>
      <c r="V226"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18.729983662463763</v>
      </c>
      <c r="W226" s="181">
        <f>Table_03[[#This Row],[Depth h (in)]]-Table_03[[#This Row],[Flange Thickness tf (in)]]</f>
        <v>23.114999999999998</v>
      </c>
      <c r="X226" s="181">
        <f>(Table_03[[#This Row],[Static Parameters Moment of Inertia Iy (in4)]]*Table_03[[#This Row],[ho]]^2)/4</f>
        <v>9403.736759999998</v>
      </c>
      <c r="Y226" s="181">
        <f>SQRT((SQRT(Table_03[[#This Row],[Static Parameters Moment of Inertia Iy (in4)]]*Table_03[[#This Row],[Cw*]])/Table_03[[#This Row],[Static Parameters Elastic Section Modulus Sx (in3)2]]))</f>
        <v>2.2985709846399285</v>
      </c>
      <c r="Z226" s="181">
        <f>(2*Table_03[[#This Row],[Width w (in)]]*Table_03[[#This Row],[Flange Thickness tf (in)]]^3/3)+((Table_03[[#This Row],[Depth h (in)]]-Table_03[[#This Row],[Flange Thickness tf (in)]]*2)*Table_03[[#This Row],[Web Thickness tw (in)]]^3)/3</f>
        <v>1.7339707637499999</v>
      </c>
      <c r="AA226" s="181">
        <f>Table_03[[#This Row],[Width w (in)]]*0.5/Table_03[[#This Row],[Flange Thickness tf (in)]]</f>
        <v>7.6666666666666679</v>
      </c>
      <c r="AB226" s="181">
        <f>0.38*SQRT($B$4/Table_03[[#This Row],[Strength (ksi)]])</f>
        <v>9.1516118798821449</v>
      </c>
      <c r="AC226" s="181">
        <f>1*SQRT($B$4/Table_03[[#This Row],[Strength (ksi)]])</f>
        <v>24.083189157584592</v>
      </c>
      <c r="AD226" s="181">
        <f>(PI()^2*$B$4/(12*$B$5/Table_03[[#This Row],[rts]])^2)*SQRT(1+0.078*(Table_03[[#This Row],[J*]]/(Table_03[[#This Row],[Static Parameters Elastic Section Modulus Sx (in3)2]]*Table_03[[#This Row],[ho]])*$B$4/(12*$B$5/Table_03[[#This Row],[rts]])^2))</f>
        <v>206.94465334816579</v>
      </c>
      <c r="AE226" s="181">
        <f>0.69*$B$4/Table_03[[#This Row],[b/t]]^2</f>
        <v>340.43478260869557</v>
      </c>
      <c r="AF226" s="183">
        <f>Table_03[[#This Row],[Strength (ksi)]]*Table_03[[#This Row],[Static Parameters Plastic Section Modulus Zx (in3)]]</f>
        <v>8697.9200062500004</v>
      </c>
      <c r="AG226" s="181">
        <f>Table_03[[#This Row],[Mp (k-in)]]-(Table_03[[#This Row],[Mp (k-in)]]-0.7*Table_03[[#This Row],[Strength (ksi)]]*Table_03[[#This Row],[Static Parameters Elastic Section Modulus Sx (in3)2]])*((Table_03[[#This Row],[b/t]]-Table_03[[#This Row],[λpf]])/(Table_03[[#This Row],[λrf]]-Table_03[[#This Row],[λpf]]))</f>
        <v>9026.8926182938685</v>
      </c>
      <c r="AH226" s="184">
        <f>0.9*$B$4*Table_03[[#This Row],[kc]]*Table_03[[#This Row],[Static Parameters Elastic Section Modulus Sx (in3)2]]/Table_03[[#This Row],[b/t]]^2</f>
        <v>36195.779364513604</v>
      </c>
      <c r="AI226" s="185" t="str">
        <f>IF(Table_03[[#This Row],[b/t]]&lt;Table_03[[#This Row],[λpf]],"Compact",IF(AND(Table_03[[#This Row],[b/t]]&gt;Table_03[[#This Row],[λpf]],Table_03[[#This Row],[λrf]]&gt;Table_03[[#This Row],[b/t]]),"Non-Compact","Slender"))</f>
        <v>Compact</v>
      </c>
      <c r="AJ226" s="186">
        <f>IF(Table_03[[#This Row],[Controlling LBx]]="Compact",Table_03[[#This Row],[Mp (k-in)]],IF(Table_03[[#This Row],[Controlling LBx]]="Non-Compact",Table_03[[#This Row],[Mnlb,Non-Compact (k-in)]],IF(Table_03[[#This Row],[Controlling LBx]]="Slender",Table_03[[#This Row],[Mnlb,slender (k-in)]],"ERROR")))</f>
        <v>8697.9200062500004</v>
      </c>
      <c r="AK226" s="183">
        <f>Table_03[[#This Row],[Mp (k-in)]]-(Table_03[[#This Row],[Mp (k-in)]]-0.7*Table_03[[#This Row],[Strength (ksi)]]*Table_03[[#This Row],[Static Parameters Elastic Section Modulus Sx (in3)2]])*(($B$5-Table_03[[#This Row],[Lp (ft)]])/(Table_03[[#This Row],[Lr]]-Table_03[[#This Row],[Lp (ft)]]))</f>
        <v>8557.4888341070509</v>
      </c>
      <c r="AL226" s="184">
        <f>Table_03[[#This Row],[Fcrx]]*Table_03[[#This Row],[Static Parameters Elastic Section Modulus Sx (in3)2]]</f>
        <v>31869.476615617532</v>
      </c>
      <c r="AM226" s="185" t="str">
        <f>IF($B$5&lt;Table_03[[#This Row],[Lp (ft)]],"Yielding Controls",IF(AND($B$5&gt;Table_03[[#This Row],[Lp (ft)]],Table_03[[#This Row],[Lr]]&gt;$B$5),"Mltb,p Controls","Mltb,r Controls"))</f>
        <v>Mltb,p Controls</v>
      </c>
      <c r="AN226" s="186">
        <f>IF(Table_03[[#This Row],[Controlling LTB]]="Yielding Controls",Table_03[[#This Row],[Mp (k-in)]],IF(Table_03[[#This Row],[Controlling LTB]]="Mltb,p Controls",Table_03[[#This Row],[Mnltbp (k-in)]],IF(Table_03[[#This Row],[Controlling LTB]]="Mltb,r Controls",Table_03[[#This Row],[Mnltbr (k-in)]],"ERROR")))</f>
        <v>8557.4888341070509</v>
      </c>
      <c r="AO226" s="183">
        <f>MIN(Table_03[[#This Row],[Strength (ksi)]]*Table_03[[#This Row],[Static Parameters Plastic Section Modulus Zy (in3)]],1.6*Table_03[[#This Row],[Strength (ksi)]]*Table_03[[#This Row],[Static Parameters Elastic Section Modulus Sy (in3)3]])</f>
        <v>1225.243528125</v>
      </c>
      <c r="AP226" s="181">
        <f>MIN(Table_03[[#This Row],[Mny (k-in)]],Table_03[[#This Row],[Mny (k-in)]]-(Table_03[[#This Row],[Mny (k-in)]]-0.7*Table_03[[#This Row],[Static Parameters Elastic Section Modulus Sy (in3)3]]*Table_03[[#This Row],[Strength (ksi)]])*((Table_03[[#This Row],[b/t]]-Table_03[[#This Row],[λpf]])/(Table_03[[#This Row],[λrf]]-Table_03[[#This Row],[λpf]])))</f>
        <v>1225.243528125</v>
      </c>
      <c r="AQ226" s="184">
        <f>MIN(Table_03[[#This Row],[Mny (k-in)]],Table_03[[#This Row],[Fcry]]*Table_03[[#This Row],[Static Parameters Elastic Section Modulus Sy (in3)3]])</f>
        <v>1225.243528125</v>
      </c>
      <c r="AR226" s="185" t="str">
        <f>IF(Table_03[[#This Row],[b/t]]&lt;Table_03[[#This Row],[λpf]],"Compact",IF(AND(Table_03[[#This Row],[b/t]]&gt;Table_03[[#This Row],[λpf]],Table_03[[#This Row],[λrf]]&gt;Table_03[[#This Row],[b/t]]),"Non-Compact","Slender"))</f>
        <v>Compact</v>
      </c>
      <c r="AS226" s="186">
        <f>IF(Table_03[[#This Row],[Controlling Lby]]="Compact",Table_03[[#This Row],[Mny (k-in)]],IF(Table_03[[#This Row],[Controlling Lby]]="Non-Compact",Table_03[[#This Row],[Mlby,Non-Compact (k-in)]],IF(Table_03[[#This Row],[Controlling Lby]]="Slender",Table_03[[#This Row],[Mlby,Slender (k-in)]],"ERROR")))</f>
        <v>1225.243528125</v>
      </c>
      <c r="AT226" s="183">
        <f>MIN(Table_03[[#This Row],[LBx]],Table_03[[#This Row],[LTB]],Table_03[[#This Row],[Mp (k-in)]])</f>
        <v>8557.4888341070509</v>
      </c>
      <c r="AU226" s="181">
        <f>Table_03[[#This Row],[Mp (k-in)]]</f>
        <v>8697.9200062500004</v>
      </c>
      <c r="AV226" s="181">
        <f>MIN(Table_03[[#This Row],[LBy]],Table_03[[#This Row],[Mny (k-in)]])</f>
        <v>1225.243528125</v>
      </c>
      <c r="AW226" s="187">
        <f>Table_03[[#This Row],[Mny (k-in)]]</f>
        <v>1225.243528125</v>
      </c>
      <c r="AX226" s="165">
        <f>SQRT(((Table_03[[#This Row],[Sectional Area (in2)]]-(Table_03[[#This Row],[Flange Thickness tf (in)]]*Table_03[[#This Row],[Width w (in)]]*2+Table_03[[#This Row],[Web Thickness tw (in)]]*((Table_03[[#This Row],[Depth h (in)]]-2*Table_03[[#This Row],[Flange Thickness tf (in)]]))))/4)/(1-PI()/4))</f>
        <v>0.54519400727354617</v>
      </c>
      <c r="AY226" s="165">
        <f>IF(4/SQRT((Table_03[[#This Row],[Depth h (in)]]-Table_03[[#This Row],[Flange Thickness tf (in)]]*2)/Table_03[[#This Row],[Web Thickness tw (in)]])&lt;0.35,0.35,IF(4/SQRT(Table_03[[#This Row],[Depth h (in)]]/Table_03[[#This Row],[Web Thickness tw (in)]])&gt;0.76,0.76,4/SQRT(Table_03[[#This Row],[Depth h (in)]]/Table_03[[#This Row],[Web Thickness tw (in)]])))</f>
        <v>0.52930971686840211</v>
      </c>
      <c r="AZ226" s="165"/>
    </row>
    <row r="227" spans="1:52" x14ac:dyDescent="0.3">
      <c r="A227" s="188" t="s">
        <v>319</v>
      </c>
      <c r="B227" s="189">
        <v>23.7</v>
      </c>
      <c r="C227" s="189">
        <v>7.04</v>
      </c>
      <c r="D227" s="189">
        <v>0.43</v>
      </c>
      <c r="E227" s="189">
        <v>0.59</v>
      </c>
      <c r="F227" s="190">
        <v>18.2</v>
      </c>
      <c r="G227" s="189">
        <v>62</v>
      </c>
      <c r="H227" s="190">
        <v>1550</v>
      </c>
      <c r="I227" s="190">
        <v>34.5</v>
      </c>
      <c r="J227" s="190">
        <f>Table_03[[#This Row],[Width w (in)]]*Table_03[[#This Row],[Flange Thickness tf (in)]]*(Table_03[[#This Row],[Depth h (in)]]-Table_03[[#This Row],[Flange Thickness tf (in)]])+0.25*Table_03[[#This Row],[Web Thickness tw (in)]]*(Table_03[[#This Row],[Depth h (in)]]-2*Table_03[[#This Row],[Flange Thickness tf (in)]])^2</f>
        <v>150.508364</v>
      </c>
      <c r="K227" s="190">
        <f>(Table_03[[#This Row],[Width w (in)]]^2*Table_03[[#This Row],[Flange Thickness tf (in)]])/2+0.25*Table_03[[#This Row],[Web Thickness tw (in)]]^2*(Table_03[[#This Row],[Depth h (in)]]-2*Table_03[[#This Row],[Flange Thickness tf (in)]])</f>
        <v>15.661658999999998</v>
      </c>
      <c r="L227" s="190">
        <v>131</v>
      </c>
      <c r="M227" s="190">
        <v>9.8000000000000007</v>
      </c>
      <c r="N227" s="191">
        <v>50</v>
      </c>
      <c r="O227" s="169">
        <f>SQRT(Table_03[[#This Row],[Static Parameters Moment of Inertia Ix (in4)]]/Table_03[[#This Row],[Sectional Area (in2)]])</f>
        <v>9.2284795695084672</v>
      </c>
      <c r="P227" s="190">
        <f>SQRT(Table_03[[#This Row],[Static Parameters Moment of Inertia Iy (in4)]]/Table_03[[#This Row],[Sectional Area (in2)]])</f>
        <v>1.376809498661451</v>
      </c>
      <c r="Q227" s="190">
        <f>($B$6*$B$5*12)/Table_03[[#This Row],[ry (in)2]]</f>
        <v>130.41019848756162</v>
      </c>
      <c r="R227" s="190">
        <f>(PI()^2*$B$4)/(Table_03[[#This Row],[KL/ry]]^2)</f>
        <v>16.82963245490696</v>
      </c>
      <c r="S227" s="190">
        <f>IF(Table_03[[#This Row],[Strength (ksi)]]/Table_03[[#This Row],[Fe,y]]&lt;2.25,(0.658^(Table_03[[#This Row],[Strength (ksi)]]/Table_03[[#This Row],[Fe,y]])*Table_03[[#This Row],[Strength (ksi)]]),0.877*Table_03[[#This Row],[Fe,y]])</f>
        <v>14.759587662953404</v>
      </c>
      <c r="T227" s="190">
        <f>Table_03[[#This Row],[Fcr,y]]*Table_03[[#This Row],[Sectional Area (in2)]]</f>
        <v>268.62449546575192</v>
      </c>
      <c r="U227" s="190">
        <f>1.76*Table_03[[#This Row],[ry (in)2]]*SQRT($B$4/Table_03[[#This Row],[Strength (ksi)]])/12</f>
        <v>4.8631679932326977</v>
      </c>
      <c r="V22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14.278445801785786</v>
      </c>
      <c r="W227" s="190">
        <f>Table_03[[#This Row],[Depth h (in)]]-Table_03[[#This Row],[Flange Thickness tf (in)]]</f>
        <v>23.11</v>
      </c>
      <c r="X227" s="190">
        <f>(Table_03[[#This Row],[Static Parameters Moment of Inertia Iy (in4)]]*Table_03[[#This Row],[ho]]^2)/4</f>
        <v>4606.3718625000001</v>
      </c>
      <c r="Y227" s="190">
        <f>SQRT((SQRT(Table_03[[#This Row],[Static Parameters Moment of Inertia Iy (in4)]]*Table_03[[#This Row],[Cw*]])/Table_03[[#This Row],[Static Parameters Elastic Section Modulus Sx (in3)2]]))</f>
        <v>1.7444514000174671</v>
      </c>
      <c r="Z227" s="190">
        <f>(2*Table_03[[#This Row],[Width w (in)]]*Table_03[[#This Row],[Flange Thickness tf (in)]]^3/3)+((Table_03[[#This Row],[Depth h (in)]]-Table_03[[#This Row],[Flange Thickness tf (in)]]*2)*Table_03[[#This Row],[Web Thickness tw (in)]]^3)/3</f>
        <v>1.5607446533333333</v>
      </c>
      <c r="AA227" s="190">
        <f>Table_03[[#This Row],[Width w (in)]]*0.5/Table_03[[#This Row],[Flange Thickness tf (in)]]</f>
        <v>5.9661016949152543</v>
      </c>
      <c r="AB227" s="190">
        <f>0.38*SQRT($B$4/Table_03[[#This Row],[Strength (ksi)]])</f>
        <v>9.1516118798821449</v>
      </c>
      <c r="AC227" s="190">
        <f>1*SQRT($B$4/Table_03[[#This Row],[Strength (ksi)]])</f>
        <v>24.083189157584592</v>
      </c>
      <c r="AD227" s="190">
        <f>(PI()^2*$B$4/(12*$B$5/Table_03[[#This Row],[rts]])^2)*SQRT(1+0.078*(Table_03[[#This Row],[J*]]/(Table_03[[#This Row],[Static Parameters Elastic Section Modulus Sx (in3)2]]*Table_03[[#This Row],[ho]])*$B$4/(12*$B$5/Table_03[[#This Row],[rts]])^2))</f>
        <v>119.17595759091745</v>
      </c>
      <c r="AE227" s="190">
        <f>0.69*$B$4/Table_03[[#This Row],[b/t]]^2</f>
        <v>562.16756521177683</v>
      </c>
      <c r="AF227" s="192">
        <f>Table_03[[#This Row],[Strength (ksi)]]*Table_03[[#This Row],[Static Parameters Plastic Section Modulus Zx (in3)]]</f>
        <v>7525.4182000000001</v>
      </c>
      <c r="AG227" s="190">
        <f>Table_03[[#This Row],[Mp (k-in)]]-(Table_03[[#This Row],[Mp (k-in)]]-0.7*Table_03[[#This Row],[Strength (ksi)]]*Table_03[[#This Row],[Static Parameters Elastic Section Modulus Sx (in3)2]])*((Table_03[[#This Row],[b/t]]-Table_03[[#This Row],[λpf]])/(Table_03[[#This Row],[λrf]]-Table_03[[#This Row],[λpf]]))</f>
        <v>8152.7284934778027</v>
      </c>
      <c r="AH227" s="193">
        <f>0.9*$B$4*Table_03[[#This Row],[kc]]*Table_03[[#This Row],[Static Parameters Elastic Section Modulus Sx (in3)2]]/Table_03[[#This Row],[b/t]]^2</f>
        <v>51754.789368520338</v>
      </c>
      <c r="AI227" s="194" t="str">
        <f>IF(Table_03[[#This Row],[b/t]]&lt;Table_03[[#This Row],[λpf]],"Compact",IF(AND(Table_03[[#This Row],[b/t]]&gt;Table_03[[#This Row],[λpf]],Table_03[[#This Row],[λrf]]&gt;Table_03[[#This Row],[b/t]]),"Non-Compact","Slender"))</f>
        <v>Compact</v>
      </c>
      <c r="AJ227" s="195">
        <f>IF(Table_03[[#This Row],[Controlling LBx]]="Compact",Table_03[[#This Row],[Mp (k-in)]],IF(Table_03[[#This Row],[Controlling LBx]]="Non-Compact",Table_03[[#This Row],[Mnlb,Non-Compact (k-in)]],IF(Table_03[[#This Row],[Controlling LBx]]="Slender",Table_03[[#This Row],[Mnlb,slender (k-in)]],"ERROR")))</f>
        <v>7525.4182000000001</v>
      </c>
      <c r="AK227" s="192">
        <f>Table_03[[#This Row],[Mp (k-in)]]-(Table_03[[#This Row],[Mp (k-in)]]-0.7*Table_03[[#This Row],[Strength (ksi)]]*Table_03[[#This Row],[Static Parameters Elastic Section Modulus Sx (in3)2]])*(($B$5-Table_03[[#This Row],[Lp (ft)]])/(Table_03[[#This Row],[Lr]]-Table_03[[#This Row],[Lp (ft)]]))</f>
        <v>6819.0415923974715</v>
      </c>
      <c r="AL227" s="196">
        <f>Table_03[[#This Row],[Fcrx]]*Table_03[[#This Row],[Static Parameters Elastic Section Modulus Sx (in3)2]]</f>
        <v>15612.050444410186</v>
      </c>
      <c r="AM227" s="197" t="str">
        <f>IF($B$5&lt;Table_03[[#This Row],[Lp (ft)]],"Yielding Controls",IF(AND($B$5&gt;Table_03[[#This Row],[Lp (ft)]],Table_03[[#This Row],[Lr]]&gt;$B$5),"Mltb,p Controls","Mltb,r Controls"))</f>
        <v>Mltb,p Controls</v>
      </c>
      <c r="AN227" s="198">
        <f>IF(Table_03[[#This Row],[Controlling LTB]]="Yielding Controls",Table_03[[#This Row],[Mp (k-in)]],IF(Table_03[[#This Row],[Controlling LTB]]="Mltb,p Controls",Table_03[[#This Row],[Mnltbp (k-in)]],IF(Table_03[[#This Row],[Controlling LTB]]="Mltb,r Controls",Table_03[[#This Row],[Mnltbr (k-in)]],"ERROR")))</f>
        <v>6819.0415923974715</v>
      </c>
      <c r="AO227" s="199">
        <f>MIN(Table_03[[#This Row],[Strength (ksi)]]*Table_03[[#This Row],[Static Parameters Plastic Section Modulus Zy (in3)]],1.6*Table_03[[#This Row],[Strength (ksi)]]*Table_03[[#This Row],[Static Parameters Elastic Section Modulus Sy (in3)3]])</f>
        <v>783.08294999999987</v>
      </c>
      <c r="AP227" s="169">
        <f>MIN(Table_03[[#This Row],[Mny (k-in)]],Table_03[[#This Row],[Mny (k-in)]]-(Table_03[[#This Row],[Mny (k-in)]]-0.7*Table_03[[#This Row],[Static Parameters Elastic Section Modulus Sy (in3)3]]*Table_03[[#This Row],[Strength (ksi)]])*((Table_03[[#This Row],[b/t]]-Table_03[[#This Row],[λpf]])/(Table_03[[#This Row],[λrf]]-Table_03[[#This Row],[λpf]])))</f>
        <v>783.08294999999987</v>
      </c>
      <c r="AQ227" s="196">
        <f>MIN(Table_03[[#This Row],[Mny (k-in)]],Table_03[[#This Row],[Fcry]]*Table_03[[#This Row],[Static Parameters Elastic Section Modulus Sy (in3)3]])</f>
        <v>783.08294999999987</v>
      </c>
      <c r="AR227" s="197" t="str">
        <f>IF(Table_03[[#This Row],[b/t]]&lt;Table_03[[#This Row],[λpf]],"Compact",IF(AND(Table_03[[#This Row],[b/t]]&gt;Table_03[[#This Row],[λpf]],Table_03[[#This Row],[λrf]]&gt;Table_03[[#This Row],[b/t]]),"Non-Compact","Slender"))</f>
        <v>Compact</v>
      </c>
      <c r="AS227" s="198">
        <f>IF(Table_03[[#This Row],[Controlling Lby]]="Compact",Table_03[[#This Row],[Mny (k-in)]],IF(Table_03[[#This Row],[Controlling Lby]]="Non-Compact",Table_03[[#This Row],[Mlby,Non-Compact (k-in)]],IF(Table_03[[#This Row],[Controlling Lby]]="Slender",Table_03[[#This Row],[Mlby,Slender (k-in)]],"ERROR")))</f>
        <v>783.08294999999987</v>
      </c>
      <c r="AT227" s="199">
        <f>MIN(Table_03[[#This Row],[LBx]],Table_03[[#This Row],[LTB]],Table_03[[#This Row],[Mp (k-in)]])</f>
        <v>6819.0415923974715</v>
      </c>
      <c r="AU227" s="169">
        <f>Table_03[[#This Row],[Mp (k-in)]]</f>
        <v>7525.4182000000001</v>
      </c>
      <c r="AV227" s="169">
        <f>MIN(Table_03[[#This Row],[LBy]],Table_03[[#This Row],[Mny (k-in)]])</f>
        <v>783.08294999999987</v>
      </c>
      <c r="AW227" s="200">
        <f>Table_03[[#This Row],[Mny (k-in)]]</f>
        <v>783.08294999999987</v>
      </c>
      <c r="AX227" s="165">
        <f>SQRT(((Table_03[[#This Row],[Sectional Area (in2)]]-(Table_03[[#This Row],[Flange Thickness tf (in)]]*Table_03[[#This Row],[Width w (in)]]*2+Table_03[[#This Row],[Web Thickness tw (in)]]*((Table_03[[#This Row],[Depth h (in)]]-2*Table_03[[#This Row],[Flange Thickness tf (in)]]))))/4)/(1-PI()/4))</f>
        <v>0.49366703430431935</v>
      </c>
      <c r="AY227" s="165">
        <f>IF(4/SQRT((Table_03[[#This Row],[Depth h (in)]]-Table_03[[#This Row],[Flange Thickness tf (in)]]*2)/Table_03[[#This Row],[Web Thickness tw (in)]])&lt;0.35,0.35,IF(4/SQRT(Table_03[[#This Row],[Depth h (in)]]/Table_03[[#This Row],[Web Thickness tw (in)]])&gt;0.76,0.76,4/SQRT(Table_03[[#This Row],[Depth h (in)]]/Table_03[[#This Row],[Web Thickness tw (in)]])))</f>
        <v>0.53879064454553127</v>
      </c>
      <c r="AZ227" s="165"/>
    </row>
    <row r="228" spans="1:52" ht="14.4" thickBot="1" x14ac:dyDescent="0.35">
      <c r="A228" s="201" t="s">
        <v>320</v>
      </c>
      <c r="B228" s="202">
        <v>23.9</v>
      </c>
      <c r="C228" s="202">
        <v>9</v>
      </c>
      <c r="D228" s="202">
        <v>0.44</v>
      </c>
      <c r="E228" s="202">
        <v>0.68</v>
      </c>
      <c r="F228" s="203">
        <v>22.4</v>
      </c>
      <c r="G228" s="204">
        <v>76</v>
      </c>
      <c r="H228" s="203">
        <v>2100</v>
      </c>
      <c r="I228" s="203">
        <v>82.5</v>
      </c>
      <c r="J228" s="203">
        <f>Table_03[[#This Row],[Width w (in)]]*Table_03[[#This Row],[Flange Thickness tf (in)]]*(Table_03[[#This Row],[Depth h (in)]]-Table_03[[#This Row],[Flange Thickness tf (in)]])+0.25*Table_03[[#This Row],[Web Thickness tw (in)]]*(Table_03[[#This Row],[Depth h (in)]]-2*Table_03[[#This Row],[Flange Thickness tf (in)]])^2</f>
        <v>197.992076</v>
      </c>
      <c r="K228" s="203">
        <f>(Table_03[[#This Row],[Width w (in)]]^2*Table_03[[#This Row],[Flange Thickness tf (in)]])/2+0.25*Table_03[[#This Row],[Web Thickness tw (in)]]^2*(Table_03[[#This Row],[Depth h (in)]]-2*Table_03[[#This Row],[Flange Thickness tf (in)]])</f>
        <v>28.630936000000002</v>
      </c>
      <c r="L228" s="203">
        <v>176</v>
      </c>
      <c r="M228" s="203">
        <v>18.399999999999999</v>
      </c>
      <c r="N228" s="205">
        <v>50</v>
      </c>
      <c r="O228" s="206">
        <f>SQRT(Table_03[[#This Row],[Static Parameters Moment of Inertia Ix (in4)]]/Table_03[[#This Row],[Sectional Area (in2)]])</f>
        <v>9.6824583655185421</v>
      </c>
      <c r="P228" s="203">
        <f>SQRT(Table_03[[#This Row],[Static Parameters Moment of Inertia Iy (in4)]]/Table_03[[#This Row],[Sectional Area (in2)]])</f>
        <v>1.9191236839468462</v>
      </c>
      <c r="Q228" s="203">
        <f>($B$6*$B$5*12)/Table_03[[#This Row],[ry (in)2]]</f>
        <v>93.558326387145456</v>
      </c>
      <c r="R228" s="203">
        <f>(PI()^2*$B$4)/(Table_03[[#This Row],[KL/ry]]^2)</f>
        <v>32.698878275158904</v>
      </c>
      <c r="S228" s="203">
        <f>IF(Table_03[[#This Row],[Strength (ksi)]]/Table_03[[#This Row],[Fe,y]]&lt;2.25,(0.658^(Table_03[[#This Row],[Strength (ksi)]]/Table_03[[#This Row],[Fe,y]])*Table_03[[#This Row],[Strength (ksi)]]),0.877*Table_03[[#This Row],[Fe,y]])</f>
        <v>26.364431494622242</v>
      </c>
      <c r="T228" s="203">
        <f>Table_03[[#This Row],[Fcr,y]]*Table_03[[#This Row],[Sectional Area (in2)]]</f>
        <v>590.56326547953813</v>
      </c>
      <c r="U228" s="203">
        <f>1.76*Table_03[[#This Row],[ry (in)2]]*SQRT($B$4/Table_03[[#This Row],[Strength (ksi)]])/12</f>
        <v>6.7787307422695653</v>
      </c>
      <c r="V22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19.404522260380748</v>
      </c>
      <c r="W228" s="203">
        <f>Table_03[[#This Row],[Depth h (in)]]-Table_03[[#This Row],[Flange Thickness tf (in)]]</f>
        <v>23.22</v>
      </c>
      <c r="X228" s="203">
        <f>(Table_03[[#This Row],[Static Parameters Moment of Inertia Iy (in4)]]*Table_03[[#This Row],[ho]]^2)/4</f>
        <v>11120.348249999997</v>
      </c>
      <c r="Y228" s="203">
        <f>SQRT((SQRT(Table_03[[#This Row],[Static Parameters Moment of Inertia Iy (in4)]]*Table_03[[#This Row],[Cw*]])/Table_03[[#This Row],[Static Parameters Elastic Section Modulus Sx (in3)2]]))</f>
        <v>2.3328496522493682</v>
      </c>
      <c r="Z228" s="203">
        <f>(2*Table_03[[#This Row],[Width w (in)]]*Table_03[[#This Row],[Flange Thickness tf (in)]]^3/3)+((Table_03[[#This Row],[Depth h (in)]]-Table_03[[#This Row],[Flange Thickness tf (in)]]*2)*Table_03[[#This Row],[Web Thickness tw (in)]]^3)/3</f>
        <v>2.5266077866666672</v>
      </c>
      <c r="AA228" s="203">
        <f>Table_03[[#This Row],[Width w (in)]]*0.5/Table_03[[#This Row],[Flange Thickness tf (in)]]</f>
        <v>6.617647058823529</v>
      </c>
      <c r="AB228" s="203">
        <f>0.38*SQRT($B$4/Table_03[[#This Row],[Strength (ksi)]])</f>
        <v>9.1516118798821449</v>
      </c>
      <c r="AC228" s="203">
        <f>1*SQRT($B$4/Table_03[[#This Row],[Strength (ksi)]])</f>
        <v>24.083189157584592</v>
      </c>
      <c r="AD228" s="203">
        <f>(PI()^2*$B$4/(12*$B$5/Table_03[[#This Row],[rts]])^2)*SQRT(1+0.078*(Table_03[[#This Row],[J*]]/(Table_03[[#This Row],[Static Parameters Elastic Section Modulus Sx (in3)2]]*Table_03[[#This Row],[ho]])*$B$4/(12*$B$5/Table_03[[#This Row],[rts]])^2))</f>
        <v>213.18908762731888</v>
      </c>
      <c r="AE228" s="203">
        <f>0.69*$B$4/Table_03[[#This Row],[b/t]]^2</f>
        <v>456.9197037037037</v>
      </c>
      <c r="AF228" s="207">
        <f>Table_03[[#This Row],[Strength (ksi)]]*Table_03[[#This Row],[Static Parameters Plastic Section Modulus Zx (in3)]]</f>
        <v>9899.6038000000008</v>
      </c>
      <c r="AG228" s="203">
        <f>Table_03[[#This Row],[Mp (k-in)]]-(Table_03[[#This Row],[Mp (k-in)]]-0.7*Table_03[[#This Row],[Strength (ksi)]]*Table_03[[#This Row],[Static Parameters Elastic Section Modulus Sx (in3)2]])*((Table_03[[#This Row],[b/t]]-Table_03[[#This Row],[λpf]])/(Table_03[[#This Row],[λrf]]-Table_03[[#This Row],[λpf]]))</f>
        <v>10534.23363833917</v>
      </c>
      <c r="AH228" s="208">
        <f>0.9*$B$4*Table_03[[#This Row],[kc]]*Table_03[[#This Row],[Static Parameters Elastic Section Modulus Sx (in3)2]]/Table_03[[#This Row],[b/t]]^2</f>
        <v>56928.973381659038</v>
      </c>
      <c r="AI228" s="209" t="str">
        <f>IF(Table_03[[#This Row],[b/t]]&lt;Table_03[[#This Row],[λpf]],"Compact",IF(AND(Table_03[[#This Row],[b/t]]&gt;Table_03[[#This Row],[λpf]],Table_03[[#This Row],[λrf]]&gt;Table_03[[#This Row],[b/t]]),"Non-Compact","Slender"))</f>
        <v>Compact</v>
      </c>
      <c r="AJ228" s="210">
        <f>IF(Table_03[[#This Row],[Controlling LBx]]="Compact",Table_03[[#This Row],[Mp (k-in)]],IF(Table_03[[#This Row],[Controlling LBx]]="Non-Compact",Table_03[[#This Row],[Mnlb,Non-Compact (k-in)]],IF(Table_03[[#This Row],[Controlling LBx]]="Slender",Table_03[[#This Row],[Mnlb,slender (k-in)]],"ERROR")))</f>
        <v>9899.6038000000008</v>
      </c>
      <c r="AK228" s="207">
        <f>Table_03[[#This Row],[Mp (k-in)]]-(Table_03[[#This Row],[Mp (k-in)]]-0.7*Table_03[[#This Row],[Strength (ksi)]]*Table_03[[#This Row],[Static Parameters Elastic Section Modulus Sx (in3)2]])*(($B$5-Table_03[[#This Row],[Lp (ft)]])/(Table_03[[#This Row],[Lr]]-Table_03[[#This Row],[Lp (ft)]]))</f>
        <v>9797.0431145828206</v>
      </c>
      <c r="AL228" s="211">
        <f>Table_03[[#This Row],[Fcrx]]*Table_03[[#This Row],[Static Parameters Elastic Section Modulus Sx (in3)2]]</f>
        <v>37521.279422408123</v>
      </c>
      <c r="AM228" s="212" t="str">
        <f>IF($B$5&lt;Table_03[[#This Row],[Lp (ft)]],"Yielding Controls",IF(AND($B$5&gt;Table_03[[#This Row],[Lp (ft)]],Table_03[[#This Row],[Lr]]&gt;$B$5),"Mltb,p Controls","Mltb,r Controls"))</f>
        <v>Mltb,p Controls</v>
      </c>
      <c r="AN228" s="213">
        <f>IF(Table_03[[#This Row],[Controlling LTB]]="Yielding Controls",Table_03[[#This Row],[Mp (k-in)]],IF(Table_03[[#This Row],[Controlling LTB]]="Mltb,p Controls",Table_03[[#This Row],[Mnltbp (k-in)]],IF(Table_03[[#This Row],[Controlling LTB]]="Mltb,r Controls",Table_03[[#This Row],[Mnltbr (k-in)]],"ERROR")))</f>
        <v>9797.0431145828206</v>
      </c>
      <c r="AO228" s="214">
        <f>MIN(Table_03[[#This Row],[Strength (ksi)]]*Table_03[[#This Row],[Static Parameters Plastic Section Modulus Zy (in3)]],1.6*Table_03[[#This Row],[Strength (ksi)]]*Table_03[[#This Row],[Static Parameters Elastic Section Modulus Sy (in3)3]])</f>
        <v>1431.5468000000001</v>
      </c>
      <c r="AP228" s="206">
        <f>MIN(Table_03[[#This Row],[Mny (k-in)]],Table_03[[#This Row],[Mny (k-in)]]-(Table_03[[#This Row],[Mny (k-in)]]-0.7*Table_03[[#This Row],[Static Parameters Elastic Section Modulus Sy (in3)3]]*Table_03[[#This Row],[Strength (ksi)]])*((Table_03[[#This Row],[b/t]]-Table_03[[#This Row],[λpf]])/(Table_03[[#This Row],[λrf]]-Table_03[[#This Row],[λpf]])))</f>
        <v>1431.5468000000001</v>
      </c>
      <c r="AQ228" s="211">
        <f>MIN(Table_03[[#This Row],[Mny (k-in)]],Table_03[[#This Row],[Fcry]]*Table_03[[#This Row],[Static Parameters Elastic Section Modulus Sy (in3)3]])</f>
        <v>1431.5468000000001</v>
      </c>
      <c r="AR228" s="212" t="str">
        <f>IF(Table_03[[#This Row],[b/t]]&lt;Table_03[[#This Row],[λpf]],"Compact",IF(AND(Table_03[[#This Row],[b/t]]&gt;Table_03[[#This Row],[λpf]],Table_03[[#This Row],[λrf]]&gt;Table_03[[#This Row],[b/t]]),"Non-Compact","Slender"))</f>
        <v>Compact</v>
      </c>
      <c r="AS228" s="213">
        <f>IF(Table_03[[#This Row],[Controlling Lby]]="Compact",Table_03[[#This Row],[Mny (k-in)]],IF(Table_03[[#This Row],[Controlling Lby]]="Non-Compact",Table_03[[#This Row],[Mlby,Non-Compact (k-in)]],IF(Table_03[[#This Row],[Controlling Lby]]="Slender",Table_03[[#This Row],[Mlby,Slender (k-in)]],"ERROR")))</f>
        <v>1431.5468000000001</v>
      </c>
      <c r="AT228" s="214">
        <f>MIN(Table_03[[#This Row],[LBx]],Table_03[[#This Row],[LTB]],Table_03[[#This Row],[Mp (k-in)]])</f>
        <v>9797.0431145828206</v>
      </c>
      <c r="AU228" s="206">
        <f>Table_03[[#This Row],[Mp (k-in)]]</f>
        <v>9899.6038000000008</v>
      </c>
      <c r="AV228" s="206">
        <f>MIN(Table_03[[#This Row],[LBy]],Table_03[[#This Row],[Mny (k-in)]])</f>
        <v>1431.5468000000001</v>
      </c>
      <c r="AW228" s="215">
        <f>Table_03[[#This Row],[Mny (k-in)]]</f>
        <v>1431.5468000000001</v>
      </c>
      <c r="AX228" s="165">
        <f>SQRT(((Table_03[[#This Row],[Sectional Area (in2)]]-(Table_03[[#This Row],[Flange Thickness tf (in)]]*Table_03[[#This Row],[Width w (in)]]*2+Table_03[[#This Row],[Web Thickness tw (in)]]*((Table_03[[#This Row],[Depth h (in)]]-2*Table_03[[#This Row],[Flange Thickness tf (in)]]))))/4)/(1-PI()/4))</f>
        <v>0.53139760763417099</v>
      </c>
      <c r="AY228" s="165">
        <f>IF(4/SQRT((Table_03[[#This Row],[Depth h (in)]]-Table_03[[#This Row],[Flange Thickness tf (in)]]*2)/Table_03[[#This Row],[Web Thickness tw (in)]])&lt;0.35,0.35,IF(4/SQRT(Table_03[[#This Row],[Depth h (in)]]/Table_03[[#This Row],[Web Thickness tw (in)]])&gt;0.76,0.76,4/SQRT(Table_03[[#This Row],[Depth h (in)]]/Table_03[[#This Row],[Web Thickness tw (in)]])))</f>
        <v>0.54273443732277293</v>
      </c>
      <c r="AZ228" s="165"/>
    </row>
    <row r="229" spans="1:52" x14ac:dyDescent="0.3">
      <c r="A229" s="179" t="s">
        <v>321</v>
      </c>
      <c r="B229" s="180">
        <v>24.1</v>
      </c>
      <c r="C229" s="180">
        <v>12.75</v>
      </c>
      <c r="D229" s="180">
        <v>0.5</v>
      </c>
      <c r="E229" s="180">
        <v>0.75</v>
      </c>
      <c r="F229" s="181">
        <v>30.6</v>
      </c>
      <c r="G229" s="180">
        <v>104</v>
      </c>
      <c r="H229" s="180">
        <v>3100</v>
      </c>
      <c r="I229" s="180">
        <v>259</v>
      </c>
      <c r="J229" s="181">
        <f>Table_03[[#This Row],[Width w (in)]]*Table_03[[#This Row],[Flange Thickness tf (in)]]*(Table_03[[#This Row],[Depth h (in)]]-Table_03[[#This Row],[Flange Thickness tf (in)]])+0.25*Table_03[[#This Row],[Web Thickness tw (in)]]*(Table_03[[#This Row],[Depth h (in)]]-2*Table_03[[#This Row],[Flange Thickness tf (in)]])^2</f>
        <v>287.12937500000004</v>
      </c>
      <c r="K229" s="181">
        <f>(Table_03[[#This Row],[Width w (in)]]^2*Table_03[[#This Row],[Flange Thickness tf (in)]])/2+0.25*Table_03[[#This Row],[Web Thickness tw (in)]]^2*(Table_03[[#This Row],[Depth h (in)]]-2*Table_03[[#This Row],[Flange Thickness tf (in)]])</f>
        <v>62.373437500000001</v>
      </c>
      <c r="L229" s="181">
        <v>258</v>
      </c>
      <c r="M229" s="181">
        <v>40.700000000000003</v>
      </c>
      <c r="N229" s="182">
        <v>50</v>
      </c>
      <c r="O229" s="181">
        <f>SQRT(Table_03[[#This Row],[Static Parameters Moment of Inertia Ix (in4)]]/Table_03[[#This Row],[Sectional Area (in2)]])</f>
        <v>10.065147268792625</v>
      </c>
      <c r="P229" s="181">
        <f>SQRT(Table_03[[#This Row],[Static Parameters Moment of Inertia Iy (in4)]]/Table_03[[#This Row],[Sectional Area (in2)]])</f>
        <v>2.9093044336373084</v>
      </c>
      <c r="Q229" s="181">
        <f>($B$6*$B$5*12)/Table_03[[#This Row],[ry (in)2]]</f>
        <v>61.715782619394247</v>
      </c>
      <c r="R229" s="181">
        <f>(PI()^2*$B$4)/(Table_03[[#This Row],[KL/ry]]^2)</f>
        <v>75.145895108402414</v>
      </c>
      <c r="S229" s="181">
        <f>IF(Table_03[[#This Row],[Strength (ksi)]]/Table_03[[#This Row],[Fe,y]]&lt;2.25,(0.658^(Table_03[[#This Row],[Strength (ksi)]]/Table_03[[#This Row],[Fe,y]])*Table_03[[#This Row],[Strength (ksi)]]),0.877*Table_03[[#This Row],[Fe,y]])</f>
        <v>37.846222822997113</v>
      </c>
      <c r="T229" s="181">
        <f>Table_03[[#This Row],[Fcr,y]]*Table_03[[#This Row],[Sectional Area (in2)]]</f>
        <v>1158.0944183837116</v>
      </c>
      <c r="U229" s="181">
        <f>1.76*Table_03[[#This Row],[ry (in)2]]*SQRT($B$4/Table_03[[#This Row],[Strength (ksi)]])/12</f>
        <v>10.276248252202064</v>
      </c>
      <c r="V22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29.073477870823435</v>
      </c>
      <c r="W229" s="181">
        <f>Table_03[[#This Row],[Depth h (in)]]-Table_03[[#This Row],[Flange Thickness tf (in)]]</f>
        <v>23.35</v>
      </c>
      <c r="X229" s="181">
        <f>(Table_03[[#This Row],[Static Parameters Moment of Inertia Iy (in4)]]*Table_03[[#This Row],[ho]]^2)/4</f>
        <v>35303.156875000008</v>
      </c>
      <c r="Y229" s="181">
        <f>SQRT((SQRT(Table_03[[#This Row],[Static Parameters Moment of Inertia Iy (in4)]]*Table_03[[#This Row],[Cw*]])/Table_03[[#This Row],[Static Parameters Elastic Section Modulus Sx (in3)2]]))</f>
        <v>3.4234853494625175</v>
      </c>
      <c r="Z229" s="181">
        <f>(2*Table_03[[#This Row],[Width w (in)]]*Table_03[[#This Row],[Flange Thickness tf (in)]]^3/3)+((Table_03[[#This Row],[Depth h (in)]]-Table_03[[#This Row],[Flange Thickness tf (in)]]*2)*Table_03[[#This Row],[Web Thickness tw (in)]]^3)/3</f>
        <v>4.5276041666666664</v>
      </c>
      <c r="AA229" s="181">
        <f>Table_03[[#This Row],[Width w (in)]]*0.5/Table_03[[#This Row],[Flange Thickness tf (in)]]</f>
        <v>8.5</v>
      </c>
      <c r="AB229" s="181">
        <f>0.38*SQRT($B$4/Table_03[[#This Row],[Strength (ksi)]])</f>
        <v>9.1516118798821449</v>
      </c>
      <c r="AC229" s="181">
        <f>1*SQRT($B$4/Table_03[[#This Row],[Strength (ksi)]])</f>
        <v>24.083189157584592</v>
      </c>
      <c r="AD229" s="181">
        <f>(PI()^2*$B$4/(12*$B$5/Table_03[[#This Row],[rts]])^2)*SQRT(1+0.078*(Table_03[[#This Row],[J*]]/(Table_03[[#This Row],[Static Parameters Elastic Section Modulus Sx (in3)2]]*Table_03[[#This Row],[ho]])*$B$4/(12*$B$5/Table_03[[#This Row],[rts]])^2))</f>
        <v>459.50845683358637</v>
      </c>
      <c r="AE229" s="181">
        <f>0.69*$B$4/Table_03[[#This Row],[b/t]]^2</f>
        <v>276.95501730103808</v>
      </c>
      <c r="AF229" s="183">
        <f>Table_03[[#This Row],[Strength (ksi)]]*Table_03[[#This Row],[Static Parameters Plastic Section Modulus Zx (in3)]]</f>
        <v>14356.468750000002</v>
      </c>
      <c r="AG229" s="181">
        <f>Table_03[[#This Row],[Mp (k-in)]]-(Table_03[[#This Row],[Mp (k-in)]]-0.7*Table_03[[#This Row],[Strength (ksi)]]*Table_03[[#This Row],[Static Parameters Elastic Section Modulus Sx (in3)2]])*((Table_03[[#This Row],[b/t]]-Table_03[[#This Row],[λpf]])/(Table_03[[#This Row],[λrf]]-Table_03[[#This Row],[λpf]]))</f>
        <v>14588.915078393184</v>
      </c>
      <c r="AH229" s="184">
        <f>0.9*$B$4*Table_03[[#This Row],[kc]]*Table_03[[#This Row],[Static Parameters Elastic Section Modulus Sx (in3)2]]/Table_03[[#This Row],[b/t]]^2</f>
        <v>53698.089459651048</v>
      </c>
      <c r="AI229" s="185" t="str">
        <f>IF(Table_03[[#This Row],[b/t]]&lt;Table_03[[#This Row],[λpf]],"Compact",IF(AND(Table_03[[#This Row],[b/t]]&gt;Table_03[[#This Row],[λpf]],Table_03[[#This Row],[λrf]]&gt;Table_03[[#This Row],[b/t]]),"Non-Compact","Slender"))</f>
        <v>Compact</v>
      </c>
      <c r="AJ229" s="186">
        <f>IF(Table_03[[#This Row],[Controlling LBx]]="Compact",Table_03[[#This Row],[Mp (k-in)]],IF(Table_03[[#This Row],[Controlling LBx]]="Non-Compact",Table_03[[#This Row],[Mnlb,Non-Compact (k-in)]],IF(Table_03[[#This Row],[Controlling LBx]]="Slender",Table_03[[#This Row],[Mnlb,slender (k-in)]],"ERROR")))</f>
        <v>14356.468750000002</v>
      </c>
      <c r="AK229" s="183">
        <f>Table_03[[#This Row],[Mp (k-in)]]-(Table_03[[#This Row],[Mp (k-in)]]-0.7*Table_03[[#This Row],[Strength (ksi)]]*Table_03[[#This Row],[Static Parameters Elastic Section Modulus Sx (in3)2]])*(($B$5-Table_03[[#This Row],[Lp (ft)]])/(Table_03[[#This Row],[Lr]]-Table_03[[#This Row],[Lp (ft)]]))</f>
        <v>15249.420832801525</v>
      </c>
      <c r="AL229" s="184">
        <f>Table_03[[#This Row],[Fcrx]]*Table_03[[#This Row],[Static Parameters Elastic Section Modulus Sx (in3)2]]</f>
        <v>118553.18186306529</v>
      </c>
      <c r="AM229" s="185" t="str">
        <f>IF($B$5&lt;Table_03[[#This Row],[Lp (ft)]],"Yielding Controls",IF(AND($B$5&gt;Table_03[[#This Row],[Lp (ft)]],Table_03[[#This Row],[Lr]]&gt;$B$5),"Mltb,p Controls","Mltb,r Controls"))</f>
        <v>Yielding Controls</v>
      </c>
      <c r="AN229" s="186">
        <f>IF(Table_03[[#This Row],[Controlling LTB]]="Yielding Controls",Table_03[[#This Row],[Mp (k-in)]],IF(Table_03[[#This Row],[Controlling LTB]]="Mltb,p Controls",Table_03[[#This Row],[Mnltbp (k-in)]],IF(Table_03[[#This Row],[Controlling LTB]]="Mltb,r Controls",Table_03[[#This Row],[Mnltbr (k-in)]],"ERROR")))</f>
        <v>14356.468750000002</v>
      </c>
      <c r="AO229" s="183">
        <f>MIN(Table_03[[#This Row],[Strength (ksi)]]*Table_03[[#This Row],[Static Parameters Plastic Section Modulus Zy (in3)]],1.6*Table_03[[#This Row],[Strength (ksi)]]*Table_03[[#This Row],[Static Parameters Elastic Section Modulus Sy (in3)3]])</f>
        <v>3118.671875</v>
      </c>
      <c r="AP229" s="181">
        <f>MIN(Table_03[[#This Row],[Mny (k-in)]],Table_03[[#This Row],[Mny (k-in)]]-(Table_03[[#This Row],[Mny (k-in)]]-0.7*Table_03[[#This Row],[Static Parameters Elastic Section Modulus Sy (in3)3]]*Table_03[[#This Row],[Strength (ksi)]])*((Table_03[[#This Row],[b/t]]-Table_03[[#This Row],[λpf]])/(Table_03[[#This Row],[λrf]]-Table_03[[#This Row],[λpf]])))</f>
        <v>3118.671875</v>
      </c>
      <c r="AQ229" s="184">
        <f>MIN(Table_03[[#This Row],[Mny (k-in)]],Table_03[[#This Row],[Fcry]]*Table_03[[#This Row],[Static Parameters Elastic Section Modulus Sy (in3)3]])</f>
        <v>3118.671875</v>
      </c>
      <c r="AR229" s="185" t="str">
        <f>IF(Table_03[[#This Row],[b/t]]&lt;Table_03[[#This Row],[λpf]],"Compact",IF(AND(Table_03[[#This Row],[b/t]]&gt;Table_03[[#This Row],[λpf]],Table_03[[#This Row],[λrf]]&gt;Table_03[[#This Row],[b/t]]),"Non-Compact","Slender"))</f>
        <v>Compact</v>
      </c>
      <c r="AS229" s="186">
        <f>IF(Table_03[[#This Row],[Controlling Lby]]="Compact",Table_03[[#This Row],[Mny (k-in)]],IF(Table_03[[#This Row],[Controlling Lby]]="Non-Compact",Table_03[[#This Row],[Mlby,Non-Compact (k-in)]],IF(Table_03[[#This Row],[Controlling Lby]]="Slender",Table_03[[#This Row],[Mlby,Slender (k-in)]],"ERROR")))</f>
        <v>3118.671875</v>
      </c>
      <c r="AT229" s="183">
        <f>MIN(Table_03[[#This Row],[LBx]],Table_03[[#This Row],[LTB]],Table_03[[#This Row],[Mp (k-in)]])</f>
        <v>14356.468750000002</v>
      </c>
      <c r="AU229" s="181">
        <f>Table_03[[#This Row],[Mp (k-in)]]</f>
        <v>14356.468750000002</v>
      </c>
      <c r="AV229" s="181">
        <f>MIN(Table_03[[#This Row],[LBy]],Table_03[[#This Row],[Mny (k-in)]])</f>
        <v>3118.671875</v>
      </c>
      <c r="AW229" s="187">
        <f>Table_03[[#This Row],[Mny (k-in)]]</f>
        <v>3118.671875</v>
      </c>
      <c r="AX229" s="165">
        <f>SQRT(((Table_03[[#This Row],[Sectional Area (in2)]]-(Table_03[[#This Row],[Flange Thickness tf (in)]]*Table_03[[#This Row],[Width w (in)]]*2+Table_03[[#This Row],[Web Thickness tw (in)]]*((Table_03[[#This Row],[Depth h (in)]]-2*Table_03[[#This Row],[Flange Thickness tf (in)]]))))/4)/(1-PI()/4))</f>
        <v>0.45151513377376501</v>
      </c>
      <c r="AY229" s="165">
        <f>IF(4/SQRT((Table_03[[#This Row],[Depth h (in)]]-Table_03[[#This Row],[Flange Thickness tf (in)]]*2)/Table_03[[#This Row],[Web Thickness tw (in)]])&lt;0.35,0.35,IF(4/SQRT(Table_03[[#This Row],[Depth h (in)]]/Table_03[[#This Row],[Web Thickness tw (in)]])&gt;0.76,0.76,4/SQRT(Table_03[[#This Row],[Depth h (in)]]/Table_03[[#This Row],[Web Thickness tw (in)]])))</f>
        <v>0.57615120191567737</v>
      </c>
      <c r="AZ229" s="165"/>
    </row>
    <row r="230" spans="1:52" x14ac:dyDescent="0.3">
      <c r="A230" s="188" t="s">
        <v>322</v>
      </c>
      <c r="B230" s="189">
        <v>24.1</v>
      </c>
      <c r="C230" s="189">
        <v>9.07</v>
      </c>
      <c r="D230" s="189">
        <v>0.51500000000000001</v>
      </c>
      <c r="E230" s="189">
        <v>0.875</v>
      </c>
      <c r="F230" s="190">
        <v>27.7</v>
      </c>
      <c r="G230" s="189">
        <v>94</v>
      </c>
      <c r="H230" s="190">
        <v>2700</v>
      </c>
      <c r="I230" s="190">
        <v>109</v>
      </c>
      <c r="J230" s="190">
        <f>Table_03[[#This Row],[Width w (in)]]*Table_03[[#This Row],[Flange Thickness tf (in)]]*(Table_03[[#This Row],[Depth h (in)]]-Table_03[[#This Row],[Flange Thickness tf (in)]])+0.25*Table_03[[#This Row],[Web Thickness tw (in)]]*(Table_03[[#This Row],[Depth h (in)]]-2*Table_03[[#This Row],[Flange Thickness tf (in)]])^2</f>
        <v>248.63292812500003</v>
      </c>
      <c r="K230" s="190">
        <f>(Table_03[[#This Row],[Width w (in)]]^2*Table_03[[#This Row],[Flange Thickness tf (in)]])/2+0.25*Table_03[[#This Row],[Web Thickness tw (in)]]^2*(Table_03[[#This Row],[Depth h (in)]]-2*Table_03[[#This Row],[Flange Thickness tf (in)]])</f>
        <v>37.472838437500002</v>
      </c>
      <c r="L230" s="190">
        <v>222</v>
      </c>
      <c r="M230" s="190">
        <v>24</v>
      </c>
      <c r="N230" s="191">
        <v>50</v>
      </c>
      <c r="O230" s="169">
        <f>SQRT(Table_03[[#This Row],[Static Parameters Moment of Inertia Ix (in4)]]/Table_03[[#This Row],[Sectional Area (in2)]])</f>
        <v>9.8728376968187632</v>
      </c>
      <c r="P230" s="190">
        <f>SQRT(Table_03[[#This Row],[Static Parameters Moment of Inertia Iy (in4)]]/Table_03[[#This Row],[Sectional Area (in2)]])</f>
        <v>1.9836879922360564</v>
      </c>
      <c r="Q230" s="190">
        <f>($B$6*$B$5*12)/Table_03[[#This Row],[ry (in)2]]</f>
        <v>90.51322622445646</v>
      </c>
      <c r="R230" s="190">
        <f>(PI()^2*$B$4)/(Table_03[[#This Row],[KL/ry]]^2)</f>
        <v>34.936038156275238</v>
      </c>
      <c r="S230" s="190">
        <f>IF(Table_03[[#This Row],[Strength (ksi)]]/Table_03[[#This Row],[Fe,y]]&lt;2.25,(0.658^(Table_03[[#This Row],[Strength (ksi)]]/Table_03[[#This Row],[Fe,y]])*Table_03[[#This Row],[Strength (ksi)]]),0.877*Table_03[[#This Row],[Fe,y]])</f>
        <v>27.467383127173928</v>
      </c>
      <c r="T230" s="190">
        <f>Table_03[[#This Row],[Fcr,y]]*Table_03[[#This Row],[Sectional Area (in2)]]</f>
        <v>760.8465126227178</v>
      </c>
      <c r="U230" s="190">
        <f>1.76*Table_03[[#This Row],[ry (in)2]]*SQRT($B$4/Table_03[[#This Row],[Strength (ksi)]])/12</f>
        <v>7.0067848615086872</v>
      </c>
      <c r="V23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21.011840757414955</v>
      </c>
      <c r="W230" s="190">
        <f>Table_03[[#This Row],[Depth h (in)]]-Table_03[[#This Row],[Flange Thickness tf (in)]]</f>
        <v>23.225000000000001</v>
      </c>
      <c r="X230" s="190">
        <f>(Table_03[[#This Row],[Static Parameters Moment of Inertia Iy (in4)]]*Table_03[[#This Row],[ho]]^2)/4</f>
        <v>14698.667031250003</v>
      </c>
      <c r="Y230" s="190">
        <f>SQRT((SQRT(Table_03[[#This Row],[Static Parameters Moment of Inertia Iy (in4)]]*Table_03[[#This Row],[Cw*]])/Table_03[[#This Row],[Static Parameters Elastic Section Modulus Sx (in3)2]]))</f>
        <v>2.3878092224637384</v>
      </c>
      <c r="Z230" s="190">
        <f>(2*Table_03[[#This Row],[Width w (in)]]*Table_03[[#This Row],[Flange Thickness tf (in)]]^3/3)+((Table_03[[#This Row],[Depth h (in)]]-Table_03[[#This Row],[Flange Thickness tf (in)]]*2)*Table_03[[#This Row],[Web Thickness tw (in)]]^3)/3</f>
        <v>5.0683962895833332</v>
      </c>
      <c r="AA230" s="190">
        <f>Table_03[[#This Row],[Width w (in)]]*0.5/Table_03[[#This Row],[Flange Thickness tf (in)]]</f>
        <v>5.1828571428571433</v>
      </c>
      <c r="AB230" s="190">
        <f>0.38*SQRT($B$4/Table_03[[#This Row],[Strength (ksi)]])</f>
        <v>9.1516118798821449</v>
      </c>
      <c r="AC230" s="190">
        <f>1*SQRT($B$4/Table_03[[#This Row],[Strength (ksi)]])</f>
        <v>24.083189157584592</v>
      </c>
      <c r="AD230" s="190">
        <f>(PI()^2*$B$4/(12*$B$5/Table_03[[#This Row],[rts]])^2)*SQRT(1+0.078*(Table_03[[#This Row],[J*]]/(Table_03[[#This Row],[Static Parameters Elastic Section Modulus Sx (in3)2]]*Table_03[[#This Row],[ho]])*$B$4/(12*$B$5/Table_03[[#This Row],[rts]])^2))</f>
        <v>223.42976782385176</v>
      </c>
      <c r="AE230" s="190">
        <f>0.69*$B$4/Table_03[[#This Row],[b/t]]^2</f>
        <v>744.91824581322032</v>
      </c>
      <c r="AF230" s="192">
        <f>Table_03[[#This Row],[Strength (ksi)]]*Table_03[[#This Row],[Static Parameters Plastic Section Modulus Zx (in3)]]</f>
        <v>12431.646406250002</v>
      </c>
      <c r="AG230" s="190">
        <f>Table_03[[#This Row],[Mp (k-in)]]-(Table_03[[#This Row],[Mp (k-in)]]-0.7*Table_03[[#This Row],[Strength (ksi)]]*Table_03[[#This Row],[Static Parameters Elastic Section Modulus Sx (in3)2]])*((Table_03[[#This Row],[b/t]]-Table_03[[#This Row],[λpf]])/(Table_03[[#This Row],[λrf]]-Table_03[[#This Row],[λpf]]))</f>
        <v>13670.693756242155</v>
      </c>
      <c r="AH230" s="193">
        <f>0.9*$B$4*Table_03[[#This Row],[kc]]*Table_03[[#This Row],[Static Parameters Elastic Section Modulus Sx (in3)2]]/Table_03[[#This Row],[b/t]]^2</f>
        <v>126127.58771504591</v>
      </c>
      <c r="AI230" s="194" t="str">
        <f>IF(Table_03[[#This Row],[b/t]]&lt;Table_03[[#This Row],[λpf]],"Compact",IF(AND(Table_03[[#This Row],[b/t]]&gt;Table_03[[#This Row],[λpf]],Table_03[[#This Row],[λrf]]&gt;Table_03[[#This Row],[b/t]]),"Non-Compact","Slender"))</f>
        <v>Compact</v>
      </c>
      <c r="AJ230" s="195">
        <f>IF(Table_03[[#This Row],[Controlling LBx]]="Compact",Table_03[[#This Row],[Mp (k-in)]],IF(Table_03[[#This Row],[Controlling LBx]]="Non-Compact",Table_03[[#This Row],[Mnlb,Non-Compact (k-in)]],IF(Table_03[[#This Row],[Controlling LBx]]="Slender",Table_03[[#This Row],[Mnlb,slender (k-in)]],"ERROR")))</f>
        <v>12431.646406250002</v>
      </c>
      <c r="AK230" s="192">
        <f>Table_03[[#This Row],[Mp (k-in)]]-(Table_03[[#This Row],[Mp (k-in)]]-0.7*Table_03[[#This Row],[Strength (ksi)]]*Table_03[[#This Row],[Static Parameters Elastic Section Modulus Sx (in3)2]])*(($B$5-Table_03[[#This Row],[Lp (ft)]])/(Table_03[[#This Row],[Lr]]-Table_03[[#This Row],[Lp (ft)]]))</f>
        <v>12392.297960973645</v>
      </c>
      <c r="AL230" s="196">
        <f>Table_03[[#This Row],[Fcrx]]*Table_03[[#This Row],[Static Parameters Elastic Section Modulus Sx (in3)2]]</f>
        <v>49601.408456895093</v>
      </c>
      <c r="AM230" s="197" t="str">
        <f>IF($B$5&lt;Table_03[[#This Row],[Lp (ft)]],"Yielding Controls",IF(AND($B$5&gt;Table_03[[#This Row],[Lp (ft)]],Table_03[[#This Row],[Lr]]&gt;$B$5),"Mltb,p Controls","Mltb,r Controls"))</f>
        <v>Mltb,p Controls</v>
      </c>
      <c r="AN230" s="198">
        <f>IF(Table_03[[#This Row],[Controlling LTB]]="Yielding Controls",Table_03[[#This Row],[Mp (k-in)]],IF(Table_03[[#This Row],[Controlling LTB]]="Mltb,p Controls",Table_03[[#This Row],[Mnltbp (k-in)]],IF(Table_03[[#This Row],[Controlling LTB]]="Mltb,r Controls",Table_03[[#This Row],[Mnltbr (k-in)]],"ERROR")))</f>
        <v>12392.297960973645</v>
      </c>
      <c r="AO230" s="199">
        <f>MIN(Table_03[[#This Row],[Strength (ksi)]]*Table_03[[#This Row],[Static Parameters Plastic Section Modulus Zy (in3)]],1.6*Table_03[[#This Row],[Strength (ksi)]]*Table_03[[#This Row],[Static Parameters Elastic Section Modulus Sy (in3)3]])</f>
        <v>1873.6419218750002</v>
      </c>
      <c r="AP230" s="169">
        <f>MIN(Table_03[[#This Row],[Mny (k-in)]],Table_03[[#This Row],[Mny (k-in)]]-(Table_03[[#This Row],[Mny (k-in)]]-0.7*Table_03[[#This Row],[Static Parameters Elastic Section Modulus Sy (in3)3]]*Table_03[[#This Row],[Strength (ksi)]])*((Table_03[[#This Row],[b/t]]-Table_03[[#This Row],[λpf]])/(Table_03[[#This Row],[λrf]]-Table_03[[#This Row],[λpf]])))</f>
        <v>1873.6419218750002</v>
      </c>
      <c r="AQ230" s="196">
        <f>MIN(Table_03[[#This Row],[Mny (k-in)]],Table_03[[#This Row],[Fcry]]*Table_03[[#This Row],[Static Parameters Elastic Section Modulus Sy (in3)3]])</f>
        <v>1873.6419218750002</v>
      </c>
      <c r="AR230" s="197" t="str">
        <f>IF(Table_03[[#This Row],[b/t]]&lt;Table_03[[#This Row],[λpf]],"Compact",IF(AND(Table_03[[#This Row],[b/t]]&gt;Table_03[[#This Row],[λpf]],Table_03[[#This Row],[λrf]]&gt;Table_03[[#This Row],[b/t]]),"Non-Compact","Slender"))</f>
        <v>Compact</v>
      </c>
      <c r="AS230" s="198">
        <f>IF(Table_03[[#This Row],[Controlling Lby]]="Compact",Table_03[[#This Row],[Mny (k-in)]],IF(Table_03[[#This Row],[Controlling Lby]]="Non-Compact",Table_03[[#This Row],[Mlby,Non-Compact (k-in)]],IF(Table_03[[#This Row],[Controlling Lby]]="Slender",Table_03[[#This Row],[Mlby,Slender (k-in)]],"ERROR")))</f>
        <v>1873.6419218750002</v>
      </c>
      <c r="AT230" s="199">
        <f>MIN(Table_03[[#This Row],[LBx]],Table_03[[#This Row],[LTB]],Table_03[[#This Row],[Mp (k-in)]])</f>
        <v>12392.297960973645</v>
      </c>
      <c r="AU230" s="169">
        <f>Table_03[[#This Row],[Mp (k-in)]]</f>
        <v>12431.646406250002</v>
      </c>
      <c r="AV230" s="169">
        <f>MIN(Table_03[[#This Row],[LBy]],Table_03[[#This Row],[Mny (k-in)]])</f>
        <v>1873.6419218750002</v>
      </c>
      <c r="AW230" s="200">
        <f>Table_03[[#This Row],[Mny (k-in)]]</f>
        <v>1873.6419218750002</v>
      </c>
      <c r="AX230" s="165">
        <f>SQRT(((Table_03[[#This Row],[Sectional Area (in2)]]-(Table_03[[#This Row],[Flange Thickness tf (in)]]*Table_03[[#This Row],[Width w (in)]]*2+Table_03[[#This Row],[Web Thickness tw (in)]]*((Table_03[[#This Row],[Depth h (in)]]-2*Table_03[[#This Row],[Flange Thickness tf (in)]]))))/4)/(1-PI()/4))</f>
        <v>0.60793073787577778</v>
      </c>
      <c r="AY230" s="165">
        <f>IF(4/SQRT((Table_03[[#This Row],[Depth h (in)]]-Table_03[[#This Row],[Flange Thickness tf (in)]]*2)/Table_03[[#This Row],[Web Thickness tw (in)]])&lt;0.35,0.35,IF(4/SQRT(Table_03[[#This Row],[Depth h (in)]]/Table_03[[#This Row],[Web Thickness tw (in)]])&gt;0.76,0.76,4/SQRT(Table_03[[#This Row],[Depth h (in)]]/Table_03[[#This Row],[Web Thickness tw (in)]])))</f>
        <v>0.58472960733397628</v>
      </c>
      <c r="AZ230" s="165"/>
    </row>
    <row r="231" spans="1:52" ht="14.4" thickBot="1" x14ac:dyDescent="0.35">
      <c r="A231" s="201" t="s">
        <v>323</v>
      </c>
      <c r="B231" s="202">
        <v>24.1</v>
      </c>
      <c r="C231" s="202">
        <v>9.02</v>
      </c>
      <c r="D231" s="202">
        <v>0.47</v>
      </c>
      <c r="E231" s="202">
        <v>0.77</v>
      </c>
      <c r="F231" s="203">
        <v>24.7</v>
      </c>
      <c r="G231" s="204">
        <v>84</v>
      </c>
      <c r="H231" s="203">
        <v>2370</v>
      </c>
      <c r="I231" s="203">
        <v>94.4</v>
      </c>
      <c r="J231" s="203">
        <f>Table_03[[#This Row],[Width w (in)]]*Table_03[[#This Row],[Flange Thickness tf (in)]]*(Table_03[[#This Row],[Depth h (in)]]-Table_03[[#This Row],[Flange Thickness tf (in)]])+0.25*Table_03[[#This Row],[Web Thickness tw (in)]]*(Table_03[[#This Row],[Depth h (in)]]-2*Table_03[[#This Row],[Flange Thickness tf (in)]])^2</f>
        <v>221.83823000000004</v>
      </c>
      <c r="K231" s="203">
        <f>(Table_03[[#This Row],[Width w (in)]]^2*Table_03[[#This Row],[Flange Thickness tf (in)]])/2+0.25*Table_03[[#This Row],[Web Thickness tw (in)]]^2*(Table_03[[#This Row],[Depth h (in)]]-2*Table_03[[#This Row],[Flange Thickness tf (in)]])</f>
        <v>32.569630000000004</v>
      </c>
      <c r="L231" s="203">
        <v>196</v>
      </c>
      <c r="M231" s="203">
        <v>20.9</v>
      </c>
      <c r="N231" s="205">
        <v>50</v>
      </c>
      <c r="O231" s="206">
        <f>SQRT(Table_03[[#This Row],[Static Parameters Moment of Inertia Ix (in4)]]/Table_03[[#This Row],[Sectional Area (in2)]])</f>
        <v>9.7954794167538619</v>
      </c>
      <c r="P231" s="203">
        <f>SQRT(Table_03[[#This Row],[Static Parameters Moment of Inertia Iy (in4)]]/Table_03[[#This Row],[Sectional Area (in2)]])</f>
        <v>1.9549584006259924</v>
      </c>
      <c r="Q231" s="203">
        <f>($B$6*$B$5*12)/Table_03[[#This Row],[ry (in)2]]</f>
        <v>91.843386510171655</v>
      </c>
      <c r="R231" s="203">
        <f>(PI()^2*$B$4)/(Table_03[[#This Row],[KL/ry]]^2)</f>
        <v>33.931414572700284</v>
      </c>
      <c r="S231" s="203">
        <f>IF(Table_03[[#This Row],[Strength (ksi)]]/Table_03[[#This Row],[Fe,y]]&lt;2.25,(0.658^(Table_03[[#This Row],[Strength (ksi)]]/Table_03[[#This Row],[Fe,y]])*Table_03[[#This Row],[Strength (ksi)]]),0.877*Table_03[[#This Row],[Fe,y]])</f>
        <v>26.984527601056378</v>
      </c>
      <c r="T231" s="203">
        <f>Table_03[[#This Row],[Fcr,y]]*Table_03[[#This Row],[Sectional Area (in2)]]</f>
        <v>666.5178317460925</v>
      </c>
      <c r="U231" s="203">
        <f>1.76*Table_03[[#This Row],[ry (in)2]]*SQRT($B$4/Table_03[[#This Row],[Strength (ksi)]])/12</f>
        <v>6.9053061670977725</v>
      </c>
      <c r="V23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20.190343561631035</v>
      </c>
      <c r="W231" s="203">
        <f>Table_03[[#This Row],[Depth h (in)]]-Table_03[[#This Row],[Flange Thickness tf (in)]]</f>
        <v>23.330000000000002</v>
      </c>
      <c r="X231" s="203">
        <f>(Table_03[[#This Row],[Static Parameters Moment of Inertia Iy (in4)]]*Table_03[[#This Row],[ho]]^2)/4</f>
        <v>12845.218040000003</v>
      </c>
      <c r="Y231" s="203">
        <f>SQRT((SQRT(Table_03[[#This Row],[Static Parameters Moment of Inertia Iy (in4)]]*Table_03[[#This Row],[Cw*]])/Table_03[[#This Row],[Static Parameters Elastic Section Modulus Sx (in3)2]]))</f>
        <v>2.3702837167645532</v>
      </c>
      <c r="Z231" s="203">
        <f>(2*Table_03[[#This Row],[Width w (in)]]*Table_03[[#This Row],[Flange Thickness tf (in)]]^3/3)+((Table_03[[#This Row],[Depth h (in)]]-Table_03[[#This Row],[Flange Thickness tf (in)]]*2)*Table_03[[#This Row],[Web Thickness tw (in)]]^3)/3</f>
        <v>3.526034066666667</v>
      </c>
      <c r="AA231" s="203">
        <f>Table_03[[#This Row],[Width w (in)]]*0.5/Table_03[[#This Row],[Flange Thickness tf (in)]]</f>
        <v>5.8571428571428568</v>
      </c>
      <c r="AB231" s="203">
        <f>0.38*SQRT($B$4/Table_03[[#This Row],[Strength (ksi)]])</f>
        <v>9.1516118798821449</v>
      </c>
      <c r="AC231" s="203">
        <f>1*SQRT($B$4/Table_03[[#This Row],[Strength (ksi)]])</f>
        <v>24.083189157584592</v>
      </c>
      <c r="AD231" s="203">
        <f>(PI()^2*$B$4/(12*$B$5/Table_03[[#This Row],[rts]])^2)*SQRT(1+0.078*(Table_03[[#This Row],[J*]]/(Table_03[[#This Row],[Static Parameters Elastic Section Modulus Sx (in3)2]]*Table_03[[#This Row],[ho]])*$B$4/(12*$B$5/Table_03[[#This Row],[rts]])^2))</f>
        <v>220.11877006724285</v>
      </c>
      <c r="AE231" s="203">
        <f>0.69*$B$4/Table_03[[#This Row],[b/t]]^2</f>
        <v>583.27781082688887</v>
      </c>
      <c r="AF231" s="207">
        <f>Table_03[[#This Row],[Strength (ksi)]]*Table_03[[#This Row],[Static Parameters Plastic Section Modulus Zx (in3)]]</f>
        <v>11091.911500000002</v>
      </c>
      <c r="AG231" s="203">
        <f>Table_03[[#This Row],[Mp (k-in)]]-(Table_03[[#This Row],[Mp (k-in)]]-0.7*Table_03[[#This Row],[Strength (ksi)]]*Table_03[[#This Row],[Static Parameters Elastic Section Modulus Sx (in3)2]])*((Table_03[[#This Row],[b/t]]-Table_03[[#This Row],[λpf]])/(Table_03[[#This Row],[λrf]]-Table_03[[#This Row],[λpf]]))</f>
        <v>12025.630763841191</v>
      </c>
      <c r="AH231" s="208">
        <f>0.9*$B$4*Table_03[[#This Row],[kc]]*Table_03[[#This Row],[Static Parameters Elastic Section Modulus Sx (in3)2]]/Table_03[[#This Row],[b/t]]^2</f>
        <v>83296.229745810633</v>
      </c>
      <c r="AI231" s="209" t="str">
        <f>IF(Table_03[[#This Row],[b/t]]&lt;Table_03[[#This Row],[λpf]],"Compact",IF(AND(Table_03[[#This Row],[b/t]]&gt;Table_03[[#This Row],[λpf]],Table_03[[#This Row],[λrf]]&gt;Table_03[[#This Row],[b/t]]),"Non-Compact","Slender"))</f>
        <v>Compact</v>
      </c>
      <c r="AJ231" s="210">
        <f>IF(Table_03[[#This Row],[Controlling LBx]]="Compact",Table_03[[#This Row],[Mp (k-in)]],IF(Table_03[[#This Row],[Controlling LBx]]="Non-Compact",Table_03[[#This Row],[Mnlb,Non-Compact (k-in)]],IF(Table_03[[#This Row],[Controlling LBx]]="Slender",Table_03[[#This Row],[Mnlb,slender (k-in)]],"ERROR")))</f>
        <v>11091.911500000002</v>
      </c>
      <c r="AK231" s="207">
        <f>Table_03[[#This Row],[Mp (k-in)]]-(Table_03[[#This Row],[Mp (k-in)]]-0.7*Table_03[[#This Row],[Strength (ksi)]]*Table_03[[#This Row],[Static Parameters Elastic Section Modulus Sx (in3)2]])*(($B$5-Table_03[[#This Row],[Lp (ft)]])/(Table_03[[#This Row],[Lr]]-Table_03[[#This Row],[Lp (ft)]]))</f>
        <v>11021.92864407514</v>
      </c>
      <c r="AL231" s="211">
        <f>Table_03[[#This Row],[Fcrx]]*Table_03[[#This Row],[Static Parameters Elastic Section Modulus Sx (in3)2]]</f>
        <v>43143.278933179601</v>
      </c>
      <c r="AM231" s="212" t="str">
        <f>IF($B$5&lt;Table_03[[#This Row],[Lp (ft)]],"Yielding Controls",IF(AND($B$5&gt;Table_03[[#This Row],[Lp (ft)]],Table_03[[#This Row],[Lr]]&gt;$B$5),"Mltb,p Controls","Mltb,r Controls"))</f>
        <v>Mltb,p Controls</v>
      </c>
      <c r="AN231" s="213">
        <f>IF(Table_03[[#This Row],[Controlling LTB]]="Yielding Controls",Table_03[[#This Row],[Mp (k-in)]],IF(Table_03[[#This Row],[Controlling LTB]]="Mltb,p Controls",Table_03[[#This Row],[Mnltbp (k-in)]],IF(Table_03[[#This Row],[Controlling LTB]]="Mltb,r Controls",Table_03[[#This Row],[Mnltbr (k-in)]],"ERROR")))</f>
        <v>11021.92864407514</v>
      </c>
      <c r="AO231" s="214">
        <f>MIN(Table_03[[#This Row],[Strength (ksi)]]*Table_03[[#This Row],[Static Parameters Plastic Section Modulus Zy (in3)]],1.6*Table_03[[#This Row],[Strength (ksi)]]*Table_03[[#This Row],[Static Parameters Elastic Section Modulus Sy (in3)3]])</f>
        <v>1628.4815000000001</v>
      </c>
      <c r="AP231" s="206">
        <f>MIN(Table_03[[#This Row],[Mny (k-in)]],Table_03[[#This Row],[Mny (k-in)]]-(Table_03[[#This Row],[Mny (k-in)]]-0.7*Table_03[[#This Row],[Static Parameters Elastic Section Modulus Sy (in3)3]]*Table_03[[#This Row],[Strength (ksi)]])*((Table_03[[#This Row],[b/t]]-Table_03[[#This Row],[λpf]])/(Table_03[[#This Row],[λrf]]-Table_03[[#This Row],[λpf]])))</f>
        <v>1628.4815000000001</v>
      </c>
      <c r="AQ231" s="211">
        <f>MIN(Table_03[[#This Row],[Mny (k-in)]],Table_03[[#This Row],[Fcry]]*Table_03[[#This Row],[Static Parameters Elastic Section Modulus Sy (in3)3]])</f>
        <v>1628.4815000000001</v>
      </c>
      <c r="AR231" s="212" t="str">
        <f>IF(Table_03[[#This Row],[b/t]]&lt;Table_03[[#This Row],[λpf]],"Compact",IF(AND(Table_03[[#This Row],[b/t]]&gt;Table_03[[#This Row],[λpf]],Table_03[[#This Row],[λrf]]&gt;Table_03[[#This Row],[b/t]]),"Non-Compact","Slender"))</f>
        <v>Compact</v>
      </c>
      <c r="AS231" s="213">
        <f>IF(Table_03[[#This Row],[Controlling Lby]]="Compact",Table_03[[#This Row],[Mny (k-in)]],IF(Table_03[[#This Row],[Controlling Lby]]="Non-Compact",Table_03[[#This Row],[Mlby,Non-Compact (k-in)]],IF(Table_03[[#This Row],[Controlling Lby]]="Slender",Table_03[[#This Row],[Mlby,Slender (k-in)]],"ERROR")))</f>
        <v>1628.4815000000001</v>
      </c>
      <c r="AT231" s="214">
        <f>MIN(Table_03[[#This Row],[LBx]],Table_03[[#This Row],[LTB]],Table_03[[#This Row],[Mp (k-in)]])</f>
        <v>11021.92864407514</v>
      </c>
      <c r="AU231" s="206">
        <f>Table_03[[#This Row],[Mp (k-in)]]</f>
        <v>11091.911500000002</v>
      </c>
      <c r="AV231" s="206">
        <f>MIN(Table_03[[#This Row],[LBy]],Table_03[[#This Row],[Mny (k-in)]])</f>
        <v>1628.4815000000001</v>
      </c>
      <c r="AW231" s="215">
        <f>Table_03[[#This Row],[Mny (k-in)]]</f>
        <v>1628.4815000000001</v>
      </c>
      <c r="AX231" s="165">
        <f>SQRT(((Table_03[[#This Row],[Sectional Area (in2)]]-(Table_03[[#This Row],[Flange Thickness tf (in)]]*Table_03[[#This Row],[Width w (in)]]*2+Table_03[[#This Row],[Web Thickness tw (in)]]*((Table_03[[#This Row],[Depth h (in)]]-2*Table_03[[#This Row],[Flange Thickness tf (in)]]))))/4)/(1-PI()/4))</f>
        <v>0.48987682825967799</v>
      </c>
      <c r="AY231" s="165">
        <f>IF(4/SQRT((Table_03[[#This Row],[Depth h (in)]]-Table_03[[#This Row],[Flange Thickness tf (in)]]*2)/Table_03[[#This Row],[Web Thickness tw (in)]])&lt;0.35,0.35,IF(4/SQRT(Table_03[[#This Row],[Depth h (in)]]/Table_03[[#This Row],[Web Thickness tw (in)]])&gt;0.76,0.76,4/SQRT(Table_03[[#This Row],[Depth h (in)]]/Table_03[[#This Row],[Web Thickness tw (in)]])))</f>
        <v>0.5585993152705675</v>
      </c>
      <c r="AZ231" s="165"/>
    </row>
    <row r="232" spans="1:52" x14ac:dyDescent="0.3">
      <c r="A232" s="179" t="s">
        <v>324</v>
      </c>
      <c r="B232" s="180">
        <v>24.3</v>
      </c>
      <c r="C232" s="180">
        <v>12.8</v>
      </c>
      <c r="D232" s="180">
        <v>0.55000000000000004</v>
      </c>
      <c r="E232" s="180">
        <v>0.85</v>
      </c>
      <c r="F232" s="181">
        <v>34.4</v>
      </c>
      <c r="G232" s="180">
        <v>117</v>
      </c>
      <c r="H232" s="180">
        <v>3540</v>
      </c>
      <c r="I232" s="180">
        <v>297</v>
      </c>
      <c r="J232" s="181">
        <f>Table_03[[#This Row],[Width w (in)]]*Table_03[[#This Row],[Flange Thickness tf (in)]]*(Table_03[[#This Row],[Depth h (in)]]-Table_03[[#This Row],[Flange Thickness tf (in)]])+0.25*Table_03[[#This Row],[Web Thickness tw (in)]]*(Table_03[[#This Row],[Depth h (in)]]-2*Table_03[[#This Row],[Flange Thickness tf (in)]])^2</f>
        <v>325.36550000000005</v>
      </c>
      <c r="K232" s="181">
        <f>(Table_03[[#This Row],[Width w (in)]]^2*Table_03[[#This Row],[Flange Thickness tf (in)]])/2+0.25*Table_03[[#This Row],[Web Thickness tw (in)]]^2*(Table_03[[#This Row],[Depth h (in)]]-2*Table_03[[#This Row],[Flange Thickness tf (in)]])</f>
        <v>71.341125000000005</v>
      </c>
      <c r="L232" s="181">
        <v>291</v>
      </c>
      <c r="M232" s="181">
        <v>46.5</v>
      </c>
      <c r="N232" s="182">
        <v>50</v>
      </c>
      <c r="O232" s="181">
        <f>SQRT(Table_03[[#This Row],[Static Parameters Moment of Inertia Ix (in4)]]/Table_03[[#This Row],[Sectional Area (in2)]])</f>
        <v>10.144307602995191</v>
      </c>
      <c r="P232" s="181">
        <f>SQRT(Table_03[[#This Row],[Static Parameters Moment of Inertia Iy (in4)]]/Table_03[[#This Row],[Sectional Area (in2)]])</f>
        <v>2.9383194057543434</v>
      </c>
      <c r="Q232" s="181">
        <f>($B$6*$B$5*12)/Table_03[[#This Row],[ry (in)2]]</f>
        <v>61.106358841851247</v>
      </c>
      <c r="R232" s="181">
        <f>(PI()^2*$B$4)/(Table_03[[#This Row],[KL/ry]]^2)</f>
        <v>76.6522541892097</v>
      </c>
      <c r="S232" s="181">
        <f>IF(Table_03[[#This Row],[Strength (ksi)]]/Table_03[[#This Row],[Fe,y]]&lt;2.25,(0.658^(Table_03[[#This Row],[Strength (ksi)]]/Table_03[[#This Row],[Fe,y]])*Table_03[[#This Row],[Strength (ksi)]]),0.877*Table_03[[#This Row],[Fe,y]])</f>
        <v>38.053918536350373</v>
      </c>
      <c r="T232" s="181">
        <f>Table_03[[#This Row],[Fcr,y]]*Table_03[[#This Row],[Sectional Area (in2)]]</f>
        <v>1309.0547976504529</v>
      </c>
      <c r="U232" s="181">
        <f>1.76*Table_03[[#This Row],[ry (in)2]]*SQRT($B$4/Table_03[[#This Row],[Strength (ksi)]])/12</f>
        <v>10.378734967946899</v>
      </c>
      <c r="V23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30.295424912192193</v>
      </c>
      <c r="W232" s="181">
        <f>Table_03[[#This Row],[Depth h (in)]]-Table_03[[#This Row],[Flange Thickness tf (in)]]</f>
        <v>23.45</v>
      </c>
      <c r="X232" s="181">
        <f>(Table_03[[#This Row],[Static Parameters Moment of Inertia Iy (in4)]]*Table_03[[#This Row],[ho]]^2)/4</f>
        <v>40830.260624999995</v>
      </c>
      <c r="Y232" s="181">
        <f>SQRT((SQRT(Table_03[[#This Row],[Static Parameters Moment of Inertia Iy (in4)]]*Table_03[[#This Row],[Cw*]])/Table_03[[#This Row],[Static Parameters Elastic Section Modulus Sx (in3)2]]))</f>
        <v>3.4592994344692953</v>
      </c>
      <c r="Z232" s="181">
        <f>(2*Table_03[[#This Row],[Width w (in)]]*Table_03[[#This Row],[Flange Thickness tf (in)]]^3/3)+((Table_03[[#This Row],[Depth h (in)]]-Table_03[[#This Row],[Flange Thickness tf (in)]]*2)*Table_03[[#This Row],[Web Thickness tw (in)]]^3)/3</f>
        <v>6.4938916666666664</v>
      </c>
      <c r="AA232" s="181">
        <f>Table_03[[#This Row],[Width w (in)]]*0.5/Table_03[[#This Row],[Flange Thickness tf (in)]]</f>
        <v>7.5294117647058831</v>
      </c>
      <c r="AB232" s="181">
        <f>0.38*SQRT($B$4/Table_03[[#This Row],[Strength (ksi)]])</f>
        <v>9.1516118798821449</v>
      </c>
      <c r="AC232" s="181">
        <f>1*SQRT($B$4/Table_03[[#This Row],[Strength (ksi)]])</f>
        <v>24.083189157584592</v>
      </c>
      <c r="AD232" s="181">
        <f>(PI()^2*$B$4/(12*$B$5/Table_03[[#This Row],[rts]])^2)*SQRT(1+0.078*(Table_03[[#This Row],[J*]]/(Table_03[[#This Row],[Static Parameters Elastic Section Modulus Sx (in3)2]]*Table_03[[#This Row],[ho]])*$B$4/(12*$B$5/Table_03[[#This Row],[rts]])^2))</f>
        <v>469.3595453877038</v>
      </c>
      <c r="AE232" s="181">
        <f>0.69*$B$4/Table_03[[#This Row],[b/t]]^2</f>
        <v>352.95959472656244</v>
      </c>
      <c r="AF232" s="183">
        <f>Table_03[[#This Row],[Strength (ksi)]]*Table_03[[#This Row],[Static Parameters Plastic Section Modulus Zx (in3)]]</f>
        <v>16268.275000000003</v>
      </c>
      <c r="AG232" s="181">
        <f>Table_03[[#This Row],[Mp (k-in)]]-(Table_03[[#This Row],[Mp (k-in)]]-0.7*Table_03[[#This Row],[Strength (ksi)]]*Table_03[[#This Row],[Static Parameters Elastic Section Modulus Sx (in3)2]])*((Table_03[[#This Row],[b/t]]-Table_03[[#This Row],[λpf]])/(Table_03[[#This Row],[λrf]]-Table_03[[#This Row],[λpf]]))</f>
        <v>16929.175668570722</v>
      </c>
      <c r="AH232" s="184">
        <f>0.9*$B$4*Table_03[[#This Row],[kc]]*Table_03[[#This Row],[Static Parameters Elastic Section Modulus Sx (in3)2]]/Table_03[[#This Row],[b/t]]^2</f>
        <v>80621.263297334415</v>
      </c>
      <c r="AI232" s="185" t="str">
        <f>IF(Table_03[[#This Row],[b/t]]&lt;Table_03[[#This Row],[λpf]],"Compact",IF(AND(Table_03[[#This Row],[b/t]]&gt;Table_03[[#This Row],[λpf]],Table_03[[#This Row],[λrf]]&gt;Table_03[[#This Row],[b/t]]),"Non-Compact","Slender"))</f>
        <v>Compact</v>
      </c>
      <c r="AJ232" s="186">
        <f>IF(Table_03[[#This Row],[Controlling LBx]]="Compact",Table_03[[#This Row],[Mp (k-in)]],IF(Table_03[[#This Row],[Controlling LBx]]="Non-Compact",Table_03[[#This Row],[Mnlb,Non-Compact (k-in)]],IF(Table_03[[#This Row],[Controlling LBx]]="Slender",Table_03[[#This Row],[Mnlb,slender (k-in)]],"ERROR")))</f>
        <v>16268.275000000003</v>
      </c>
      <c r="AK232" s="183">
        <f>Table_03[[#This Row],[Mp (k-in)]]-(Table_03[[#This Row],[Mp (k-in)]]-0.7*Table_03[[#This Row],[Strength (ksi)]]*Table_03[[#This Row],[Static Parameters Elastic Section Modulus Sx (in3)2]])*(($B$5-Table_03[[#This Row],[Lp (ft)]])/(Table_03[[#This Row],[Lr]]-Table_03[[#This Row],[Lp (ft)]]))</f>
        <v>17262.082939097647</v>
      </c>
      <c r="AL232" s="184">
        <f>Table_03[[#This Row],[Fcrx]]*Table_03[[#This Row],[Static Parameters Elastic Section Modulus Sx (in3)2]]</f>
        <v>136583.62770782181</v>
      </c>
      <c r="AM232" s="185" t="str">
        <f>IF($B$5&lt;Table_03[[#This Row],[Lp (ft)]],"Yielding Controls",IF(AND($B$5&gt;Table_03[[#This Row],[Lp (ft)]],Table_03[[#This Row],[Lr]]&gt;$B$5),"Mltb,p Controls","Mltb,r Controls"))</f>
        <v>Yielding Controls</v>
      </c>
      <c r="AN232" s="186">
        <f>IF(Table_03[[#This Row],[Controlling LTB]]="Yielding Controls",Table_03[[#This Row],[Mp (k-in)]],IF(Table_03[[#This Row],[Controlling LTB]]="Mltb,p Controls",Table_03[[#This Row],[Mnltbp (k-in)]],IF(Table_03[[#This Row],[Controlling LTB]]="Mltb,r Controls",Table_03[[#This Row],[Mnltbr (k-in)]],"ERROR")))</f>
        <v>16268.275000000003</v>
      </c>
      <c r="AO232" s="183">
        <f>MIN(Table_03[[#This Row],[Strength (ksi)]]*Table_03[[#This Row],[Static Parameters Plastic Section Modulus Zy (in3)]],1.6*Table_03[[#This Row],[Strength (ksi)]]*Table_03[[#This Row],[Static Parameters Elastic Section Modulus Sy (in3)3]])</f>
        <v>3567.0562500000001</v>
      </c>
      <c r="AP232" s="181">
        <f>MIN(Table_03[[#This Row],[Mny (k-in)]],Table_03[[#This Row],[Mny (k-in)]]-(Table_03[[#This Row],[Mny (k-in)]]-0.7*Table_03[[#This Row],[Static Parameters Elastic Section Modulus Sy (in3)3]]*Table_03[[#This Row],[Strength (ksi)]])*((Table_03[[#This Row],[b/t]]-Table_03[[#This Row],[λpf]])/(Table_03[[#This Row],[λrf]]-Table_03[[#This Row],[λpf]])))</f>
        <v>3567.0562500000001</v>
      </c>
      <c r="AQ232" s="184">
        <f>MIN(Table_03[[#This Row],[Mny (k-in)]],Table_03[[#This Row],[Fcry]]*Table_03[[#This Row],[Static Parameters Elastic Section Modulus Sy (in3)3]])</f>
        <v>3567.0562500000001</v>
      </c>
      <c r="AR232" s="185" t="str">
        <f>IF(Table_03[[#This Row],[b/t]]&lt;Table_03[[#This Row],[λpf]],"Compact",IF(AND(Table_03[[#This Row],[b/t]]&gt;Table_03[[#This Row],[λpf]],Table_03[[#This Row],[λrf]]&gt;Table_03[[#This Row],[b/t]]),"Non-Compact","Slender"))</f>
        <v>Compact</v>
      </c>
      <c r="AS232" s="186">
        <f>IF(Table_03[[#This Row],[Controlling Lby]]="Compact",Table_03[[#This Row],[Mny (k-in)]],IF(Table_03[[#This Row],[Controlling Lby]]="Non-Compact",Table_03[[#This Row],[Mlby,Non-Compact (k-in)]],IF(Table_03[[#This Row],[Controlling Lby]]="Slender",Table_03[[#This Row],[Mlby,Slender (k-in)]],"ERROR")))</f>
        <v>3567.0562500000001</v>
      </c>
      <c r="AT232" s="183">
        <f>MIN(Table_03[[#This Row],[LBx]],Table_03[[#This Row],[LTB]],Table_03[[#This Row],[Mp (k-in)]])</f>
        <v>16268.275000000003</v>
      </c>
      <c r="AU232" s="181">
        <f>Table_03[[#This Row],[Mp (k-in)]]</f>
        <v>16268.275000000003</v>
      </c>
      <c r="AV232" s="181">
        <f>MIN(Table_03[[#This Row],[LBy]],Table_03[[#This Row],[Mny (k-in)]])</f>
        <v>3567.0562500000001</v>
      </c>
      <c r="AW232" s="187">
        <f>Table_03[[#This Row],[Mny (k-in)]]</f>
        <v>3567.0562500000001</v>
      </c>
      <c r="AX232" s="165">
        <f>SQRT(((Table_03[[#This Row],[Sectional Area (in2)]]-(Table_03[[#This Row],[Flange Thickness tf (in)]]*Table_03[[#This Row],[Width w (in)]]*2+Table_03[[#This Row],[Web Thickness tw (in)]]*((Table_03[[#This Row],[Depth h (in)]]-2*Table_03[[#This Row],[Flange Thickness tf (in)]]))))/4)/(1-PI()/4))</f>
        <v>0.49461004764569916</v>
      </c>
      <c r="AY232" s="165">
        <f>IF(4/SQRT((Table_03[[#This Row],[Depth h (in)]]-Table_03[[#This Row],[Flange Thickness tf (in)]]*2)/Table_03[[#This Row],[Web Thickness tw (in)]])&lt;0.35,0.35,IF(4/SQRT(Table_03[[#This Row],[Depth h (in)]]/Table_03[[#This Row],[Web Thickness tw (in)]])&gt;0.76,0.76,4/SQRT(Table_03[[#This Row],[Depth h (in)]]/Table_03[[#This Row],[Web Thickness tw (in)]])))</f>
        <v>0.6017806225656267</v>
      </c>
      <c r="AZ232" s="165"/>
    </row>
    <row r="233" spans="1:52" x14ac:dyDescent="0.3">
      <c r="A233" s="188" t="s">
        <v>325</v>
      </c>
      <c r="B233" s="189">
        <v>24.5</v>
      </c>
      <c r="C233" s="189">
        <v>12.9</v>
      </c>
      <c r="D233" s="189">
        <v>0.60499999999999998</v>
      </c>
      <c r="E233" s="189">
        <v>0.96</v>
      </c>
      <c r="F233" s="190">
        <v>38.5</v>
      </c>
      <c r="G233" s="189">
        <v>131</v>
      </c>
      <c r="H233" s="190">
        <v>4020</v>
      </c>
      <c r="I233" s="190">
        <v>340</v>
      </c>
      <c r="J233" s="190">
        <f>Table_03[[#This Row],[Width w (in)]]*Table_03[[#This Row],[Flange Thickness tf (in)]]*(Table_03[[#This Row],[Depth h (in)]]-Table_03[[#This Row],[Flange Thickness tf (in)]])+0.25*Table_03[[#This Row],[Web Thickness tw (in)]]*(Table_03[[#This Row],[Depth h (in)]]-2*Table_03[[#This Row],[Flange Thickness tf (in)]])^2</f>
        <v>368.63514049999998</v>
      </c>
      <c r="K233" s="190">
        <f>(Table_03[[#This Row],[Width w (in)]]^2*Table_03[[#This Row],[Flange Thickness tf (in)]])/2+0.25*Table_03[[#This Row],[Web Thickness tw (in)]]^2*(Table_03[[#This Row],[Depth h (in)]]-2*Table_03[[#This Row],[Flange Thickness tf (in)]])</f>
        <v>81.943011124999984</v>
      </c>
      <c r="L233" s="190">
        <v>329</v>
      </c>
      <c r="M233" s="190">
        <v>53</v>
      </c>
      <c r="N233" s="191">
        <v>50</v>
      </c>
      <c r="O233" s="169">
        <f>SQRT(Table_03[[#This Row],[Static Parameters Moment of Inertia Ix (in4)]]/Table_03[[#This Row],[Sectional Area (in2)]])</f>
        <v>10.218394414759318</v>
      </c>
      <c r="P233" s="190">
        <f>SQRT(Table_03[[#This Row],[Static Parameters Moment of Inertia Iy (in4)]]/Table_03[[#This Row],[Sectional Area (in2)]])</f>
        <v>2.9717282566158083</v>
      </c>
      <c r="Q233" s="190">
        <f>($B$6*$B$5*12)/Table_03[[#This Row],[ry (in)2]]</f>
        <v>60.41938713618142</v>
      </c>
      <c r="R233" s="190">
        <f>(PI()^2*$B$4)/(Table_03[[#This Row],[KL/ry]]^2)</f>
        <v>78.405244216799758</v>
      </c>
      <c r="S233" s="190">
        <f>IF(Table_03[[#This Row],[Strength (ksi)]]/Table_03[[#This Row],[Fe,y]]&lt;2.25,(0.658^(Table_03[[#This Row],[Strength (ksi)]]/Table_03[[#This Row],[Fe,y]])*Table_03[[#This Row],[Strength (ksi)]]),0.877*Table_03[[#This Row],[Fe,y]])</f>
        <v>38.28691679613727</v>
      </c>
      <c r="T233" s="190">
        <f>Table_03[[#This Row],[Fcr,y]]*Table_03[[#This Row],[Sectional Area (in2)]]</f>
        <v>1474.0462966512848</v>
      </c>
      <c r="U233" s="190">
        <f>1.76*Table_03[[#This Row],[ry (in)2]]*SQRT($B$4/Table_03[[#This Row],[Strength (ksi)]])/12</f>
        <v>10.496741746922579</v>
      </c>
      <c r="V23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31.697357923965896</v>
      </c>
      <c r="W233" s="190">
        <f>Table_03[[#This Row],[Depth h (in)]]-Table_03[[#This Row],[Flange Thickness tf (in)]]</f>
        <v>23.54</v>
      </c>
      <c r="X233" s="190">
        <f>(Table_03[[#This Row],[Static Parameters Moment of Inertia Iy (in4)]]*Table_03[[#This Row],[ho]]^2)/4</f>
        <v>47101.185999999994</v>
      </c>
      <c r="Y233" s="190">
        <f>SQRT((SQRT(Table_03[[#This Row],[Static Parameters Moment of Inertia Iy (in4)]]*Table_03[[#This Row],[Cw*]])/Table_03[[#This Row],[Static Parameters Elastic Section Modulus Sx (in3)2]]))</f>
        <v>3.4876246695804669</v>
      </c>
      <c r="Z233" s="190">
        <f>(2*Table_03[[#This Row],[Width w (in)]]*Table_03[[#This Row],[Flange Thickness tf (in)]]^3/3)+((Table_03[[#This Row],[Depth h (in)]]-Table_03[[#This Row],[Flange Thickness tf (in)]]*2)*Table_03[[#This Row],[Web Thickness tw (in)]]^3)/3</f>
        <v>9.2754732408333336</v>
      </c>
      <c r="AA233" s="190">
        <f>Table_03[[#This Row],[Width w (in)]]*0.5/Table_03[[#This Row],[Flange Thickness tf (in)]]</f>
        <v>6.71875</v>
      </c>
      <c r="AB233" s="190">
        <f>0.38*SQRT($B$4/Table_03[[#This Row],[Strength (ksi)]])</f>
        <v>9.1516118798821449</v>
      </c>
      <c r="AC233" s="190">
        <f>1*SQRT($B$4/Table_03[[#This Row],[Strength (ksi)]])</f>
        <v>24.083189157584592</v>
      </c>
      <c r="AD233" s="190">
        <f>(PI()^2*$B$4/(12*$B$5/Table_03[[#This Row],[rts]])^2)*SQRT(1+0.078*(Table_03[[#This Row],[J*]]/(Table_03[[#This Row],[Static Parameters Elastic Section Modulus Sx (in3)2]]*Table_03[[#This Row],[ho]])*$B$4/(12*$B$5/Table_03[[#This Row],[rts]])^2))</f>
        <v>477.31120277604754</v>
      </c>
      <c r="AE233" s="190">
        <f>0.69*$B$4/Table_03[[#This Row],[b/t]]^2</f>
        <v>443.27182260681451</v>
      </c>
      <c r="AF233" s="192">
        <f>Table_03[[#This Row],[Strength (ksi)]]*Table_03[[#This Row],[Static Parameters Plastic Section Modulus Zx (in3)]]</f>
        <v>18431.757024999999</v>
      </c>
      <c r="AG233" s="190">
        <f>Table_03[[#This Row],[Mp (k-in)]]-(Table_03[[#This Row],[Mp (k-in)]]-0.7*Table_03[[#This Row],[Strength (ksi)]]*Table_03[[#This Row],[Static Parameters Elastic Section Modulus Sx (in3)2]])*((Table_03[[#This Row],[b/t]]-Table_03[[#This Row],[λpf]])/(Table_03[[#This Row],[λrf]]-Table_03[[#This Row],[λpf]]))</f>
        <v>19558.732038125927</v>
      </c>
      <c r="AH233" s="193">
        <f>0.9*$B$4*Table_03[[#This Row],[kc]]*Table_03[[#This Row],[Static Parameters Elastic Section Modulus Sx (in3)2]]/Table_03[[#This Row],[b/t]]^2</f>
        <v>119567.75597620335</v>
      </c>
      <c r="AI233" s="194" t="str">
        <f>IF(Table_03[[#This Row],[b/t]]&lt;Table_03[[#This Row],[λpf]],"Compact",IF(AND(Table_03[[#This Row],[b/t]]&gt;Table_03[[#This Row],[λpf]],Table_03[[#This Row],[λrf]]&gt;Table_03[[#This Row],[b/t]]),"Non-Compact","Slender"))</f>
        <v>Compact</v>
      </c>
      <c r="AJ233" s="195">
        <f>IF(Table_03[[#This Row],[Controlling LBx]]="Compact",Table_03[[#This Row],[Mp (k-in)]],IF(Table_03[[#This Row],[Controlling LBx]]="Non-Compact",Table_03[[#This Row],[Mnlb,Non-Compact (k-in)]],IF(Table_03[[#This Row],[Controlling LBx]]="Slender",Table_03[[#This Row],[Mnlb,slender (k-in)]],"ERROR")))</f>
        <v>18431.757024999999</v>
      </c>
      <c r="AK233" s="192">
        <f>Table_03[[#This Row],[Mp (k-in)]]-(Table_03[[#This Row],[Mp (k-in)]]-0.7*Table_03[[#This Row],[Strength (ksi)]]*Table_03[[#This Row],[Static Parameters Elastic Section Modulus Sx (in3)2]])*(($B$5-Table_03[[#This Row],[Lp (ft)]])/(Table_03[[#This Row],[Lr]]-Table_03[[#This Row],[Lp (ft)]]))</f>
        <v>19531.796675723253</v>
      </c>
      <c r="AL233" s="196">
        <f>Table_03[[#This Row],[Fcrx]]*Table_03[[#This Row],[Static Parameters Elastic Section Modulus Sx (in3)2]]</f>
        <v>157035.38571331964</v>
      </c>
      <c r="AM233" s="197" t="str">
        <f>IF($B$5&lt;Table_03[[#This Row],[Lp (ft)]],"Yielding Controls",IF(AND($B$5&gt;Table_03[[#This Row],[Lp (ft)]],Table_03[[#This Row],[Lr]]&gt;$B$5),"Mltb,p Controls","Mltb,r Controls"))</f>
        <v>Yielding Controls</v>
      </c>
      <c r="AN233" s="198">
        <f>IF(Table_03[[#This Row],[Controlling LTB]]="Yielding Controls",Table_03[[#This Row],[Mp (k-in)]],IF(Table_03[[#This Row],[Controlling LTB]]="Mltb,p Controls",Table_03[[#This Row],[Mnltbp (k-in)]],IF(Table_03[[#This Row],[Controlling LTB]]="Mltb,r Controls",Table_03[[#This Row],[Mnltbr (k-in)]],"ERROR")))</f>
        <v>18431.757024999999</v>
      </c>
      <c r="AO233" s="199">
        <f>MIN(Table_03[[#This Row],[Strength (ksi)]]*Table_03[[#This Row],[Static Parameters Plastic Section Modulus Zy (in3)]],1.6*Table_03[[#This Row],[Strength (ksi)]]*Table_03[[#This Row],[Static Parameters Elastic Section Modulus Sy (in3)3]])</f>
        <v>4097.1505562499988</v>
      </c>
      <c r="AP233" s="169">
        <f>MIN(Table_03[[#This Row],[Mny (k-in)]],Table_03[[#This Row],[Mny (k-in)]]-(Table_03[[#This Row],[Mny (k-in)]]-0.7*Table_03[[#This Row],[Static Parameters Elastic Section Modulus Sy (in3)3]]*Table_03[[#This Row],[Strength (ksi)]])*((Table_03[[#This Row],[b/t]]-Table_03[[#This Row],[λpf]])/(Table_03[[#This Row],[λrf]]-Table_03[[#This Row],[λpf]])))</f>
        <v>4097.1505562499988</v>
      </c>
      <c r="AQ233" s="196">
        <f>MIN(Table_03[[#This Row],[Mny (k-in)]],Table_03[[#This Row],[Fcry]]*Table_03[[#This Row],[Static Parameters Elastic Section Modulus Sy (in3)3]])</f>
        <v>4097.1505562499988</v>
      </c>
      <c r="AR233" s="197" t="str">
        <f>IF(Table_03[[#This Row],[b/t]]&lt;Table_03[[#This Row],[λpf]],"Compact",IF(AND(Table_03[[#This Row],[b/t]]&gt;Table_03[[#This Row],[λpf]],Table_03[[#This Row],[λrf]]&gt;Table_03[[#This Row],[b/t]]),"Non-Compact","Slender"))</f>
        <v>Compact</v>
      </c>
      <c r="AS233" s="198">
        <f>IF(Table_03[[#This Row],[Controlling Lby]]="Compact",Table_03[[#This Row],[Mny (k-in)]],IF(Table_03[[#This Row],[Controlling Lby]]="Non-Compact",Table_03[[#This Row],[Mlby,Non-Compact (k-in)]],IF(Table_03[[#This Row],[Controlling Lby]]="Slender",Table_03[[#This Row],[Mlby,Slender (k-in)]],"ERROR")))</f>
        <v>4097.1505562499988</v>
      </c>
      <c r="AT233" s="199">
        <f>MIN(Table_03[[#This Row],[LBx]],Table_03[[#This Row],[LTB]],Table_03[[#This Row],[Mp (k-in)]])</f>
        <v>18431.757024999999</v>
      </c>
      <c r="AU233" s="169">
        <f>Table_03[[#This Row],[Mp (k-in)]]</f>
        <v>18431.757024999999</v>
      </c>
      <c r="AV233" s="169">
        <f>MIN(Table_03[[#This Row],[LBy]],Table_03[[#This Row],[Mny (k-in)]])</f>
        <v>4097.1505562499988</v>
      </c>
      <c r="AW233" s="200">
        <f>Table_03[[#This Row],[Mny (k-in)]]</f>
        <v>4097.1505562499988</v>
      </c>
      <c r="AX233" s="165">
        <f>SQRT(((Table_03[[#This Row],[Sectional Area (in2)]]-(Table_03[[#This Row],[Flange Thickness tf (in)]]*Table_03[[#This Row],[Width w (in)]]*2+Table_03[[#This Row],[Web Thickness tw (in)]]*((Table_03[[#This Row],[Depth h (in)]]-2*Table_03[[#This Row],[Flange Thickness tf (in)]]))))/4)/(1-PI()/4))</f>
        <v>0.28779820936106781</v>
      </c>
      <c r="AY233" s="165">
        <f>IF(4/SQRT((Table_03[[#This Row],[Depth h (in)]]-Table_03[[#This Row],[Flange Thickness tf (in)]]*2)/Table_03[[#This Row],[Web Thickness tw (in)]])&lt;0.35,0.35,IF(4/SQRT(Table_03[[#This Row],[Depth h (in)]]/Table_03[[#This Row],[Web Thickness tw (in)]])&gt;0.76,0.76,4/SQRT(Table_03[[#This Row],[Depth h (in)]]/Table_03[[#This Row],[Web Thickness tw (in)]])))</f>
        <v>0.62857142857142856</v>
      </c>
      <c r="AZ233" s="165"/>
    </row>
    <row r="234" spans="1:52" ht="14.4" thickBot="1" x14ac:dyDescent="0.35">
      <c r="A234" s="201" t="s">
        <v>326</v>
      </c>
      <c r="B234" s="202">
        <v>24.7</v>
      </c>
      <c r="C234" s="202">
        <v>12.9</v>
      </c>
      <c r="D234" s="202">
        <v>0.65</v>
      </c>
      <c r="E234" s="202">
        <v>1.0900000000000001</v>
      </c>
      <c r="F234" s="203">
        <v>43</v>
      </c>
      <c r="G234" s="204">
        <v>146</v>
      </c>
      <c r="H234" s="203">
        <v>4580</v>
      </c>
      <c r="I234" s="203">
        <v>391</v>
      </c>
      <c r="J234" s="203">
        <f>Table_03[[#This Row],[Width w (in)]]*Table_03[[#This Row],[Flange Thickness tf (in)]]*(Table_03[[#This Row],[Depth h (in)]]-Table_03[[#This Row],[Flange Thickness tf (in)]])+0.25*Table_03[[#This Row],[Web Thickness tw (in)]]*(Table_03[[#This Row],[Depth h (in)]]-2*Table_03[[#This Row],[Flange Thickness tf (in)]])^2</f>
        <v>414.39215000000007</v>
      </c>
      <c r="K234" s="203">
        <f>(Table_03[[#This Row],[Width w (in)]]^2*Table_03[[#This Row],[Flange Thickness tf (in)]])/2+0.25*Table_03[[#This Row],[Web Thickness tw (in)]]^2*(Table_03[[#This Row],[Depth h (in)]]-2*Table_03[[#This Row],[Flange Thickness tf (in)]])</f>
        <v>93.072125</v>
      </c>
      <c r="L234" s="203">
        <v>371</v>
      </c>
      <c r="M234" s="203">
        <v>60.5</v>
      </c>
      <c r="N234" s="205">
        <v>50</v>
      </c>
      <c r="O234" s="206">
        <f>SQRT(Table_03[[#This Row],[Static Parameters Moment of Inertia Ix (in4)]]/Table_03[[#This Row],[Sectional Area (in2)]])</f>
        <v>10.320447078832231</v>
      </c>
      <c r="P234" s="203">
        <f>SQRT(Table_03[[#This Row],[Static Parameters Moment of Inertia Iy (in4)]]/Table_03[[#This Row],[Sectional Area (in2)]])</f>
        <v>3.0154640199833183</v>
      </c>
      <c r="Q234" s="203">
        <f>($B$6*$B$5*12)/Table_03[[#This Row],[ry (in)2]]</f>
        <v>59.543074899959606</v>
      </c>
      <c r="R234" s="203">
        <f>(PI()^2*$B$4)/(Table_03[[#This Row],[KL/ry]]^2)</f>
        <v>80.73005087671649</v>
      </c>
      <c r="S234" s="203">
        <f>IF(Table_03[[#This Row],[Strength (ksi)]]/Table_03[[#This Row],[Fe,y]]&lt;2.25,(0.658^(Table_03[[#This Row],[Strength (ksi)]]/Table_03[[#This Row],[Fe,y]])*Table_03[[#This Row],[Strength (ksi)]]),0.877*Table_03[[#This Row],[Fe,y]])</f>
        <v>38.582340108488509</v>
      </c>
      <c r="T234" s="203">
        <f>Table_03[[#This Row],[Fcr,y]]*Table_03[[#This Row],[Sectional Area (in2)]]</f>
        <v>1659.0406246650059</v>
      </c>
      <c r="U234" s="203">
        <f>1.76*Table_03[[#This Row],[ry (in)2]]*SQRT($B$4/Table_03[[#This Row],[Strength (ksi)]])/12</f>
        <v>10.651225257368475</v>
      </c>
      <c r="V23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33.540695245607786</v>
      </c>
      <c r="W234" s="203">
        <f>Table_03[[#This Row],[Depth h (in)]]-Table_03[[#This Row],[Flange Thickness tf (in)]]</f>
        <v>23.61</v>
      </c>
      <c r="X234" s="203">
        <f>(Table_03[[#This Row],[Static Parameters Moment of Inertia Iy (in4)]]*Table_03[[#This Row],[ho]]^2)/4</f>
        <v>54488.987775000001</v>
      </c>
      <c r="Y234" s="203">
        <f>SQRT((SQRT(Table_03[[#This Row],[Static Parameters Moment of Inertia Iy (in4)]]*Table_03[[#This Row],[Cw*]])/Table_03[[#This Row],[Static Parameters Elastic Section Modulus Sx (in3)2]]))</f>
        <v>3.5272351977379857</v>
      </c>
      <c r="Z234" s="203">
        <f>(2*Table_03[[#This Row],[Width w (in)]]*Table_03[[#This Row],[Flange Thickness tf (in)]]^3/3)+((Table_03[[#This Row],[Depth h (in)]]-Table_03[[#This Row],[Flange Thickness tf (in)]]*2)*Table_03[[#This Row],[Web Thickness tw (in)]]^3)/3</f>
        <v>13.198767733333336</v>
      </c>
      <c r="AA234" s="203">
        <f>Table_03[[#This Row],[Width w (in)]]*0.5/Table_03[[#This Row],[Flange Thickness tf (in)]]</f>
        <v>5.9174311926605503</v>
      </c>
      <c r="AB234" s="203">
        <f>0.38*SQRT($B$4/Table_03[[#This Row],[Strength (ksi)]])</f>
        <v>9.1516118798821449</v>
      </c>
      <c r="AC234" s="203">
        <f>1*SQRT($B$4/Table_03[[#This Row],[Strength (ksi)]])</f>
        <v>24.083189157584592</v>
      </c>
      <c r="AD234" s="203">
        <f>(PI()^2*$B$4/(12*$B$5/Table_03[[#This Row],[rts]])^2)*SQRT(1+0.078*(Table_03[[#This Row],[J*]]/(Table_03[[#This Row],[Static Parameters Elastic Section Modulus Sx (in3)2]]*Table_03[[#This Row],[ho]])*$B$4/(12*$B$5/Table_03[[#This Row],[rts]])^2))</f>
        <v>488.52900662815307</v>
      </c>
      <c r="AE234" s="203">
        <f>0.69*$B$4/Table_03[[#This Row],[b/t]]^2</f>
        <v>571.4531819001262</v>
      </c>
      <c r="AF234" s="207">
        <f>Table_03[[#This Row],[Strength (ksi)]]*Table_03[[#This Row],[Static Parameters Plastic Section Modulus Zx (in3)]]</f>
        <v>20719.607500000002</v>
      </c>
      <c r="AG234" s="203">
        <f>Table_03[[#This Row],[Mp (k-in)]]-(Table_03[[#This Row],[Mp (k-in)]]-0.7*Table_03[[#This Row],[Strength (ksi)]]*Table_03[[#This Row],[Static Parameters Elastic Section Modulus Sx (in3)2]])*((Table_03[[#This Row],[b/t]]-Table_03[[#This Row],[λpf]])/(Table_03[[#This Row],[λrf]]-Table_03[[#This Row],[λpf]]))</f>
        <v>22394.924027818852</v>
      </c>
      <c r="AH234" s="208">
        <f>0.9*$B$4*Table_03[[#This Row],[kc]]*Table_03[[#This Row],[Static Parameters Elastic Section Modulus Sx (in3)2]]/Table_03[[#This Row],[b/t]]^2</f>
        <v>179438.72577373224</v>
      </c>
      <c r="AI234" s="209" t="str">
        <f>IF(Table_03[[#This Row],[b/t]]&lt;Table_03[[#This Row],[λpf]],"Compact",IF(AND(Table_03[[#This Row],[b/t]]&gt;Table_03[[#This Row],[λpf]],Table_03[[#This Row],[λrf]]&gt;Table_03[[#This Row],[b/t]]),"Non-Compact","Slender"))</f>
        <v>Compact</v>
      </c>
      <c r="AJ234" s="210">
        <f>IF(Table_03[[#This Row],[Controlling LBx]]="Compact",Table_03[[#This Row],[Mp (k-in)]],IF(Table_03[[#This Row],[Controlling LBx]]="Non-Compact",Table_03[[#This Row],[Mnlb,Non-Compact (k-in)]],IF(Table_03[[#This Row],[Controlling LBx]]="Slender",Table_03[[#This Row],[Mnlb,slender (k-in)]],"ERROR")))</f>
        <v>20719.607500000002</v>
      </c>
      <c r="AK234" s="207">
        <f>Table_03[[#This Row],[Mp (k-in)]]-(Table_03[[#This Row],[Mp (k-in)]]-0.7*Table_03[[#This Row],[Strength (ksi)]]*Table_03[[#This Row],[Static Parameters Elastic Section Modulus Sx (in3)2]])*(($B$5-Table_03[[#This Row],[Lp (ft)]])/(Table_03[[#This Row],[Lr]]-Table_03[[#This Row],[Lp (ft)]]))</f>
        <v>21911.158389397839</v>
      </c>
      <c r="AL234" s="211">
        <f>Table_03[[#This Row],[Fcrx]]*Table_03[[#This Row],[Static Parameters Elastic Section Modulus Sx (in3)2]]</f>
        <v>181244.26145904479</v>
      </c>
      <c r="AM234" s="212" t="str">
        <f>IF($B$5&lt;Table_03[[#This Row],[Lp (ft)]],"Yielding Controls",IF(AND($B$5&gt;Table_03[[#This Row],[Lp (ft)]],Table_03[[#This Row],[Lr]]&gt;$B$5),"Mltb,p Controls","Mltb,r Controls"))</f>
        <v>Yielding Controls</v>
      </c>
      <c r="AN234" s="213">
        <f>IF(Table_03[[#This Row],[Controlling LTB]]="Yielding Controls",Table_03[[#This Row],[Mp (k-in)]],IF(Table_03[[#This Row],[Controlling LTB]]="Mltb,p Controls",Table_03[[#This Row],[Mnltbp (k-in)]],IF(Table_03[[#This Row],[Controlling LTB]]="Mltb,r Controls",Table_03[[#This Row],[Mnltbr (k-in)]],"ERROR")))</f>
        <v>20719.607500000002</v>
      </c>
      <c r="AO234" s="214">
        <f>MIN(Table_03[[#This Row],[Strength (ksi)]]*Table_03[[#This Row],[Static Parameters Plastic Section Modulus Zy (in3)]],1.6*Table_03[[#This Row],[Strength (ksi)]]*Table_03[[#This Row],[Static Parameters Elastic Section Modulus Sy (in3)3]])</f>
        <v>4653.6062499999998</v>
      </c>
      <c r="AP234" s="206">
        <f>MIN(Table_03[[#This Row],[Mny (k-in)]],Table_03[[#This Row],[Mny (k-in)]]-(Table_03[[#This Row],[Mny (k-in)]]-0.7*Table_03[[#This Row],[Static Parameters Elastic Section Modulus Sy (in3)3]]*Table_03[[#This Row],[Strength (ksi)]])*((Table_03[[#This Row],[b/t]]-Table_03[[#This Row],[λpf]])/(Table_03[[#This Row],[λrf]]-Table_03[[#This Row],[λpf]])))</f>
        <v>4653.6062499999998</v>
      </c>
      <c r="AQ234" s="211">
        <f>MIN(Table_03[[#This Row],[Mny (k-in)]],Table_03[[#This Row],[Fcry]]*Table_03[[#This Row],[Static Parameters Elastic Section Modulus Sy (in3)3]])</f>
        <v>4653.6062499999998</v>
      </c>
      <c r="AR234" s="212" t="str">
        <f>IF(Table_03[[#This Row],[b/t]]&lt;Table_03[[#This Row],[λpf]],"Compact",IF(AND(Table_03[[#This Row],[b/t]]&gt;Table_03[[#This Row],[λpf]],Table_03[[#This Row],[λrf]]&gt;Table_03[[#This Row],[b/t]]),"Non-Compact","Slender"))</f>
        <v>Compact</v>
      </c>
      <c r="AS234" s="213">
        <f>IF(Table_03[[#This Row],[Controlling Lby]]="Compact",Table_03[[#This Row],[Mny (k-in)]],IF(Table_03[[#This Row],[Controlling Lby]]="Non-Compact",Table_03[[#This Row],[Mlby,Non-Compact (k-in)]],IF(Table_03[[#This Row],[Controlling Lby]]="Slender",Table_03[[#This Row],[Mlby,Slender (k-in)]],"ERROR")))</f>
        <v>4653.6062499999998</v>
      </c>
      <c r="AT234" s="214">
        <f>MIN(Table_03[[#This Row],[LBx]],Table_03[[#This Row],[LTB]],Table_03[[#This Row],[Mp (k-in)]])</f>
        <v>20719.607500000002</v>
      </c>
      <c r="AU234" s="206">
        <f>Table_03[[#This Row],[Mp (k-in)]]</f>
        <v>20719.607500000002</v>
      </c>
      <c r="AV234" s="206">
        <f>MIN(Table_03[[#This Row],[LBy]],Table_03[[#This Row],[Mny (k-in)]])</f>
        <v>4653.6062499999998</v>
      </c>
      <c r="AW234" s="215">
        <f>Table_03[[#This Row],[Mny (k-in)]]</f>
        <v>4653.6062499999998</v>
      </c>
      <c r="AX234" s="165">
        <f>SQRT(((Table_03[[#This Row],[Sectional Area (in2)]]-(Table_03[[#This Row],[Flange Thickness tf (in)]]*Table_03[[#This Row],[Width w (in)]]*2+Table_03[[#This Row],[Web Thickness tw (in)]]*((Table_03[[#This Row],[Depth h (in)]]-2*Table_03[[#This Row],[Flange Thickness tf (in)]]))))/4)/(1-PI()/4))</f>
        <v>0.52876038238461398</v>
      </c>
      <c r="AY234" s="165">
        <f>IF(4/SQRT((Table_03[[#This Row],[Depth h (in)]]-Table_03[[#This Row],[Flange Thickness tf (in)]]*2)/Table_03[[#This Row],[Web Thickness tw (in)]])&lt;0.35,0.35,IF(4/SQRT(Table_03[[#This Row],[Depth h (in)]]/Table_03[[#This Row],[Web Thickness tw (in)]])&gt;0.76,0.76,4/SQRT(Table_03[[#This Row],[Depth h (in)]]/Table_03[[#This Row],[Web Thickness tw (in)]])))</f>
        <v>0.64888568452305018</v>
      </c>
      <c r="AZ234" s="165"/>
    </row>
    <row r="235" spans="1:52" x14ac:dyDescent="0.3">
      <c r="A235" s="179" t="s">
        <v>327</v>
      </c>
      <c r="B235" s="180">
        <v>25</v>
      </c>
      <c r="C235" s="180">
        <v>13</v>
      </c>
      <c r="D235" s="180">
        <v>0.70499999999999996</v>
      </c>
      <c r="E235" s="180">
        <v>1.22</v>
      </c>
      <c r="F235" s="181">
        <v>47.7</v>
      </c>
      <c r="G235" s="180">
        <v>162</v>
      </c>
      <c r="H235" s="180">
        <v>5170</v>
      </c>
      <c r="I235" s="180">
        <v>443</v>
      </c>
      <c r="J235" s="181">
        <f>Table_03[[#This Row],[Width w (in)]]*Table_03[[#This Row],[Flange Thickness tf (in)]]*(Table_03[[#This Row],[Depth h (in)]]-Table_03[[#This Row],[Flange Thickness tf (in)]])+0.25*Table_03[[#This Row],[Web Thickness tw (in)]]*(Table_03[[#This Row],[Depth h (in)]]-2*Table_03[[#This Row],[Flange Thickness tf (in)]])^2</f>
        <v>466.85387199999997</v>
      </c>
      <c r="K235" s="181">
        <f>(Table_03[[#This Row],[Width w (in)]]^2*Table_03[[#This Row],[Flange Thickness tf (in)]])/2+0.25*Table_03[[#This Row],[Web Thickness tw (in)]]^2*(Table_03[[#This Row],[Depth h (in)]]-2*Table_03[[#This Row],[Flange Thickness tf (in)]])</f>
        <v>105.893221</v>
      </c>
      <c r="L235" s="181">
        <v>414</v>
      </c>
      <c r="M235" s="181">
        <v>68.400000000000006</v>
      </c>
      <c r="N235" s="182">
        <v>50</v>
      </c>
      <c r="O235" s="181">
        <f>SQRT(Table_03[[#This Row],[Static Parameters Moment of Inertia Ix (in4)]]/Table_03[[#This Row],[Sectional Area (in2)]])</f>
        <v>10.41084743115568</v>
      </c>
      <c r="P235" s="181">
        <f>SQRT(Table_03[[#This Row],[Static Parameters Moment of Inertia Iy (in4)]]/Table_03[[#This Row],[Sectional Area (in2)]])</f>
        <v>3.0474926972909921</v>
      </c>
      <c r="Q235" s="181">
        <f>($B$6*$B$5*12)/Table_03[[#This Row],[ry (in)2]]</f>
        <v>58.9172863841831</v>
      </c>
      <c r="R235" s="181">
        <f>(PI()^2*$B$4)/(Table_03[[#This Row],[KL/ry]]^2)</f>
        <v>82.454103017611786</v>
      </c>
      <c r="S235" s="181">
        <f>IF(Table_03[[#This Row],[Strength (ksi)]]/Table_03[[#This Row],[Fe,y]]&lt;2.25,(0.658^(Table_03[[#This Row],[Strength (ksi)]]/Table_03[[#This Row],[Fe,y]])*Table_03[[#This Row],[Strength (ksi)]]),0.877*Table_03[[#This Row],[Fe,y]])</f>
        <v>38.792034445599072</v>
      </c>
      <c r="T235" s="181">
        <f>Table_03[[#This Row],[Fcr,y]]*Table_03[[#This Row],[Sectional Area (in2)]]</f>
        <v>1850.3800430550759</v>
      </c>
      <c r="U235" s="181">
        <f>1.76*Table_03[[#This Row],[ry (in)2]]*SQRT($B$4/Table_03[[#This Row],[Strength (ksi)]])/12</f>
        <v>10.764356985831775</v>
      </c>
      <c r="V23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35.672322925971834</v>
      </c>
      <c r="W235" s="181">
        <f>Table_03[[#This Row],[Depth h (in)]]-Table_03[[#This Row],[Flange Thickness tf (in)]]</f>
        <v>23.78</v>
      </c>
      <c r="X235" s="181">
        <f>(Table_03[[#This Row],[Static Parameters Moment of Inertia Iy (in4)]]*Table_03[[#This Row],[ho]]^2)/4</f>
        <v>62627.840300000011</v>
      </c>
      <c r="Y235" s="181">
        <f>SQRT((SQRT(Table_03[[#This Row],[Static Parameters Moment of Inertia Iy (in4)]]*Table_03[[#This Row],[Cw*]])/Table_03[[#This Row],[Static Parameters Elastic Section Modulus Sx (in3)2]]))</f>
        <v>3.5669138475908366</v>
      </c>
      <c r="Z235" s="181">
        <f>(2*Table_03[[#This Row],[Width w (in)]]*Table_03[[#This Row],[Flange Thickness tf (in)]]^3/3)+((Table_03[[#This Row],[Depth h (in)]]-Table_03[[#This Row],[Flange Thickness tf (in)]]*2)*Table_03[[#This Row],[Web Thickness tw (in)]]^3)/3</f>
        <v>18.372377073333332</v>
      </c>
      <c r="AA235" s="181">
        <f>Table_03[[#This Row],[Width w (in)]]*0.5/Table_03[[#This Row],[Flange Thickness tf (in)]]</f>
        <v>5.3278688524590168</v>
      </c>
      <c r="AB235" s="181">
        <f>0.38*SQRT($B$4/Table_03[[#This Row],[Strength (ksi)]])</f>
        <v>9.1516118798821449</v>
      </c>
      <c r="AC235" s="181">
        <f>1*SQRT($B$4/Table_03[[#This Row],[Strength (ksi)]])</f>
        <v>24.083189157584592</v>
      </c>
      <c r="AD235" s="181">
        <f>(PI()^2*$B$4/(12*$B$5/Table_03[[#This Row],[rts]])^2)*SQRT(1+0.078*(Table_03[[#This Row],[J*]]/(Table_03[[#This Row],[Static Parameters Elastic Section Modulus Sx (in3)2]]*Table_03[[#This Row],[ho]])*$B$4/(12*$B$5/Table_03[[#This Row],[rts]])^2))</f>
        <v>499.96575806362551</v>
      </c>
      <c r="AE235" s="181">
        <f>0.69*$B$4/Table_03[[#This Row],[b/t]]^2</f>
        <v>704.92033136094665</v>
      </c>
      <c r="AF235" s="183">
        <f>Table_03[[#This Row],[Strength (ksi)]]*Table_03[[#This Row],[Static Parameters Plastic Section Modulus Zx (in3)]]</f>
        <v>23342.693599999999</v>
      </c>
      <c r="AG235" s="181">
        <f>Table_03[[#This Row],[Mp (k-in)]]-(Table_03[[#This Row],[Mp (k-in)]]-0.7*Table_03[[#This Row],[Strength (ksi)]]*Table_03[[#This Row],[Static Parameters Elastic Section Modulus Sx (in3)2]])*((Table_03[[#This Row],[b/t]]-Table_03[[#This Row],[λpf]])/(Table_03[[#This Row],[λrf]]-Table_03[[#This Row],[λpf]]))</f>
        <v>25609.729747444562</v>
      </c>
      <c r="AH235" s="184">
        <f>0.9*$B$4*Table_03[[#This Row],[kc]]*Table_03[[#This Row],[Static Parameters Elastic Section Modulus Sx (in3)2]]/Table_03[[#This Row],[b/t]]^2</f>
        <v>255692.70757702159</v>
      </c>
      <c r="AI235" s="185" t="str">
        <f>IF(Table_03[[#This Row],[b/t]]&lt;Table_03[[#This Row],[λpf]],"Compact",IF(AND(Table_03[[#This Row],[b/t]]&gt;Table_03[[#This Row],[λpf]],Table_03[[#This Row],[λrf]]&gt;Table_03[[#This Row],[b/t]]),"Non-Compact","Slender"))</f>
        <v>Compact</v>
      </c>
      <c r="AJ235" s="186">
        <f>IF(Table_03[[#This Row],[Controlling LBx]]="Compact",Table_03[[#This Row],[Mp (k-in)]],IF(Table_03[[#This Row],[Controlling LBx]]="Non-Compact",Table_03[[#This Row],[Mnlb,Non-Compact (k-in)]],IF(Table_03[[#This Row],[Controlling LBx]]="Slender",Table_03[[#This Row],[Mnlb,slender (k-in)]],"ERROR")))</f>
        <v>23342.693599999999</v>
      </c>
      <c r="AK235" s="183">
        <f>Table_03[[#This Row],[Mp (k-in)]]-(Table_03[[#This Row],[Mp (k-in)]]-0.7*Table_03[[#This Row],[Strength (ksi)]]*Table_03[[#This Row],[Static Parameters Elastic Section Modulus Sx (in3)2]])*(($B$5-Table_03[[#This Row],[Lp (ft)]])/(Table_03[[#This Row],[Lr]]-Table_03[[#This Row],[Lp (ft)]]))</f>
        <v>24636.179883625737</v>
      </c>
      <c r="AL235" s="184">
        <f>Table_03[[#This Row],[Fcrx]]*Table_03[[#This Row],[Static Parameters Elastic Section Modulus Sx (in3)2]]</f>
        <v>206985.82383834096</v>
      </c>
      <c r="AM235" s="185" t="str">
        <f>IF($B$5&lt;Table_03[[#This Row],[Lp (ft)]],"Yielding Controls",IF(AND($B$5&gt;Table_03[[#This Row],[Lp (ft)]],Table_03[[#This Row],[Lr]]&gt;$B$5),"Mltb,p Controls","Mltb,r Controls"))</f>
        <v>Yielding Controls</v>
      </c>
      <c r="AN235" s="186">
        <f>IF(Table_03[[#This Row],[Controlling LTB]]="Yielding Controls",Table_03[[#This Row],[Mp (k-in)]],IF(Table_03[[#This Row],[Controlling LTB]]="Mltb,p Controls",Table_03[[#This Row],[Mnltbp (k-in)]],IF(Table_03[[#This Row],[Controlling LTB]]="Mltb,r Controls",Table_03[[#This Row],[Mnltbr (k-in)]],"ERROR")))</f>
        <v>23342.693599999999</v>
      </c>
      <c r="AO235" s="183">
        <f>MIN(Table_03[[#This Row],[Strength (ksi)]]*Table_03[[#This Row],[Static Parameters Plastic Section Modulus Zy (in3)]],1.6*Table_03[[#This Row],[Strength (ksi)]]*Table_03[[#This Row],[Static Parameters Elastic Section Modulus Sy (in3)3]])</f>
        <v>5294.6610499999997</v>
      </c>
      <c r="AP235" s="181">
        <f>MIN(Table_03[[#This Row],[Mny (k-in)]],Table_03[[#This Row],[Mny (k-in)]]-(Table_03[[#This Row],[Mny (k-in)]]-0.7*Table_03[[#This Row],[Static Parameters Elastic Section Modulus Sy (in3)3]]*Table_03[[#This Row],[Strength (ksi)]])*((Table_03[[#This Row],[b/t]]-Table_03[[#This Row],[λpf]])/(Table_03[[#This Row],[λrf]]-Table_03[[#This Row],[λpf]])))</f>
        <v>5294.6610499999997</v>
      </c>
      <c r="AQ235" s="184">
        <f>MIN(Table_03[[#This Row],[Mny (k-in)]],Table_03[[#This Row],[Fcry]]*Table_03[[#This Row],[Static Parameters Elastic Section Modulus Sy (in3)3]])</f>
        <v>5294.6610499999997</v>
      </c>
      <c r="AR235" s="185" t="str">
        <f>IF(Table_03[[#This Row],[b/t]]&lt;Table_03[[#This Row],[λpf]],"Compact",IF(AND(Table_03[[#This Row],[b/t]]&gt;Table_03[[#This Row],[λpf]],Table_03[[#This Row],[λrf]]&gt;Table_03[[#This Row],[b/t]]),"Non-Compact","Slender"))</f>
        <v>Compact</v>
      </c>
      <c r="AS235" s="186">
        <f>IF(Table_03[[#This Row],[Controlling Lby]]="Compact",Table_03[[#This Row],[Mny (k-in)]],IF(Table_03[[#This Row],[Controlling Lby]]="Non-Compact",Table_03[[#This Row],[Mlby,Non-Compact (k-in)]],IF(Table_03[[#This Row],[Controlling Lby]]="Slender",Table_03[[#This Row],[Mlby,Slender (k-in)]],"ERROR")))</f>
        <v>5294.6610499999997</v>
      </c>
      <c r="AT235" s="183">
        <f>MIN(Table_03[[#This Row],[LBx]],Table_03[[#This Row],[LTB]],Table_03[[#This Row],[Mp (k-in)]])</f>
        <v>23342.693599999999</v>
      </c>
      <c r="AU235" s="181">
        <f>Table_03[[#This Row],[Mp (k-in)]]</f>
        <v>23342.693599999999</v>
      </c>
      <c r="AV235" s="181">
        <f>MIN(Table_03[[#This Row],[LBy]],Table_03[[#This Row],[Mny (k-in)]])</f>
        <v>5294.6610499999997</v>
      </c>
      <c r="AW235" s="187">
        <f>Table_03[[#This Row],[Mny (k-in)]]</f>
        <v>5294.6610499999997</v>
      </c>
      <c r="AX235" s="165">
        <f>SQRT(((Table_03[[#This Row],[Sectional Area (in2)]]-(Table_03[[#This Row],[Flange Thickness tf (in)]]*Table_03[[#This Row],[Width w (in)]]*2+Table_03[[#This Row],[Web Thickness tw (in)]]*((Table_03[[#This Row],[Depth h (in)]]-2*Table_03[[#This Row],[Flange Thickness tf (in)]]))))/4)/(1-PI()/4))</f>
        <v>0.29597989203141856</v>
      </c>
      <c r="AY235" s="165">
        <f>IF(4/SQRT((Table_03[[#This Row],[Depth h (in)]]-Table_03[[#This Row],[Flange Thickness tf (in)]]*2)/Table_03[[#This Row],[Web Thickness tw (in)]])&lt;0.35,0.35,IF(4/SQRT(Table_03[[#This Row],[Depth h (in)]]/Table_03[[#This Row],[Web Thickness tw (in)]])&gt;0.76,0.76,4/SQRT(Table_03[[#This Row],[Depth h (in)]]/Table_03[[#This Row],[Web Thickness tw (in)]])))</f>
        <v>0.67171422494986666</v>
      </c>
      <c r="AZ235" s="165"/>
    </row>
    <row r="236" spans="1:52" x14ac:dyDescent="0.3">
      <c r="A236" s="188" t="s">
        <v>328</v>
      </c>
      <c r="B236" s="189">
        <v>26.7</v>
      </c>
      <c r="C236" s="189">
        <v>9.9600000000000009</v>
      </c>
      <c r="D236" s="189">
        <v>0.46</v>
      </c>
      <c r="E236" s="189">
        <v>0.64</v>
      </c>
      <c r="F236" s="190">
        <v>24.8</v>
      </c>
      <c r="G236" s="189">
        <v>84</v>
      </c>
      <c r="H236" s="190">
        <v>2850</v>
      </c>
      <c r="I236" s="190">
        <v>106</v>
      </c>
      <c r="J236" s="190">
        <f>Table_03[[#This Row],[Width w (in)]]*Table_03[[#This Row],[Flange Thickness tf (in)]]*(Table_03[[#This Row],[Depth h (in)]]-Table_03[[#This Row],[Flange Thickness tf (in)]])+0.25*Table_03[[#This Row],[Web Thickness tw (in)]]*(Table_03[[#This Row],[Depth h (in)]]-2*Table_03[[#This Row],[Flange Thickness tf (in)]])^2</f>
        <v>240.42714999999998</v>
      </c>
      <c r="K236" s="190">
        <f>(Table_03[[#This Row],[Width w (in)]]^2*Table_03[[#This Row],[Flange Thickness tf (in)]])/2+0.25*Table_03[[#This Row],[Web Thickness tw (in)]]^2*(Table_03[[#This Row],[Depth h (in)]]-2*Table_03[[#This Row],[Flange Thickness tf (in)]])</f>
        <v>33.089230000000001</v>
      </c>
      <c r="L236" s="190">
        <v>213</v>
      </c>
      <c r="M236" s="190">
        <v>21.2</v>
      </c>
      <c r="N236" s="191">
        <v>50</v>
      </c>
      <c r="O236" s="169">
        <f>SQRT(Table_03[[#This Row],[Static Parameters Moment of Inertia Ix (in4)]]/Table_03[[#This Row],[Sectional Area (in2)]])</f>
        <v>10.72004453529507</v>
      </c>
      <c r="P236" s="190">
        <f>SQRT(Table_03[[#This Row],[Static Parameters Moment of Inertia Iy (in4)]]/Table_03[[#This Row],[Sectional Area (in2)]])</f>
        <v>2.0674122831179798</v>
      </c>
      <c r="Q236" s="190">
        <f>($B$6*$B$5*12)/Table_03[[#This Row],[ry (in)2]]</f>
        <v>86.847699158104376</v>
      </c>
      <c r="R236" s="190">
        <f>(PI()^2*$B$4)/(Table_03[[#This Row],[KL/ry]]^2)</f>
        <v>37.947319929881388</v>
      </c>
      <c r="S236" s="190">
        <f>IF(Table_03[[#This Row],[Strength (ksi)]]/Table_03[[#This Row],[Fe,y]]&lt;2.25,(0.658^(Table_03[[#This Row],[Strength (ksi)]]/Table_03[[#This Row],[Fe,y]])*Table_03[[#This Row],[Strength (ksi)]]),0.877*Table_03[[#This Row],[Fe,y]])</f>
        <v>28.804577782500346</v>
      </c>
      <c r="T236" s="190">
        <f>Table_03[[#This Row],[Fcr,y]]*Table_03[[#This Row],[Sectional Area (in2)]]</f>
        <v>714.35352900600856</v>
      </c>
      <c r="U236" s="190">
        <f>1.76*Table_03[[#This Row],[ry (in)2]]*SQRT($B$4/Table_03[[#This Row],[Strength (ksi)]])/12</f>
        <v>7.3025158918864728</v>
      </c>
      <c r="V23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20.668466947480084</v>
      </c>
      <c r="W236" s="190">
        <f>Table_03[[#This Row],[Depth h (in)]]-Table_03[[#This Row],[Flange Thickness tf (in)]]</f>
        <v>26.06</v>
      </c>
      <c r="X236" s="190">
        <f>(Table_03[[#This Row],[Static Parameters Moment of Inertia Iy (in4)]]*Table_03[[#This Row],[ho]]^2)/4</f>
        <v>17996.775399999999</v>
      </c>
      <c r="Y236" s="190">
        <f>SQRT((SQRT(Table_03[[#This Row],[Static Parameters Moment of Inertia Iy (in4)]]*Table_03[[#This Row],[Cw*]])/Table_03[[#This Row],[Static Parameters Elastic Section Modulus Sx (in3)2]]))</f>
        <v>2.5464510883855409</v>
      </c>
      <c r="Z236" s="190">
        <f>(2*Table_03[[#This Row],[Width w (in)]]*Table_03[[#This Row],[Flange Thickness tf (in)]]^3/3)+((Table_03[[#This Row],[Depth h (in)]]-Table_03[[#This Row],[Flange Thickness tf (in)]]*2)*Table_03[[#This Row],[Web Thickness tw (in)]]^3)/3</f>
        <v>2.5653965333333337</v>
      </c>
      <c r="AA236" s="190">
        <f>Table_03[[#This Row],[Width w (in)]]*0.5/Table_03[[#This Row],[Flange Thickness tf (in)]]</f>
        <v>7.7812500000000009</v>
      </c>
      <c r="AB236" s="190">
        <f>0.38*SQRT($B$4/Table_03[[#This Row],[Strength (ksi)]])</f>
        <v>9.1516118798821449</v>
      </c>
      <c r="AC236" s="190">
        <f>1*SQRT($B$4/Table_03[[#This Row],[Strength (ksi)]])</f>
        <v>24.083189157584592</v>
      </c>
      <c r="AD236" s="190">
        <f>(PI()^2*$B$4/(12*$B$5/Table_03[[#This Row],[rts]])^2)*SQRT(1+0.078*(Table_03[[#This Row],[J*]]/(Table_03[[#This Row],[Static Parameters Elastic Section Modulus Sx (in3)2]]*Table_03[[#This Row],[ho]])*$B$4/(12*$B$5/Table_03[[#This Row],[rts]])^2))</f>
        <v>254.0021916467341</v>
      </c>
      <c r="AE236" s="190">
        <f>0.69*$B$4/Table_03[[#This Row],[b/t]]^2</f>
        <v>330.48241157400679</v>
      </c>
      <c r="AF236" s="192">
        <f>Table_03[[#This Row],[Strength (ksi)]]*Table_03[[#This Row],[Static Parameters Plastic Section Modulus Zx (in3)]]</f>
        <v>12021.357499999998</v>
      </c>
      <c r="AG236" s="190">
        <f>Table_03[[#This Row],[Mp (k-in)]]-(Table_03[[#This Row],[Mp (k-in)]]-0.7*Table_03[[#This Row],[Strength (ksi)]]*Table_03[[#This Row],[Static Parameters Elastic Section Modulus Sx (in3)2]])*((Table_03[[#This Row],[b/t]]-Table_03[[#This Row],[λpf]])/(Table_03[[#This Row],[λrf]]-Table_03[[#This Row],[λpf]]))</f>
        <v>12440.439967413433</v>
      </c>
      <c r="AH236" s="193">
        <f>0.9*$B$4*Table_03[[#This Row],[kc]]*Table_03[[#This Row],[Static Parameters Elastic Section Modulus Sx (in3)2]]/Table_03[[#This Row],[b/t]]^2</f>
        <v>48206.394410485307</v>
      </c>
      <c r="AI236" s="194" t="str">
        <f>IF(Table_03[[#This Row],[b/t]]&lt;Table_03[[#This Row],[λpf]],"Compact",IF(AND(Table_03[[#This Row],[b/t]]&gt;Table_03[[#This Row],[λpf]],Table_03[[#This Row],[λrf]]&gt;Table_03[[#This Row],[b/t]]),"Non-Compact","Slender"))</f>
        <v>Compact</v>
      </c>
      <c r="AJ236" s="195">
        <f>IF(Table_03[[#This Row],[Controlling LBx]]="Compact",Table_03[[#This Row],[Mp (k-in)]],IF(Table_03[[#This Row],[Controlling LBx]]="Non-Compact",Table_03[[#This Row],[Mnlb,Non-Compact (k-in)]],IF(Table_03[[#This Row],[Controlling LBx]]="Slender",Table_03[[#This Row],[Mnlb,slender (k-in)]],"ERROR")))</f>
        <v>12021.357499999998</v>
      </c>
      <c r="AK236" s="192">
        <f>Table_03[[#This Row],[Mp (k-in)]]-(Table_03[[#This Row],[Mp (k-in)]]-0.7*Table_03[[#This Row],[Strength (ksi)]]*Table_03[[#This Row],[Static Parameters Elastic Section Modulus Sx (in3)2]])*(($B$5-Table_03[[#This Row],[Lp (ft)]])/(Table_03[[#This Row],[Lr]]-Table_03[[#This Row],[Lp (ft)]]))</f>
        <v>12082.004214993449</v>
      </c>
      <c r="AL236" s="196">
        <f>Table_03[[#This Row],[Fcrx]]*Table_03[[#This Row],[Static Parameters Elastic Section Modulus Sx (in3)2]]</f>
        <v>54102.466820754365</v>
      </c>
      <c r="AM236" s="197" t="str">
        <f>IF($B$5&lt;Table_03[[#This Row],[Lp (ft)]],"Yielding Controls",IF(AND($B$5&gt;Table_03[[#This Row],[Lp (ft)]],Table_03[[#This Row],[Lr]]&gt;$B$5),"Mltb,p Controls","Mltb,r Controls"))</f>
        <v>Yielding Controls</v>
      </c>
      <c r="AN236" s="198">
        <f>IF(Table_03[[#This Row],[Controlling LTB]]="Yielding Controls",Table_03[[#This Row],[Mp (k-in)]],IF(Table_03[[#This Row],[Controlling LTB]]="Mltb,p Controls",Table_03[[#This Row],[Mnltbp (k-in)]],IF(Table_03[[#This Row],[Controlling LTB]]="Mltb,r Controls",Table_03[[#This Row],[Mnltbr (k-in)]],"ERROR")))</f>
        <v>12021.357499999998</v>
      </c>
      <c r="AO236" s="199">
        <f>MIN(Table_03[[#This Row],[Strength (ksi)]]*Table_03[[#This Row],[Static Parameters Plastic Section Modulus Zy (in3)]],1.6*Table_03[[#This Row],[Strength (ksi)]]*Table_03[[#This Row],[Static Parameters Elastic Section Modulus Sy (in3)3]])</f>
        <v>1654.4615000000001</v>
      </c>
      <c r="AP236" s="169">
        <f>MIN(Table_03[[#This Row],[Mny (k-in)]],Table_03[[#This Row],[Mny (k-in)]]-(Table_03[[#This Row],[Mny (k-in)]]-0.7*Table_03[[#This Row],[Static Parameters Elastic Section Modulus Sy (in3)3]]*Table_03[[#This Row],[Strength (ksi)]])*((Table_03[[#This Row],[b/t]]-Table_03[[#This Row],[λpf]])/(Table_03[[#This Row],[λrf]]-Table_03[[#This Row],[λpf]])))</f>
        <v>1654.4615000000001</v>
      </c>
      <c r="AQ236" s="196">
        <f>MIN(Table_03[[#This Row],[Mny (k-in)]],Table_03[[#This Row],[Fcry]]*Table_03[[#This Row],[Static Parameters Elastic Section Modulus Sy (in3)3]])</f>
        <v>1654.4615000000001</v>
      </c>
      <c r="AR236" s="197" t="str">
        <f>IF(Table_03[[#This Row],[b/t]]&lt;Table_03[[#This Row],[λpf]],"Compact",IF(AND(Table_03[[#This Row],[b/t]]&gt;Table_03[[#This Row],[λpf]],Table_03[[#This Row],[λrf]]&gt;Table_03[[#This Row],[b/t]]),"Non-Compact","Slender"))</f>
        <v>Compact</v>
      </c>
      <c r="AS236" s="198">
        <f>IF(Table_03[[#This Row],[Controlling Lby]]="Compact",Table_03[[#This Row],[Mny (k-in)]],IF(Table_03[[#This Row],[Controlling Lby]]="Non-Compact",Table_03[[#This Row],[Mlby,Non-Compact (k-in)]],IF(Table_03[[#This Row],[Controlling Lby]]="Slender",Table_03[[#This Row],[Mlby,Slender (k-in)]],"ERROR")))</f>
        <v>1654.4615000000001</v>
      </c>
      <c r="AT236" s="199">
        <f>MIN(Table_03[[#This Row],[LBx]],Table_03[[#This Row],[LTB]],Table_03[[#This Row],[Mp (k-in)]])</f>
        <v>12021.357499999998</v>
      </c>
      <c r="AU236" s="169">
        <f>Table_03[[#This Row],[Mp (k-in)]]</f>
        <v>12021.357499999998</v>
      </c>
      <c r="AV236" s="169">
        <f>MIN(Table_03[[#This Row],[LBy]],Table_03[[#This Row],[Mny (k-in)]])</f>
        <v>1654.4615000000001</v>
      </c>
      <c r="AW236" s="200">
        <f>Table_03[[#This Row],[Mny (k-in)]]</f>
        <v>1654.4615000000001</v>
      </c>
      <c r="AX236" s="165">
        <f>SQRT(((Table_03[[#This Row],[Sectional Area (in2)]]-(Table_03[[#This Row],[Flange Thickness tf (in)]]*Table_03[[#This Row],[Width w (in)]]*2+Table_03[[#This Row],[Web Thickness tw (in)]]*((Table_03[[#This Row],[Depth h (in)]]-2*Table_03[[#This Row],[Flange Thickness tf (in)]]))))/4)/(1-PI()/4))</f>
        <v>0.64579518176131645</v>
      </c>
      <c r="AY236" s="165">
        <f>IF(4/SQRT((Table_03[[#This Row],[Depth h (in)]]-Table_03[[#This Row],[Flange Thickness tf (in)]]*2)/Table_03[[#This Row],[Web Thickness tw (in)]])&lt;0.35,0.35,IF(4/SQRT(Table_03[[#This Row],[Depth h (in)]]/Table_03[[#This Row],[Web Thickness tw (in)]])&gt;0.76,0.76,4/SQRT(Table_03[[#This Row],[Depth h (in)]]/Table_03[[#This Row],[Web Thickness tw (in)]])))</f>
        <v>0.52502898083021143</v>
      </c>
      <c r="AZ236" s="165"/>
    </row>
    <row r="237" spans="1:52" ht="14.4" thickBot="1" x14ac:dyDescent="0.35">
      <c r="A237" s="201" t="s">
        <v>329</v>
      </c>
      <c r="B237" s="202">
        <v>26.9</v>
      </c>
      <c r="C237" s="202">
        <v>10</v>
      </c>
      <c r="D237" s="202">
        <v>0.49</v>
      </c>
      <c r="E237" s="202">
        <v>0.745</v>
      </c>
      <c r="F237" s="203">
        <v>27.7</v>
      </c>
      <c r="G237" s="204">
        <v>94</v>
      </c>
      <c r="H237" s="203">
        <v>3270</v>
      </c>
      <c r="I237" s="203">
        <v>124</v>
      </c>
      <c r="J237" s="203">
        <f>Table_03[[#This Row],[Width w (in)]]*Table_03[[#This Row],[Flange Thickness tf (in)]]*(Table_03[[#This Row],[Depth h (in)]]-Table_03[[#This Row],[Flange Thickness tf (in)]])+0.25*Table_03[[#This Row],[Web Thickness tw (in)]]*(Table_03[[#This Row],[Depth h (in)]]-2*Table_03[[#This Row],[Flange Thickness tf (in)]])^2</f>
        <v>273.94909224999998</v>
      </c>
      <c r="K237" s="203">
        <f>(Table_03[[#This Row],[Width w (in)]]^2*Table_03[[#This Row],[Flange Thickness tf (in)]])/2+0.25*Table_03[[#This Row],[Web Thickness tw (in)]]^2*(Table_03[[#This Row],[Depth h (in)]]-2*Table_03[[#This Row],[Flange Thickness tf (in)]])</f>
        <v>38.775235250000001</v>
      </c>
      <c r="L237" s="203">
        <v>243</v>
      </c>
      <c r="M237" s="203">
        <v>24.8</v>
      </c>
      <c r="N237" s="205">
        <v>50</v>
      </c>
      <c r="O237" s="206">
        <f>SQRT(Table_03[[#This Row],[Static Parameters Moment of Inertia Ix (in4)]]/Table_03[[#This Row],[Sectional Area (in2)]])</f>
        <v>10.865106603998209</v>
      </c>
      <c r="P237" s="203">
        <f>SQRT(Table_03[[#This Row],[Static Parameters Moment of Inertia Iy (in4)]]/Table_03[[#This Row],[Sectional Area (in2)]])</f>
        <v>2.1157821948463602</v>
      </c>
      <c r="Q237" s="203">
        <f>($B$6*$B$5*12)/Table_03[[#This Row],[ry (in)2]]</f>
        <v>84.862232245525746</v>
      </c>
      <c r="R237" s="203">
        <f>(PI()^2*$B$4)/(Table_03[[#This Row],[KL/ry]]^2)</f>
        <v>39.743749829157146</v>
      </c>
      <c r="S237" s="203">
        <f>IF(Table_03[[#This Row],[Strength (ksi)]]/Table_03[[#This Row],[Fe,y]]&lt;2.25,(0.658^(Table_03[[#This Row],[Strength (ksi)]]/Table_03[[#This Row],[Fe,y]])*Table_03[[#This Row],[Strength (ksi)]]),0.877*Table_03[[#This Row],[Fe,y]])</f>
        <v>29.531626853663973</v>
      </c>
      <c r="T237" s="203">
        <f>Table_03[[#This Row],[Fcr,y]]*Table_03[[#This Row],[Sectional Area (in2)]]</f>
        <v>818.02606384649198</v>
      </c>
      <c r="U237" s="203">
        <f>1.76*Table_03[[#This Row],[ry (in)2]]*SQRT($B$4/Table_03[[#This Row],[Strength (ksi)]])/12</f>
        <v>7.4733681461610439</v>
      </c>
      <c r="V23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21.394478419869628</v>
      </c>
      <c r="W237" s="203">
        <f>Table_03[[#This Row],[Depth h (in)]]-Table_03[[#This Row],[Flange Thickness tf (in)]]</f>
        <v>26.154999999999998</v>
      </c>
      <c r="X237" s="203">
        <f>(Table_03[[#This Row],[Static Parameters Moment of Inertia Iy (in4)]]*Table_03[[#This Row],[ho]]^2)/4</f>
        <v>21206.604774999996</v>
      </c>
      <c r="Y237" s="203">
        <f>SQRT((SQRT(Table_03[[#This Row],[Static Parameters Moment of Inertia Iy (in4)]]*Table_03[[#This Row],[Cw*]])/Table_03[[#This Row],[Static Parameters Elastic Section Modulus Sx (in3)2]]))</f>
        <v>2.5832716042007582</v>
      </c>
      <c r="Z237" s="203">
        <f>(2*Table_03[[#This Row],[Width w (in)]]*Table_03[[#This Row],[Flange Thickness tf (in)]]^3/3)+((Table_03[[#This Row],[Depth h (in)]]-Table_03[[#This Row],[Flange Thickness tf (in)]]*2)*Table_03[[#This Row],[Web Thickness tw (in)]]^3)/3</f>
        <v>3.7531111966666666</v>
      </c>
      <c r="AA237" s="203">
        <f>Table_03[[#This Row],[Width w (in)]]*0.5/Table_03[[#This Row],[Flange Thickness tf (in)]]</f>
        <v>6.7114093959731544</v>
      </c>
      <c r="AB237" s="203">
        <f>0.38*SQRT($B$4/Table_03[[#This Row],[Strength (ksi)]])</f>
        <v>9.1516118798821449</v>
      </c>
      <c r="AC237" s="203">
        <f>1*SQRT($B$4/Table_03[[#This Row],[Strength (ksi)]])</f>
        <v>24.083189157584592</v>
      </c>
      <c r="AD237" s="203">
        <f>(PI()^2*$B$4/(12*$B$5/Table_03[[#This Row],[rts]])^2)*SQRT(1+0.078*(Table_03[[#This Row],[J*]]/(Table_03[[#This Row],[Static Parameters Elastic Section Modulus Sx (in3)2]]*Table_03[[#This Row],[ho]])*$B$4/(12*$B$5/Table_03[[#This Row],[rts]])^2))</f>
        <v>261.43893929533527</v>
      </c>
      <c r="AE237" s="203">
        <f>0.69*$B$4/Table_03[[#This Row],[b/t]]^2</f>
        <v>444.24200999999999</v>
      </c>
      <c r="AF237" s="207">
        <f>Table_03[[#This Row],[Strength (ksi)]]*Table_03[[#This Row],[Static Parameters Plastic Section Modulus Zx (in3)]]</f>
        <v>13697.4546125</v>
      </c>
      <c r="AG237" s="203">
        <f>Table_03[[#This Row],[Mp (k-in)]]-(Table_03[[#This Row],[Mp (k-in)]]-0.7*Table_03[[#This Row],[Strength (ksi)]]*Table_03[[#This Row],[Static Parameters Elastic Section Modulus Sx (in3)2]])*((Table_03[[#This Row],[b/t]]-Table_03[[#This Row],[λpf]])/(Table_03[[#This Row],[λrf]]-Table_03[[#This Row],[λpf]]))</f>
        <v>14546.034799800671</v>
      </c>
      <c r="AH237" s="208">
        <f>0.9*$B$4*Table_03[[#This Row],[kc]]*Table_03[[#This Row],[Static Parameters Elastic Section Modulus Sx (in3)2]]/Table_03[[#This Row],[b/t]]^2</f>
        <v>76015.334180941165</v>
      </c>
      <c r="AI237" s="209" t="str">
        <f>IF(Table_03[[#This Row],[b/t]]&lt;Table_03[[#This Row],[λpf]],"Compact",IF(AND(Table_03[[#This Row],[b/t]]&gt;Table_03[[#This Row],[λpf]],Table_03[[#This Row],[λrf]]&gt;Table_03[[#This Row],[b/t]]),"Non-Compact","Slender"))</f>
        <v>Compact</v>
      </c>
      <c r="AJ237" s="210">
        <f>IF(Table_03[[#This Row],[Controlling LBx]]="Compact",Table_03[[#This Row],[Mp (k-in)]],IF(Table_03[[#This Row],[Controlling LBx]]="Non-Compact",Table_03[[#This Row],[Mnlb,Non-Compact (k-in)]],IF(Table_03[[#This Row],[Controlling LBx]]="Slender",Table_03[[#This Row],[Mnlb,slender (k-in)]],"ERROR")))</f>
        <v>13697.4546125</v>
      </c>
      <c r="AK237" s="207">
        <f>Table_03[[#This Row],[Mp (k-in)]]-(Table_03[[#This Row],[Mp (k-in)]]-0.7*Table_03[[#This Row],[Strength (ksi)]]*Table_03[[#This Row],[Static Parameters Elastic Section Modulus Sx (in3)2]])*(($B$5-Table_03[[#This Row],[Lp (ft)]])/(Table_03[[#This Row],[Lr]]-Table_03[[#This Row],[Lp (ft)]]))</f>
        <v>13827.392940105827</v>
      </c>
      <c r="AL237" s="211">
        <f>Table_03[[#This Row],[Fcrx]]*Table_03[[#This Row],[Static Parameters Elastic Section Modulus Sx (in3)2]]</f>
        <v>63529.662248766472</v>
      </c>
      <c r="AM237" s="212" t="str">
        <f>IF($B$5&lt;Table_03[[#This Row],[Lp (ft)]],"Yielding Controls",IF(AND($B$5&gt;Table_03[[#This Row],[Lp (ft)]],Table_03[[#This Row],[Lr]]&gt;$B$5),"Mltb,p Controls","Mltb,r Controls"))</f>
        <v>Yielding Controls</v>
      </c>
      <c r="AN237" s="213">
        <f>IF(Table_03[[#This Row],[Controlling LTB]]="Yielding Controls",Table_03[[#This Row],[Mp (k-in)]],IF(Table_03[[#This Row],[Controlling LTB]]="Mltb,p Controls",Table_03[[#This Row],[Mnltbp (k-in)]],IF(Table_03[[#This Row],[Controlling LTB]]="Mltb,r Controls",Table_03[[#This Row],[Mnltbr (k-in)]],"ERROR")))</f>
        <v>13697.4546125</v>
      </c>
      <c r="AO237" s="214">
        <f>MIN(Table_03[[#This Row],[Strength (ksi)]]*Table_03[[#This Row],[Static Parameters Plastic Section Modulus Zy (in3)]],1.6*Table_03[[#This Row],[Strength (ksi)]]*Table_03[[#This Row],[Static Parameters Elastic Section Modulus Sy (in3)3]])</f>
        <v>1938.7617625</v>
      </c>
      <c r="AP237" s="206">
        <f>MIN(Table_03[[#This Row],[Mny (k-in)]],Table_03[[#This Row],[Mny (k-in)]]-(Table_03[[#This Row],[Mny (k-in)]]-0.7*Table_03[[#This Row],[Static Parameters Elastic Section Modulus Sy (in3)3]]*Table_03[[#This Row],[Strength (ksi)]])*((Table_03[[#This Row],[b/t]]-Table_03[[#This Row],[λpf]])/(Table_03[[#This Row],[λrf]]-Table_03[[#This Row],[λpf]])))</f>
        <v>1938.7617625</v>
      </c>
      <c r="AQ237" s="211">
        <f>MIN(Table_03[[#This Row],[Mny (k-in)]],Table_03[[#This Row],[Fcry]]*Table_03[[#This Row],[Static Parameters Elastic Section Modulus Sy (in3)3]])</f>
        <v>1938.7617625</v>
      </c>
      <c r="AR237" s="212" t="str">
        <f>IF(Table_03[[#This Row],[b/t]]&lt;Table_03[[#This Row],[λpf]],"Compact",IF(AND(Table_03[[#This Row],[b/t]]&gt;Table_03[[#This Row],[λpf]],Table_03[[#This Row],[λrf]]&gt;Table_03[[#This Row],[b/t]]),"Non-Compact","Slender"))</f>
        <v>Compact</v>
      </c>
      <c r="AS237" s="213">
        <f>IF(Table_03[[#This Row],[Controlling Lby]]="Compact",Table_03[[#This Row],[Mny (k-in)]],IF(Table_03[[#This Row],[Controlling Lby]]="Non-Compact",Table_03[[#This Row],[Mlby,Non-Compact (k-in)]],IF(Table_03[[#This Row],[Controlling Lby]]="Slender",Table_03[[#This Row],[Mlby,Slender (k-in)]],"ERROR")))</f>
        <v>1938.7617625</v>
      </c>
      <c r="AT237" s="214">
        <f>MIN(Table_03[[#This Row],[LBx]],Table_03[[#This Row],[LTB]],Table_03[[#This Row],[Mp (k-in)]])</f>
        <v>13697.4546125</v>
      </c>
      <c r="AU237" s="206">
        <f>Table_03[[#This Row],[Mp (k-in)]]</f>
        <v>13697.4546125</v>
      </c>
      <c r="AV237" s="206">
        <f>MIN(Table_03[[#This Row],[LBy]],Table_03[[#This Row],[Mny (k-in)]])</f>
        <v>1938.7617625</v>
      </c>
      <c r="AW237" s="215">
        <f>Table_03[[#This Row],[Mny (k-in)]]</f>
        <v>1938.7617625</v>
      </c>
      <c r="AX237" s="165">
        <f>SQRT(((Table_03[[#This Row],[Sectional Area (in2)]]-(Table_03[[#This Row],[Flange Thickness tf (in)]]*Table_03[[#This Row],[Width w (in)]]*2+Table_03[[#This Row],[Web Thickness tw (in)]]*((Table_03[[#This Row],[Depth h (in)]]-2*Table_03[[#This Row],[Flange Thickness tf (in)]]))))/4)/(1-PI()/4))</f>
        <v>0.63771731885770266</v>
      </c>
      <c r="AY237" s="165">
        <f>IF(4/SQRT((Table_03[[#This Row],[Depth h (in)]]-Table_03[[#This Row],[Flange Thickness tf (in)]]*2)/Table_03[[#This Row],[Web Thickness tw (in)]])&lt;0.35,0.35,IF(4/SQRT(Table_03[[#This Row],[Depth h (in)]]/Table_03[[#This Row],[Web Thickness tw (in)]])&gt;0.76,0.76,4/SQRT(Table_03[[#This Row],[Depth h (in)]]/Table_03[[#This Row],[Web Thickness tw (in)]])))</f>
        <v>0.53986092109578931</v>
      </c>
      <c r="AZ237" s="165"/>
    </row>
    <row r="238" spans="1:52" x14ac:dyDescent="0.3">
      <c r="A238" s="179" t="s">
        <v>330</v>
      </c>
      <c r="B238" s="180">
        <v>27.1</v>
      </c>
      <c r="C238" s="180">
        <v>10.02</v>
      </c>
      <c r="D238" s="180">
        <v>0.51500000000000001</v>
      </c>
      <c r="E238" s="180">
        <v>0.83</v>
      </c>
      <c r="F238" s="181">
        <v>30</v>
      </c>
      <c r="G238" s="180">
        <v>102</v>
      </c>
      <c r="H238" s="180">
        <v>3620</v>
      </c>
      <c r="I238" s="180">
        <v>139</v>
      </c>
      <c r="J238" s="181">
        <f>Table_03[[#This Row],[Width w (in)]]*Table_03[[#This Row],[Flange Thickness tf (in)]]*(Table_03[[#This Row],[Depth h (in)]]-Table_03[[#This Row],[Flange Thickness tf (in)]])+0.25*Table_03[[#This Row],[Web Thickness tw (in)]]*(Table_03[[#This Row],[Depth h (in)]]-2*Table_03[[#This Row],[Flange Thickness tf (in)]])^2</f>
        <v>301.80325800000003</v>
      </c>
      <c r="K238" s="181">
        <f>(Table_03[[#This Row],[Width w (in)]]^2*Table_03[[#This Row],[Flange Thickness tf (in)]])/2+0.25*Table_03[[#This Row],[Web Thickness tw (in)]]^2*(Table_03[[#This Row],[Depth h (in)]]-2*Table_03[[#This Row],[Flange Thickness tf (in)]])</f>
        <v>43.352996999999995</v>
      </c>
      <c r="L238" s="181">
        <v>267</v>
      </c>
      <c r="M238" s="181">
        <v>27.8</v>
      </c>
      <c r="N238" s="182">
        <v>50</v>
      </c>
      <c r="O238" s="181">
        <f>SQRT(Table_03[[#This Row],[Static Parameters Moment of Inertia Ix (in4)]]/Table_03[[#This Row],[Sectional Area (in2)]])</f>
        <v>10.984838035522721</v>
      </c>
      <c r="P238" s="181">
        <f>SQRT(Table_03[[#This Row],[Static Parameters Moment of Inertia Iy (in4)]]/Table_03[[#This Row],[Sectional Area (in2)]])</f>
        <v>2.1525179054617256</v>
      </c>
      <c r="Q238" s="181">
        <f>($B$6*$B$5*12)/Table_03[[#This Row],[ry (in)2]]</f>
        <v>83.413940271723618</v>
      </c>
      <c r="R238" s="181">
        <f>(PI()^2*$B$4)/(Table_03[[#This Row],[KL/ry]]^2)</f>
        <v>41.135849453549412</v>
      </c>
      <c r="S238" s="181">
        <f>IF(Table_03[[#This Row],[Strength (ksi)]]/Table_03[[#This Row],[Fe,y]]&lt;2.25,(0.658^(Table_03[[#This Row],[Strength (ksi)]]/Table_03[[#This Row],[Fe,y]])*Table_03[[#This Row],[Strength (ksi)]]),0.877*Table_03[[#This Row],[Fe,y]])</f>
        <v>30.06258626040707</v>
      </c>
      <c r="T238" s="181">
        <f>Table_03[[#This Row],[Fcr,y]]*Table_03[[#This Row],[Sectional Area (in2)]]</f>
        <v>901.87758781221214</v>
      </c>
      <c r="U238" s="181">
        <f>1.76*Table_03[[#This Row],[ry (in)2]]*SQRT($B$4/Table_03[[#This Row],[Strength (ksi)]])/12</f>
        <v>7.6031260627406363</v>
      </c>
      <c r="V23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22.063457864359165</v>
      </c>
      <c r="W238" s="181">
        <f>Table_03[[#This Row],[Depth h (in)]]-Table_03[[#This Row],[Flange Thickness tf (in)]]</f>
        <v>26.270000000000003</v>
      </c>
      <c r="X238" s="181">
        <f>(Table_03[[#This Row],[Static Parameters Moment of Inertia Iy (in4)]]*Table_03[[#This Row],[ho]]^2)/4</f>
        <v>23981.423275000008</v>
      </c>
      <c r="Y238" s="181">
        <f>SQRT((SQRT(Table_03[[#This Row],[Static Parameters Moment of Inertia Iy (in4)]]*Table_03[[#This Row],[Cw*]])/Table_03[[#This Row],[Static Parameters Elastic Section Modulus Sx (in3)2]]))</f>
        <v>2.6149705851211196</v>
      </c>
      <c r="Z238" s="181">
        <f>(2*Table_03[[#This Row],[Width w (in)]]*Table_03[[#This Row],[Flange Thickness tf (in)]]^3/3)+((Table_03[[#This Row],[Depth h (in)]]-Table_03[[#This Row],[Flange Thickness tf (in)]]*2)*Table_03[[#This Row],[Web Thickness tw (in)]]^3)/3</f>
        <v>4.9778277799999993</v>
      </c>
      <c r="AA238" s="181">
        <f>Table_03[[#This Row],[Width w (in)]]*0.5/Table_03[[#This Row],[Flange Thickness tf (in)]]</f>
        <v>6.0361445783132535</v>
      </c>
      <c r="AB238" s="181">
        <f>0.38*SQRT($B$4/Table_03[[#This Row],[Strength (ksi)]])</f>
        <v>9.1516118798821449</v>
      </c>
      <c r="AC238" s="181">
        <f>1*SQRT($B$4/Table_03[[#This Row],[Strength (ksi)]])</f>
        <v>24.083189157584592</v>
      </c>
      <c r="AD238" s="181">
        <f>(PI()^2*$B$4/(12*$B$5/Table_03[[#This Row],[rts]])^2)*SQRT(1+0.078*(Table_03[[#This Row],[J*]]/(Table_03[[#This Row],[Static Parameters Elastic Section Modulus Sx (in3)2]]*Table_03[[#This Row],[ho]])*$B$4/(12*$B$5/Table_03[[#This Row],[rts]])^2))</f>
        <v>267.9322306359241</v>
      </c>
      <c r="AE238" s="181">
        <f>0.69*$B$4/Table_03[[#This Row],[b/t]]^2</f>
        <v>549.19657690606812</v>
      </c>
      <c r="AF238" s="183">
        <f>Table_03[[#This Row],[Strength (ksi)]]*Table_03[[#This Row],[Static Parameters Plastic Section Modulus Zx (in3)]]</f>
        <v>15090.162900000001</v>
      </c>
      <c r="AG238" s="181">
        <f>Table_03[[#This Row],[Mp (k-in)]]-(Table_03[[#This Row],[Mp (k-in)]]-0.7*Table_03[[#This Row],[Strength (ksi)]]*Table_03[[#This Row],[Static Parameters Elastic Section Modulus Sx (in3)2]])*((Table_03[[#This Row],[b/t]]-Table_03[[#This Row],[λpf]])/(Table_03[[#This Row],[λrf]]-Table_03[[#This Row],[λpf]]))</f>
        <v>16288.888716050618</v>
      </c>
      <c r="AH238" s="184">
        <f>0.9*$B$4*Table_03[[#This Row],[kc]]*Table_03[[#This Row],[Static Parameters Elastic Section Modulus Sx (in3)2]]/Table_03[[#This Row],[b/t]]^2</f>
        <v>105465.75406173055</v>
      </c>
      <c r="AI238" s="185" t="str">
        <f>IF(Table_03[[#This Row],[b/t]]&lt;Table_03[[#This Row],[λpf]],"Compact",IF(AND(Table_03[[#This Row],[b/t]]&gt;Table_03[[#This Row],[λpf]],Table_03[[#This Row],[λrf]]&gt;Table_03[[#This Row],[b/t]]),"Non-Compact","Slender"))</f>
        <v>Compact</v>
      </c>
      <c r="AJ238" s="186">
        <f>IF(Table_03[[#This Row],[Controlling LBx]]="Compact",Table_03[[#This Row],[Mp (k-in)]],IF(Table_03[[#This Row],[Controlling LBx]]="Non-Compact",Table_03[[#This Row],[Mnlb,Non-Compact (k-in)]],IF(Table_03[[#This Row],[Controlling LBx]]="Slender",Table_03[[#This Row],[Mnlb,slender (k-in)]],"ERROR")))</f>
        <v>15090.162900000001</v>
      </c>
      <c r="AK238" s="183">
        <f>Table_03[[#This Row],[Mp (k-in)]]-(Table_03[[#This Row],[Mp (k-in)]]-0.7*Table_03[[#This Row],[Strength (ksi)]]*Table_03[[#This Row],[Static Parameters Elastic Section Modulus Sx (in3)2]])*(($B$5-Table_03[[#This Row],[Lp (ft)]])/(Table_03[[#This Row],[Lr]]-Table_03[[#This Row],[Lp (ft)]]))</f>
        <v>15280.124800934605</v>
      </c>
      <c r="AL238" s="184">
        <f>Table_03[[#This Row],[Fcrx]]*Table_03[[#This Row],[Static Parameters Elastic Section Modulus Sx (in3)2]]</f>
        <v>71537.905579791739</v>
      </c>
      <c r="AM238" s="185" t="str">
        <f>IF($B$5&lt;Table_03[[#This Row],[Lp (ft)]],"Yielding Controls",IF(AND($B$5&gt;Table_03[[#This Row],[Lp (ft)]],Table_03[[#This Row],[Lr]]&gt;$B$5),"Mltb,p Controls","Mltb,r Controls"))</f>
        <v>Yielding Controls</v>
      </c>
      <c r="AN238" s="186">
        <f>IF(Table_03[[#This Row],[Controlling LTB]]="Yielding Controls",Table_03[[#This Row],[Mp (k-in)]],IF(Table_03[[#This Row],[Controlling LTB]]="Mltb,p Controls",Table_03[[#This Row],[Mnltbp (k-in)]],IF(Table_03[[#This Row],[Controlling LTB]]="Mltb,r Controls",Table_03[[#This Row],[Mnltbr (k-in)]],"ERROR")))</f>
        <v>15090.162900000001</v>
      </c>
      <c r="AO238" s="183">
        <f>MIN(Table_03[[#This Row],[Strength (ksi)]]*Table_03[[#This Row],[Static Parameters Plastic Section Modulus Zy (in3)]],1.6*Table_03[[#This Row],[Strength (ksi)]]*Table_03[[#This Row],[Static Parameters Elastic Section Modulus Sy (in3)3]])</f>
        <v>2167.6498499999998</v>
      </c>
      <c r="AP238" s="181">
        <f>MIN(Table_03[[#This Row],[Mny (k-in)]],Table_03[[#This Row],[Mny (k-in)]]-(Table_03[[#This Row],[Mny (k-in)]]-0.7*Table_03[[#This Row],[Static Parameters Elastic Section Modulus Sy (in3)3]]*Table_03[[#This Row],[Strength (ksi)]])*((Table_03[[#This Row],[b/t]]-Table_03[[#This Row],[λpf]])/(Table_03[[#This Row],[λrf]]-Table_03[[#This Row],[λpf]])))</f>
        <v>2167.6498499999998</v>
      </c>
      <c r="AQ238" s="184">
        <f>MIN(Table_03[[#This Row],[Mny (k-in)]],Table_03[[#This Row],[Fcry]]*Table_03[[#This Row],[Static Parameters Elastic Section Modulus Sy (in3)3]])</f>
        <v>2167.6498499999998</v>
      </c>
      <c r="AR238" s="185" t="str">
        <f>IF(Table_03[[#This Row],[b/t]]&lt;Table_03[[#This Row],[λpf]],"Compact",IF(AND(Table_03[[#This Row],[b/t]]&gt;Table_03[[#This Row],[λpf]],Table_03[[#This Row],[λrf]]&gt;Table_03[[#This Row],[b/t]]),"Non-Compact","Slender"))</f>
        <v>Compact</v>
      </c>
      <c r="AS238" s="186">
        <f>IF(Table_03[[#This Row],[Controlling Lby]]="Compact",Table_03[[#This Row],[Mny (k-in)]],IF(Table_03[[#This Row],[Controlling Lby]]="Non-Compact",Table_03[[#This Row],[Mlby,Non-Compact (k-in)]],IF(Table_03[[#This Row],[Controlling Lby]]="Slender",Table_03[[#This Row],[Mlby,Slender (k-in)]],"ERROR")))</f>
        <v>2167.6498499999998</v>
      </c>
      <c r="AT238" s="183">
        <f>MIN(Table_03[[#This Row],[LBx]],Table_03[[#This Row],[LTB]],Table_03[[#This Row],[Mp (k-in)]])</f>
        <v>15090.162900000001</v>
      </c>
      <c r="AU238" s="181">
        <f>Table_03[[#This Row],[Mp (k-in)]]</f>
        <v>15090.162900000001</v>
      </c>
      <c r="AV238" s="181">
        <f>MIN(Table_03[[#This Row],[LBy]],Table_03[[#This Row],[Mny (k-in)]])</f>
        <v>2167.6498499999998</v>
      </c>
      <c r="AW238" s="187">
        <f>Table_03[[#This Row],[Mny (k-in)]]</f>
        <v>2167.6498499999998</v>
      </c>
      <c r="AX238" s="165">
        <f>SQRT(((Table_03[[#This Row],[Sectional Area (in2)]]-(Table_03[[#This Row],[Flange Thickness tf (in)]]*Table_03[[#This Row],[Width w (in)]]*2+Table_03[[#This Row],[Web Thickness tw (in)]]*((Table_03[[#This Row],[Depth h (in)]]-2*Table_03[[#This Row],[Flange Thickness tf (in)]]))))/4)/(1-PI()/4))</f>
        <v>0.55582752170739069</v>
      </c>
      <c r="AY238" s="165">
        <f>IF(4/SQRT((Table_03[[#This Row],[Depth h (in)]]-Table_03[[#This Row],[Flange Thickness tf (in)]]*2)/Table_03[[#This Row],[Web Thickness tw (in)]])&lt;0.35,0.35,IF(4/SQRT(Table_03[[#This Row],[Depth h (in)]]/Table_03[[#This Row],[Web Thickness tw (in)]])&gt;0.76,0.76,4/SQRT(Table_03[[#This Row],[Depth h (in)]]/Table_03[[#This Row],[Web Thickness tw (in)]])))</f>
        <v>0.55141548816695918</v>
      </c>
      <c r="AZ238" s="165"/>
    </row>
    <row r="239" spans="1:52" x14ac:dyDescent="0.3">
      <c r="A239" s="188" t="s">
        <v>331</v>
      </c>
      <c r="B239" s="189">
        <v>27.3</v>
      </c>
      <c r="C239" s="189">
        <v>10.07</v>
      </c>
      <c r="D239" s="189">
        <v>0.56999999999999995</v>
      </c>
      <c r="E239" s="189">
        <v>0.93</v>
      </c>
      <c r="F239" s="190">
        <v>33.5</v>
      </c>
      <c r="G239" s="189">
        <v>114</v>
      </c>
      <c r="H239" s="190">
        <v>4090</v>
      </c>
      <c r="I239" s="190">
        <v>159</v>
      </c>
      <c r="J239" s="190">
        <f>Table_03[[#This Row],[Width w (in)]]*Table_03[[#This Row],[Flange Thickness tf (in)]]*(Table_03[[#This Row],[Depth h (in)]]-Table_03[[#This Row],[Flange Thickness tf (in)]])+0.25*Table_03[[#This Row],[Web Thickness tw (in)]]*(Table_03[[#This Row],[Depth h (in)]]-2*Table_03[[#This Row],[Flange Thickness tf (in)]])^2</f>
        <v>339.18277499999999</v>
      </c>
      <c r="K239" s="190">
        <f>(Table_03[[#This Row],[Width w (in)]]^2*Table_03[[#This Row],[Flange Thickness tf (in)]])/2+0.25*Table_03[[#This Row],[Web Thickness tw (in)]]^2*(Table_03[[#This Row],[Depth h (in)]]-2*Table_03[[#This Row],[Flange Thickness tf (in)]])</f>
        <v>49.219642500000006</v>
      </c>
      <c r="L239" s="190">
        <v>299</v>
      </c>
      <c r="M239" s="190">
        <v>31.5</v>
      </c>
      <c r="N239" s="191">
        <v>50</v>
      </c>
      <c r="O239" s="169">
        <f>SQRT(Table_03[[#This Row],[Static Parameters Moment of Inertia Ix (in4)]]/Table_03[[#This Row],[Sectional Area (in2)]])</f>
        <v>11.049414112920466</v>
      </c>
      <c r="P239" s="190">
        <f>SQRT(Table_03[[#This Row],[Static Parameters Moment of Inertia Iy (in4)]]/Table_03[[#This Row],[Sectional Area (in2)]])</f>
        <v>2.1785932747340468</v>
      </c>
      <c r="Q239" s="190">
        <f>($B$6*$B$5*12)/Table_03[[#This Row],[ry (in)2]]</f>
        <v>82.415567000186712</v>
      </c>
      <c r="R239" s="190">
        <f>(PI()^2*$B$4)/(Table_03[[#This Row],[KL/ry]]^2)</f>
        <v>42.138516459450365</v>
      </c>
      <c r="S239" s="190">
        <f>IF(Table_03[[#This Row],[Strength (ksi)]]/Table_03[[#This Row],[Fe,y]]&lt;2.25,(0.658^(Table_03[[#This Row],[Strength (ksi)]]/Table_03[[#This Row],[Fe,y]])*Table_03[[#This Row],[Strength (ksi)]]),0.877*Table_03[[#This Row],[Fe,y]])</f>
        <v>30.428713754316032</v>
      </c>
      <c r="T239" s="190">
        <f>Table_03[[#This Row],[Fcr,y]]*Table_03[[#This Row],[Sectional Area (in2)]]</f>
        <v>1019.3619107695871</v>
      </c>
      <c r="U239" s="190">
        <f>1.76*Table_03[[#This Row],[ry (in)2]]*SQRT($B$4/Table_03[[#This Row],[Strength (ksi)]])/12</f>
        <v>7.6952295101530508</v>
      </c>
      <c r="V23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22.951065760724884</v>
      </c>
      <c r="W239" s="190">
        <f>Table_03[[#This Row],[Depth h (in)]]-Table_03[[#This Row],[Flange Thickness tf (in)]]</f>
        <v>26.37</v>
      </c>
      <c r="X239" s="190">
        <f>(Table_03[[#This Row],[Static Parameters Moment of Inertia Iy (in4)]]*Table_03[[#This Row],[ho]]^2)/4</f>
        <v>27641.231775000004</v>
      </c>
      <c r="Y239" s="190">
        <f>SQRT((SQRT(Table_03[[#This Row],[Static Parameters Moment of Inertia Iy (in4)]]*Table_03[[#This Row],[Cw*]])/Table_03[[#This Row],[Static Parameters Elastic Section Modulus Sx (in3)2]]))</f>
        <v>2.6479088739385039</v>
      </c>
      <c r="Z239" s="190">
        <f>(2*Table_03[[#This Row],[Width w (in)]]*Table_03[[#This Row],[Flange Thickness tf (in)]]^3/3)+((Table_03[[#This Row],[Depth h (in)]]-Table_03[[#This Row],[Flange Thickness tf (in)]]*2)*Table_03[[#This Row],[Web Thickness tw (in)]]^3)/3</f>
        <v>6.9703533000000011</v>
      </c>
      <c r="AA239" s="190">
        <f>Table_03[[#This Row],[Width w (in)]]*0.5/Table_03[[#This Row],[Flange Thickness tf (in)]]</f>
        <v>5.413978494623656</v>
      </c>
      <c r="AB239" s="190">
        <f>0.38*SQRT($B$4/Table_03[[#This Row],[Strength (ksi)]])</f>
        <v>9.1516118798821449</v>
      </c>
      <c r="AC239" s="190">
        <f>1*SQRT($B$4/Table_03[[#This Row],[Strength (ksi)]])</f>
        <v>24.083189157584592</v>
      </c>
      <c r="AD239" s="190">
        <f>(PI()^2*$B$4/(12*$B$5/Table_03[[#This Row],[rts]])^2)*SQRT(1+0.078*(Table_03[[#This Row],[J*]]/(Table_03[[#This Row],[Static Parameters Elastic Section Modulus Sx (in3)2]]*Table_03[[#This Row],[ho]])*$B$4/(12*$B$5/Table_03[[#This Row],[rts]])^2))</f>
        <v>274.78161083810335</v>
      </c>
      <c r="AE239" s="190">
        <f>0.69*$B$4/Table_03[[#This Row],[b/t]]^2</f>
        <v>682.6750581086319</v>
      </c>
      <c r="AF239" s="192">
        <f>Table_03[[#This Row],[Strength (ksi)]]*Table_03[[#This Row],[Static Parameters Plastic Section Modulus Zx (in3)]]</f>
        <v>16959.138749999998</v>
      </c>
      <c r="AG239" s="190">
        <f>Table_03[[#This Row],[Mp (k-in)]]-(Table_03[[#This Row],[Mp (k-in)]]-0.7*Table_03[[#This Row],[Strength (ksi)]]*Table_03[[#This Row],[Static Parameters Elastic Section Modulus Sx (in3)2]])*((Table_03[[#This Row],[b/t]]-Table_03[[#This Row],[λpf]])/(Table_03[[#This Row],[λrf]]-Table_03[[#This Row],[λpf]]))</f>
        <v>18584.734582849327</v>
      </c>
      <c r="AH239" s="193">
        <f>0.9*$B$4*Table_03[[#This Row],[kc]]*Table_03[[#This Row],[Static Parameters Elastic Section Modulus Sx (in3)2]]/Table_03[[#This Row],[b/t]]^2</f>
        <v>153884.45070054615</v>
      </c>
      <c r="AI239" s="194" t="str">
        <f>IF(Table_03[[#This Row],[b/t]]&lt;Table_03[[#This Row],[λpf]],"Compact",IF(AND(Table_03[[#This Row],[b/t]]&gt;Table_03[[#This Row],[λpf]],Table_03[[#This Row],[λrf]]&gt;Table_03[[#This Row],[b/t]]),"Non-Compact","Slender"))</f>
        <v>Compact</v>
      </c>
      <c r="AJ239" s="195">
        <f>IF(Table_03[[#This Row],[Controlling LBx]]="Compact",Table_03[[#This Row],[Mp (k-in)]],IF(Table_03[[#This Row],[Controlling LBx]]="Non-Compact",Table_03[[#This Row],[Mnlb,Non-Compact (k-in)]],IF(Table_03[[#This Row],[Controlling LBx]]="Slender",Table_03[[#This Row],[Mnlb,slender (k-in)]],"ERROR")))</f>
        <v>16959.138749999998</v>
      </c>
      <c r="AK239" s="192">
        <f>Table_03[[#This Row],[Mp (k-in)]]-(Table_03[[#This Row],[Mp (k-in)]]-0.7*Table_03[[#This Row],[Strength (ksi)]]*Table_03[[#This Row],[Static Parameters Elastic Section Modulus Sx (in3)2]])*(($B$5-Table_03[[#This Row],[Lp (ft)]])/(Table_03[[#This Row],[Lr]]-Table_03[[#This Row],[Lp (ft)]]))</f>
        <v>17201.875332738269</v>
      </c>
      <c r="AL239" s="196">
        <f>Table_03[[#This Row],[Fcrx]]*Table_03[[#This Row],[Static Parameters Elastic Section Modulus Sx (in3)2]]</f>
        <v>82159.701640592903</v>
      </c>
      <c r="AM239" s="197" t="str">
        <f>IF($B$5&lt;Table_03[[#This Row],[Lp (ft)]],"Yielding Controls",IF(AND($B$5&gt;Table_03[[#This Row],[Lp (ft)]],Table_03[[#This Row],[Lr]]&gt;$B$5),"Mltb,p Controls","Mltb,r Controls"))</f>
        <v>Yielding Controls</v>
      </c>
      <c r="AN239" s="198">
        <f>IF(Table_03[[#This Row],[Controlling LTB]]="Yielding Controls",Table_03[[#This Row],[Mp (k-in)]],IF(Table_03[[#This Row],[Controlling LTB]]="Mltb,p Controls",Table_03[[#This Row],[Mnltbp (k-in)]],IF(Table_03[[#This Row],[Controlling LTB]]="Mltb,r Controls",Table_03[[#This Row],[Mnltbr (k-in)]],"ERROR")))</f>
        <v>16959.138749999998</v>
      </c>
      <c r="AO239" s="199">
        <f>MIN(Table_03[[#This Row],[Strength (ksi)]]*Table_03[[#This Row],[Static Parameters Plastic Section Modulus Zy (in3)]],1.6*Table_03[[#This Row],[Strength (ksi)]]*Table_03[[#This Row],[Static Parameters Elastic Section Modulus Sy (in3)3]])</f>
        <v>2460.9821250000005</v>
      </c>
      <c r="AP239" s="169">
        <f>MIN(Table_03[[#This Row],[Mny (k-in)]],Table_03[[#This Row],[Mny (k-in)]]-(Table_03[[#This Row],[Mny (k-in)]]-0.7*Table_03[[#This Row],[Static Parameters Elastic Section Modulus Sy (in3)3]]*Table_03[[#This Row],[Strength (ksi)]])*((Table_03[[#This Row],[b/t]]-Table_03[[#This Row],[λpf]])/(Table_03[[#This Row],[λrf]]-Table_03[[#This Row],[λpf]])))</f>
        <v>2460.9821250000005</v>
      </c>
      <c r="AQ239" s="196">
        <f>MIN(Table_03[[#This Row],[Mny (k-in)]],Table_03[[#This Row],[Fcry]]*Table_03[[#This Row],[Static Parameters Elastic Section Modulus Sy (in3)3]])</f>
        <v>2460.9821250000005</v>
      </c>
      <c r="AR239" s="197" t="str">
        <f>IF(Table_03[[#This Row],[b/t]]&lt;Table_03[[#This Row],[λpf]],"Compact",IF(AND(Table_03[[#This Row],[b/t]]&gt;Table_03[[#This Row],[λpf]],Table_03[[#This Row],[λrf]]&gt;Table_03[[#This Row],[b/t]]),"Non-Compact","Slender"))</f>
        <v>Compact</v>
      </c>
      <c r="AS239" s="198">
        <f>IF(Table_03[[#This Row],[Controlling Lby]]="Compact",Table_03[[#This Row],[Mny (k-in)]],IF(Table_03[[#This Row],[Controlling Lby]]="Non-Compact",Table_03[[#This Row],[Mlby,Non-Compact (k-in)]],IF(Table_03[[#This Row],[Controlling Lby]]="Slender",Table_03[[#This Row],[Mlby,Slender (k-in)]],"ERROR")))</f>
        <v>2460.9821250000005</v>
      </c>
      <c r="AT239" s="199">
        <f>MIN(Table_03[[#This Row],[LBx]],Table_03[[#This Row],[LTB]],Table_03[[#This Row],[Mp (k-in)]])</f>
        <v>16959.138749999998</v>
      </c>
      <c r="AU239" s="169">
        <f>Table_03[[#This Row],[Mp (k-in)]]</f>
        <v>16959.138749999998</v>
      </c>
      <c r="AV239" s="169">
        <f>MIN(Table_03[[#This Row],[LBy]],Table_03[[#This Row],[Mny (k-in)]])</f>
        <v>2460.9821250000005</v>
      </c>
      <c r="AW239" s="200">
        <f>Table_03[[#This Row],[Mny (k-in)]]</f>
        <v>2460.9821250000005</v>
      </c>
      <c r="AX239" s="165">
        <f>SQRT(((Table_03[[#This Row],[Sectional Area (in2)]]-(Table_03[[#This Row],[Flange Thickness tf (in)]]*Table_03[[#This Row],[Width w (in)]]*2+Table_03[[#This Row],[Web Thickness tw (in)]]*((Table_03[[#This Row],[Depth h (in)]]-2*Table_03[[#This Row],[Flange Thickness tf (in)]]))))/4)/(1-PI()/4))</f>
        <v>0.55979553109629865</v>
      </c>
      <c r="AY239" s="165">
        <f>IF(4/SQRT((Table_03[[#This Row],[Depth h (in)]]-Table_03[[#This Row],[Flange Thickness tf (in)]]*2)/Table_03[[#This Row],[Web Thickness tw (in)]])&lt;0.35,0.35,IF(4/SQRT(Table_03[[#This Row],[Depth h (in)]]/Table_03[[#This Row],[Web Thickness tw (in)]])&gt;0.76,0.76,4/SQRT(Table_03[[#This Row],[Depth h (in)]]/Table_03[[#This Row],[Web Thickness tw (in)]])))</f>
        <v>0.57798437181807438</v>
      </c>
      <c r="AZ239" s="165"/>
    </row>
    <row r="240" spans="1:52" ht="14.4" thickBot="1" x14ac:dyDescent="0.35">
      <c r="A240" s="201" t="s">
        <v>332</v>
      </c>
      <c r="B240" s="202">
        <v>27.4</v>
      </c>
      <c r="C240" s="202">
        <v>14</v>
      </c>
      <c r="D240" s="202">
        <v>0.60499999999999998</v>
      </c>
      <c r="E240" s="202">
        <v>0.97499999999999998</v>
      </c>
      <c r="F240" s="203">
        <v>42.9</v>
      </c>
      <c r="G240" s="204">
        <v>146</v>
      </c>
      <c r="H240" s="203">
        <v>5630</v>
      </c>
      <c r="I240" s="203">
        <v>443</v>
      </c>
      <c r="J240" s="203">
        <f>Table_03[[#This Row],[Width w (in)]]*Table_03[[#This Row],[Flange Thickness tf (in)]]*(Table_03[[#This Row],[Depth h (in)]]-Table_03[[#This Row],[Flange Thickness tf (in)]])+0.25*Table_03[[#This Row],[Web Thickness tw (in)]]*(Table_03[[#This Row],[Depth h (in)]]-2*Table_03[[#This Row],[Flange Thickness tf (in)]])^2</f>
        <v>458.66625312499997</v>
      </c>
      <c r="K240" s="203">
        <f>(Table_03[[#This Row],[Width w (in)]]^2*Table_03[[#This Row],[Flange Thickness tf (in)]])/2+0.25*Table_03[[#This Row],[Web Thickness tw (in)]]^2*(Table_03[[#This Row],[Depth h (in)]]-2*Table_03[[#This Row],[Flange Thickness tf (in)]])</f>
        <v>97.87883406249999</v>
      </c>
      <c r="L240" s="203">
        <v>411</v>
      </c>
      <c r="M240" s="203">
        <v>63.5</v>
      </c>
      <c r="N240" s="205">
        <v>50</v>
      </c>
      <c r="O240" s="206">
        <f>SQRT(Table_03[[#This Row],[Static Parameters Moment of Inertia Ix (in4)]]/Table_03[[#This Row],[Sectional Area (in2)]])</f>
        <v>11.455803386730729</v>
      </c>
      <c r="P240" s="203">
        <f>SQRT(Table_03[[#This Row],[Static Parameters Moment of Inertia Iy (in4)]]/Table_03[[#This Row],[Sectional Area (in2)]])</f>
        <v>3.2134623580089321</v>
      </c>
      <c r="Q240" s="203">
        <f>($B$6*$B$5*12)/Table_03[[#This Row],[ry (in)2]]</f>
        <v>55.874312500504772</v>
      </c>
      <c r="R240" s="203">
        <f>(PI()^2*$B$4)/(Table_03[[#This Row],[KL/ry]]^2)</f>
        <v>91.679736921680245</v>
      </c>
      <c r="S240" s="203">
        <f>IF(Table_03[[#This Row],[Strength (ksi)]]/Table_03[[#This Row],[Fe,y]]&lt;2.25,(0.658^(Table_03[[#This Row],[Strength (ksi)]]/Table_03[[#This Row],[Fe,y]])*Table_03[[#This Row],[Strength (ksi)]]),0.877*Table_03[[#This Row],[Fe,y]])</f>
        <v>39.795560595708743</v>
      </c>
      <c r="T240" s="203">
        <f>Table_03[[#This Row],[Fcr,y]]*Table_03[[#This Row],[Sectional Area (in2)]]</f>
        <v>1707.2295495559051</v>
      </c>
      <c r="U240" s="203">
        <f>1.76*Table_03[[#This Row],[ry (in)2]]*SQRT($B$4/Table_03[[#This Row],[Strength (ksi)]])/12</f>
        <v>11.350595200077017</v>
      </c>
      <c r="V24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33.139333248992095</v>
      </c>
      <c r="W240" s="203">
        <f>Table_03[[#This Row],[Depth h (in)]]-Table_03[[#This Row],[Flange Thickness tf (in)]]</f>
        <v>26.424999999999997</v>
      </c>
      <c r="X240" s="203">
        <f>(Table_03[[#This Row],[Static Parameters Moment of Inertia Iy (in4)]]*Table_03[[#This Row],[ho]]^2)/4</f>
        <v>77334.57921874999</v>
      </c>
      <c r="Y240" s="203">
        <f>SQRT((SQRT(Table_03[[#This Row],[Static Parameters Moment of Inertia Iy (in4)]]*Table_03[[#This Row],[Cw*]])/Table_03[[#This Row],[Static Parameters Elastic Section Modulus Sx (in3)2]]))</f>
        <v>3.7737528353466794</v>
      </c>
      <c r="Z240" s="203">
        <f>(2*Table_03[[#This Row],[Width w (in)]]*Table_03[[#This Row],[Flange Thickness tf (in)]]^3/3)+((Table_03[[#This Row],[Depth h (in)]]-Table_03[[#This Row],[Flange Thickness tf (in)]]*2)*Table_03[[#This Row],[Web Thickness tw (in)]]^3)/3</f>
        <v>10.529280310416665</v>
      </c>
      <c r="AA240" s="203">
        <f>Table_03[[#This Row],[Width w (in)]]*0.5/Table_03[[#This Row],[Flange Thickness tf (in)]]</f>
        <v>7.1794871794871797</v>
      </c>
      <c r="AB240" s="203">
        <f>0.38*SQRT($B$4/Table_03[[#This Row],[Strength (ksi)]])</f>
        <v>9.1516118798821449</v>
      </c>
      <c r="AC240" s="203">
        <f>1*SQRT($B$4/Table_03[[#This Row],[Strength (ksi)]])</f>
        <v>24.083189157584592</v>
      </c>
      <c r="AD240" s="203">
        <f>(PI()^2*$B$4/(12*$B$5/Table_03[[#This Row],[rts]])^2)*SQRT(1+0.078*(Table_03[[#This Row],[J*]]/(Table_03[[#This Row],[Static Parameters Elastic Section Modulus Sx (in3)2]]*Table_03[[#This Row],[ho]])*$B$4/(12*$B$5/Table_03[[#This Row],[rts]])^2))</f>
        <v>558.77650087188931</v>
      </c>
      <c r="AE240" s="203">
        <f>0.69*$B$4/Table_03[[#This Row],[b/t]]^2</f>
        <v>388.20420918367347</v>
      </c>
      <c r="AF240" s="207">
        <f>Table_03[[#This Row],[Strength (ksi)]]*Table_03[[#This Row],[Static Parameters Plastic Section Modulus Zx (in3)]]</f>
        <v>22933.31265625</v>
      </c>
      <c r="AG240" s="203">
        <f>Table_03[[#This Row],[Mp (k-in)]]-(Table_03[[#This Row],[Mp (k-in)]]-0.7*Table_03[[#This Row],[Strength (ksi)]]*Table_03[[#This Row],[Static Parameters Elastic Section Modulus Sx (in3)2]])*((Table_03[[#This Row],[b/t]]-Table_03[[#This Row],[λpf]])/(Table_03[[#This Row],[λrf]]-Table_03[[#This Row],[λpf]]))</f>
        <v>24062.352021787381</v>
      </c>
      <c r="AH240" s="208">
        <f>0.9*$B$4*Table_03[[#This Row],[kc]]*Table_03[[#This Row],[Static Parameters Elastic Section Modulus Sx (in3)2]]/Table_03[[#This Row],[b/t]]^2</f>
        <v>123696.63284455362</v>
      </c>
      <c r="AI240" s="209" t="str">
        <f>IF(Table_03[[#This Row],[b/t]]&lt;Table_03[[#This Row],[λpf]],"Compact",IF(AND(Table_03[[#This Row],[b/t]]&gt;Table_03[[#This Row],[λpf]],Table_03[[#This Row],[λrf]]&gt;Table_03[[#This Row],[b/t]]),"Non-Compact","Slender"))</f>
        <v>Compact</v>
      </c>
      <c r="AJ240" s="210">
        <f>IF(Table_03[[#This Row],[Controlling LBx]]="Compact",Table_03[[#This Row],[Mp (k-in)]],IF(Table_03[[#This Row],[Controlling LBx]]="Non-Compact",Table_03[[#This Row],[Mnlb,Non-Compact (k-in)]],IF(Table_03[[#This Row],[Controlling LBx]]="Slender",Table_03[[#This Row],[Mnlb,slender (k-in)]],"ERROR")))</f>
        <v>22933.31265625</v>
      </c>
      <c r="AK240" s="207">
        <f>Table_03[[#This Row],[Mp (k-in)]]-(Table_03[[#This Row],[Mp (k-in)]]-0.7*Table_03[[#This Row],[Strength (ksi)]]*Table_03[[#This Row],[Static Parameters Elastic Section Modulus Sx (in3)2]])*(($B$5-Table_03[[#This Row],[Lp (ft)]])/(Table_03[[#This Row],[Lr]]-Table_03[[#This Row],[Lp (ft)]]))</f>
        <v>24591.128214356919</v>
      </c>
      <c r="AL240" s="211">
        <f>Table_03[[#This Row],[Fcrx]]*Table_03[[#This Row],[Static Parameters Elastic Section Modulus Sx (in3)2]]</f>
        <v>229657.1418583465</v>
      </c>
      <c r="AM240" s="212" t="str">
        <f>IF($B$5&lt;Table_03[[#This Row],[Lp (ft)]],"Yielding Controls",IF(AND($B$5&gt;Table_03[[#This Row],[Lp (ft)]],Table_03[[#This Row],[Lr]]&gt;$B$5),"Mltb,p Controls","Mltb,r Controls"))</f>
        <v>Yielding Controls</v>
      </c>
      <c r="AN240" s="213">
        <f>IF(Table_03[[#This Row],[Controlling LTB]]="Yielding Controls",Table_03[[#This Row],[Mp (k-in)]],IF(Table_03[[#This Row],[Controlling LTB]]="Mltb,p Controls",Table_03[[#This Row],[Mnltbp (k-in)]],IF(Table_03[[#This Row],[Controlling LTB]]="Mltb,r Controls",Table_03[[#This Row],[Mnltbr (k-in)]],"ERROR")))</f>
        <v>22933.31265625</v>
      </c>
      <c r="AO240" s="214">
        <f>MIN(Table_03[[#This Row],[Strength (ksi)]]*Table_03[[#This Row],[Static Parameters Plastic Section Modulus Zy (in3)]],1.6*Table_03[[#This Row],[Strength (ksi)]]*Table_03[[#This Row],[Static Parameters Elastic Section Modulus Sy (in3)3]])</f>
        <v>4893.9417031249995</v>
      </c>
      <c r="AP240" s="206">
        <f>MIN(Table_03[[#This Row],[Mny (k-in)]],Table_03[[#This Row],[Mny (k-in)]]-(Table_03[[#This Row],[Mny (k-in)]]-0.7*Table_03[[#This Row],[Static Parameters Elastic Section Modulus Sy (in3)3]]*Table_03[[#This Row],[Strength (ksi)]])*((Table_03[[#This Row],[b/t]]-Table_03[[#This Row],[λpf]])/(Table_03[[#This Row],[λrf]]-Table_03[[#This Row],[λpf]])))</f>
        <v>4893.9417031249995</v>
      </c>
      <c r="AQ240" s="211">
        <f>MIN(Table_03[[#This Row],[Mny (k-in)]],Table_03[[#This Row],[Fcry]]*Table_03[[#This Row],[Static Parameters Elastic Section Modulus Sy (in3)3]])</f>
        <v>4893.9417031249995</v>
      </c>
      <c r="AR240" s="212" t="str">
        <f>IF(Table_03[[#This Row],[b/t]]&lt;Table_03[[#This Row],[λpf]],"Compact",IF(AND(Table_03[[#This Row],[b/t]]&gt;Table_03[[#This Row],[λpf]],Table_03[[#This Row],[λrf]]&gt;Table_03[[#This Row],[b/t]]),"Non-Compact","Slender"))</f>
        <v>Compact</v>
      </c>
      <c r="AS240" s="213">
        <f>IF(Table_03[[#This Row],[Controlling Lby]]="Compact",Table_03[[#This Row],[Mny (k-in)]],IF(Table_03[[#This Row],[Controlling Lby]]="Non-Compact",Table_03[[#This Row],[Mlby,Non-Compact (k-in)]],IF(Table_03[[#This Row],[Controlling Lby]]="Slender",Table_03[[#This Row],[Mlby,Slender (k-in)]],"ERROR")))</f>
        <v>4893.9417031249995</v>
      </c>
      <c r="AT240" s="214">
        <f>MIN(Table_03[[#This Row],[LBx]],Table_03[[#This Row],[LTB]],Table_03[[#This Row],[Mp (k-in)]])</f>
        <v>22933.31265625</v>
      </c>
      <c r="AU240" s="206">
        <f>Table_03[[#This Row],[Mp (k-in)]]</f>
        <v>22933.31265625</v>
      </c>
      <c r="AV240" s="206">
        <f>MIN(Table_03[[#This Row],[LBy]],Table_03[[#This Row],[Mny (k-in)]])</f>
        <v>4893.9417031249995</v>
      </c>
      <c r="AW240" s="215">
        <f>Table_03[[#This Row],[Mny (k-in)]]</f>
        <v>4893.9417031249995</v>
      </c>
      <c r="AX240" s="165">
        <f>SQRT(((Table_03[[#This Row],[Sectional Area (in2)]]-(Table_03[[#This Row],[Flange Thickness tf (in)]]*Table_03[[#This Row],[Width w (in)]]*2+Table_03[[#This Row],[Web Thickness tw (in)]]*((Table_03[[#This Row],[Depth h (in)]]-2*Table_03[[#This Row],[Flange Thickness tf (in)]]))))/4)/(1-PI()/4))</f>
        <v>0.48599714563783725</v>
      </c>
      <c r="AY240" s="165">
        <f>IF(4/SQRT((Table_03[[#This Row],[Depth h (in)]]-Table_03[[#This Row],[Flange Thickness tf (in)]]*2)/Table_03[[#This Row],[Web Thickness tw (in)]])&lt;0.35,0.35,IF(4/SQRT(Table_03[[#This Row],[Depth h (in)]]/Table_03[[#This Row],[Web Thickness tw (in)]])&gt;0.76,0.76,4/SQRT(Table_03[[#This Row],[Depth h (in)]]/Table_03[[#This Row],[Web Thickness tw (in)]])))</f>
        <v>0.59437754965412914</v>
      </c>
      <c r="AZ240" s="165"/>
    </row>
    <row r="241" spans="1:52" x14ac:dyDescent="0.3">
      <c r="A241" s="179" t="s">
        <v>333</v>
      </c>
      <c r="B241" s="180">
        <v>27.6</v>
      </c>
      <c r="C241" s="180">
        <v>14.02</v>
      </c>
      <c r="D241" s="180">
        <v>0.66</v>
      </c>
      <c r="E241" s="180">
        <v>1.08</v>
      </c>
      <c r="F241" s="181">
        <v>47.4</v>
      </c>
      <c r="G241" s="180">
        <v>161</v>
      </c>
      <c r="H241" s="180">
        <v>6280</v>
      </c>
      <c r="I241" s="180">
        <v>497</v>
      </c>
      <c r="J241" s="181">
        <f>Table_03[[#This Row],[Width w (in)]]*Table_03[[#This Row],[Flange Thickness tf (in)]]*(Table_03[[#This Row],[Depth h (in)]]-Table_03[[#This Row],[Flange Thickness tf (in)]])+0.25*Table_03[[#This Row],[Web Thickness tw (in)]]*(Table_03[[#This Row],[Depth h (in)]]-2*Table_03[[#This Row],[Flange Thickness tf (in)]])^2</f>
        <v>508.34217600000005</v>
      </c>
      <c r="K241" s="181">
        <f>(Table_03[[#This Row],[Width w (in)]]^2*Table_03[[#This Row],[Flange Thickness tf (in)]])/2+0.25*Table_03[[#This Row],[Web Thickness tw (in)]]^2*(Table_03[[#This Row],[Depth h (in)]]-2*Table_03[[#This Row],[Flange Thickness tf (in)]])</f>
        <v>108.913032</v>
      </c>
      <c r="L241" s="181">
        <v>455</v>
      </c>
      <c r="M241" s="181">
        <v>70.900000000000006</v>
      </c>
      <c r="N241" s="182">
        <v>50</v>
      </c>
      <c r="O241" s="181">
        <f>SQRT(Table_03[[#This Row],[Static Parameters Moment of Inertia Ix (in4)]]/Table_03[[#This Row],[Sectional Area (in2)]])</f>
        <v>11.510406225533192</v>
      </c>
      <c r="P241" s="181">
        <f>SQRT(Table_03[[#This Row],[Static Parameters Moment of Inertia Iy (in4)]]/Table_03[[#This Row],[Sectional Area (in2)]])</f>
        <v>3.238090805939597</v>
      </c>
      <c r="Q241" s="181">
        <f>($B$6*$B$5*12)/Table_03[[#This Row],[ry (in)2]]</f>
        <v>55.449340602386222</v>
      </c>
      <c r="R241" s="181">
        <f>(PI()^2*$B$4)/(Table_03[[#This Row],[KL/ry]]^2)</f>
        <v>93.090416075102667</v>
      </c>
      <c r="S241" s="181">
        <f>IF(Table_03[[#This Row],[Strength (ksi)]]/Table_03[[#This Row],[Fe,y]]&lt;2.25,(0.658^(Table_03[[#This Row],[Strength (ksi)]]/Table_03[[#This Row],[Fe,y]])*Table_03[[#This Row],[Strength (ksi)]]),0.877*Table_03[[#This Row],[Fe,y]])</f>
        <v>39.933457213822884</v>
      </c>
      <c r="T241" s="181">
        <f>Table_03[[#This Row],[Fcr,y]]*Table_03[[#This Row],[Sectional Area (in2)]]</f>
        <v>1892.8458719352045</v>
      </c>
      <c r="U241" s="181">
        <f>1.76*Table_03[[#This Row],[ry (in)2]]*SQRT($B$4/Table_03[[#This Row],[Strength (ksi)]])/12</f>
        <v>11.437587830368898</v>
      </c>
      <c r="V241"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34.486759806136327</v>
      </c>
      <c r="W241" s="181">
        <f>Table_03[[#This Row],[Depth h (in)]]-Table_03[[#This Row],[Flange Thickness tf (in)]]</f>
        <v>26.520000000000003</v>
      </c>
      <c r="X241" s="181">
        <f>(Table_03[[#This Row],[Static Parameters Moment of Inertia Iy (in4)]]*Table_03[[#This Row],[ho]]^2)/4</f>
        <v>87386.31720000002</v>
      </c>
      <c r="Y241" s="181">
        <f>SQRT((SQRT(Table_03[[#This Row],[Static Parameters Moment of Inertia Iy (in4)]]*Table_03[[#This Row],[Cw*]])/Table_03[[#This Row],[Static Parameters Elastic Section Modulus Sx (in3)2]]))</f>
        <v>3.805785070126793</v>
      </c>
      <c r="Z241" s="181">
        <f>(2*Table_03[[#This Row],[Width w (in)]]*Table_03[[#This Row],[Flange Thickness tf (in)]]^3/3)+((Table_03[[#This Row],[Depth h (in)]]-Table_03[[#This Row],[Flange Thickness tf (in)]]*2)*Table_03[[#This Row],[Web Thickness tw (in)]]^3)/3</f>
        <v>14.212074240000003</v>
      </c>
      <c r="AA241" s="181">
        <f>Table_03[[#This Row],[Width w (in)]]*0.5/Table_03[[#This Row],[Flange Thickness tf (in)]]</f>
        <v>6.4907407407407405</v>
      </c>
      <c r="AB241" s="181">
        <f>0.38*SQRT($B$4/Table_03[[#This Row],[Strength (ksi)]])</f>
        <v>9.1516118798821449</v>
      </c>
      <c r="AC241" s="181">
        <f>1*SQRT($B$4/Table_03[[#This Row],[Strength (ksi)]])</f>
        <v>24.083189157584592</v>
      </c>
      <c r="AD241" s="181">
        <f>(PI()^2*$B$4/(12*$B$5/Table_03[[#This Row],[rts]])^2)*SQRT(1+0.078*(Table_03[[#This Row],[J*]]/(Table_03[[#This Row],[Static Parameters Elastic Section Modulus Sx (in3)2]]*Table_03[[#This Row],[ho]])*$B$4/(12*$B$5/Table_03[[#This Row],[rts]])^2))</f>
        <v>568.58743192507279</v>
      </c>
      <c r="AE241" s="181">
        <f>0.69*$B$4/Table_03[[#This Row],[b/t]]^2</f>
        <v>474.96167081467075</v>
      </c>
      <c r="AF241" s="183">
        <f>Table_03[[#This Row],[Strength (ksi)]]*Table_03[[#This Row],[Static Parameters Plastic Section Modulus Zx (in3)]]</f>
        <v>25417.108800000002</v>
      </c>
      <c r="AG241" s="181">
        <f>Table_03[[#This Row],[Mp (k-in)]]-(Table_03[[#This Row],[Mp (k-in)]]-0.7*Table_03[[#This Row],[Strength (ksi)]]*Table_03[[#This Row],[Static Parameters Elastic Section Modulus Sx (in3)2]])*((Table_03[[#This Row],[b/t]]-Table_03[[#This Row],[λpf]])/(Table_03[[#This Row],[λrf]]-Table_03[[#This Row],[λpf]]))</f>
        <v>27108.643316800662</v>
      </c>
      <c r="AH241" s="184">
        <f>0.9*$B$4*Table_03[[#This Row],[kc]]*Table_03[[#This Row],[Static Parameters Elastic Section Modulus Sx (in3)2]]/Table_03[[#This Row],[b/t]]^2</f>
        <v>174357.56575369806</v>
      </c>
      <c r="AI241" s="185" t="str">
        <f>IF(Table_03[[#This Row],[b/t]]&lt;Table_03[[#This Row],[λpf]],"Compact",IF(AND(Table_03[[#This Row],[b/t]]&gt;Table_03[[#This Row],[λpf]],Table_03[[#This Row],[λrf]]&gt;Table_03[[#This Row],[b/t]]),"Non-Compact","Slender"))</f>
        <v>Compact</v>
      </c>
      <c r="AJ241" s="186">
        <f>IF(Table_03[[#This Row],[Controlling LBx]]="Compact",Table_03[[#This Row],[Mp (k-in)]],IF(Table_03[[#This Row],[Controlling LBx]]="Non-Compact",Table_03[[#This Row],[Mnlb,Non-Compact (k-in)]],IF(Table_03[[#This Row],[Controlling LBx]]="Slender",Table_03[[#This Row],[Mnlb,slender (k-in)]],"ERROR")))</f>
        <v>25417.108800000002</v>
      </c>
      <c r="AK241" s="183">
        <f>Table_03[[#This Row],[Mp (k-in)]]-(Table_03[[#This Row],[Mp (k-in)]]-0.7*Table_03[[#This Row],[Strength (ksi)]]*Table_03[[#This Row],[Static Parameters Elastic Section Modulus Sx (in3)2]])*(($B$5-Table_03[[#This Row],[Lp (ft)]])/(Table_03[[#This Row],[Lr]]-Table_03[[#This Row],[Lp (ft)]]))</f>
        <v>27193.118495205315</v>
      </c>
      <c r="AL241" s="184">
        <f>Table_03[[#This Row],[Fcrx]]*Table_03[[#This Row],[Static Parameters Elastic Section Modulus Sx (in3)2]]</f>
        <v>258707.28152590813</v>
      </c>
      <c r="AM241" s="185" t="str">
        <f>IF($B$5&lt;Table_03[[#This Row],[Lp (ft)]],"Yielding Controls",IF(AND($B$5&gt;Table_03[[#This Row],[Lp (ft)]],Table_03[[#This Row],[Lr]]&gt;$B$5),"Mltb,p Controls","Mltb,r Controls"))</f>
        <v>Yielding Controls</v>
      </c>
      <c r="AN241" s="186">
        <f>IF(Table_03[[#This Row],[Controlling LTB]]="Yielding Controls",Table_03[[#This Row],[Mp (k-in)]],IF(Table_03[[#This Row],[Controlling LTB]]="Mltb,p Controls",Table_03[[#This Row],[Mnltbp (k-in)]],IF(Table_03[[#This Row],[Controlling LTB]]="Mltb,r Controls",Table_03[[#This Row],[Mnltbr (k-in)]],"ERROR")))</f>
        <v>25417.108800000002</v>
      </c>
      <c r="AO241" s="183">
        <f>MIN(Table_03[[#This Row],[Strength (ksi)]]*Table_03[[#This Row],[Static Parameters Plastic Section Modulus Zy (in3)]],1.6*Table_03[[#This Row],[Strength (ksi)]]*Table_03[[#This Row],[Static Parameters Elastic Section Modulus Sy (in3)3]])</f>
        <v>5445.6516000000001</v>
      </c>
      <c r="AP241" s="181">
        <f>MIN(Table_03[[#This Row],[Mny (k-in)]],Table_03[[#This Row],[Mny (k-in)]]-(Table_03[[#This Row],[Mny (k-in)]]-0.7*Table_03[[#This Row],[Static Parameters Elastic Section Modulus Sy (in3)3]]*Table_03[[#This Row],[Strength (ksi)]])*((Table_03[[#This Row],[b/t]]-Table_03[[#This Row],[λpf]])/(Table_03[[#This Row],[λrf]]-Table_03[[#This Row],[λpf]])))</f>
        <v>5445.6516000000001</v>
      </c>
      <c r="AQ241" s="184">
        <f>MIN(Table_03[[#This Row],[Mny (k-in)]],Table_03[[#This Row],[Fcry]]*Table_03[[#This Row],[Static Parameters Elastic Section Modulus Sy (in3)3]])</f>
        <v>5445.6516000000001</v>
      </c>
      <c r="AR241" s="185" t="str">
        <f>IF(Table_03[[#This Row],[b/t]]&lt;Table_03[[#This Row],[λpf]],"Compact",IF(AND(Table_03[[#This Row],[b/t]]&gt;Table_03[[#This Row],[λpf]],Table_03[[#This Row],[λrf]]&gt;Table_03[[#This Row],[b/t]]),"Non-Compact","Slender"))</f>
        <v>Compact</v>
      </c>
      <c r="AS241" s="186">
        <f>IF(Table_03[[#This Row],[Controlling Lby]]="Compact",Table_03[[#This Row],[Mny (k-in)]],IF(Table_03[[#This Row],[Controlling Lby]]="Non-Compact",Table_03[[#This Row],[Mlby,Non-Compact (k-in)]],IF(Table_03[[#This Row],[Controlling Lby]]="Slender",Table_03[[#This Row],[Mlby,Slender (k-in)]],"ERROR")))</f>
        <v>5445.6516000000001</v>
      </c>
      <c r="AT241" s="183">
        <f>MIN(Table_03[[#This Row],[LBx]],Table_03[[#This Row],[LTB]],Table_03[[#This Row],[Mp (k-in)]])</f>
        <v>25417.108800000002</v>
      </c>
      <c r="AU241" s="181">
        <f>Table_03[[#This Row],[Mp (k-in)]]</f>
        <v>25417.108800000002</v>
      </c>
      <c r="AV241" s="181">
        <f>MIN(Table_03[[#This Row],[LBy]],Table_03[[#This Row],[Mny (k-in)]])</f>
        <v>5445.6516000000001</v>
      </c>
      <c r="AW241" s="187">
        <f>Table_03[[#This Row],[Mny (k-in)]]</f>
        <v>5445.6516000000001</v>
      </c>
      <c r="AX241" s="165">
        <f>SQRT(((Table_03[[#This Row],[Sectional Area (in2)]]-(Table_03[[#This Row],[Flange Thickness tf (in)]]*Table_03[[#This Row],[Width w (in)]]*2+Table_03[[#This Row],[Web Thickness tw (in)]]*((Table_03[[#This Row],[Depth h (in)]]-2*Table_03[[#This Row],[Flange Thickness tf (in)]]))))/4)/(1-PI()/4))</f>
        <v>0.61663527071694435</v>
      </c>
      <c r="AY241" s="165">
        <f>IF(4/SQRT((Table_03[[#This Row],[Depth h (in)]]-Table_03[[#This Row],[Flange Thickness tf (in)]]*2)/Table_03[[#This Row],[Web Thickness tw (in)]])&lt;0.35,0.35,IF(4/SQRT(Table_03[[#This Row],[Depth h (in)]]/Table_03[[#This Row],[Web Thickness tw (in)]])&gt;0.76,0.76,4/SQRT(Table_03[[#This Row],[Depth h (in)]]/Table_03[[#This Row],[Web Thickness tw (in)]])))</f>
        <v>0.6185537128270866</v>
      </c>
      <c r="AZ241" s="165"/>
    </row>
    <row r="242" spans="1:52" x14ac:dyDescent="0.3">
      <c r="A242" s="188" t="s">
        <v>334</v>
      </c>
      <c r="B242" s="189">
        <v>27.8</v>
      </c>
      <c r="C242" s="189">
        <v>14.09</v>
      </c>
      <c r="D242" s="189">
        <v>0.72499999999999998</v>
      </c>
      <c r="E242" s="189">
        <v>1.19</v>
      </c>
      <c r="F242" s="190">
        <v>52.3</v>
      </c>
      <c r="G242" s="189">
        <v>178</v>
      </c>
      <c r="H242" s="190">
        <v>6990</v>
      </c>
      <c r="I242" s="190">
        <v>555</v>
      </c>
      <c r="J242" s="190">
        <f>Table_03[[#This Row],[Width w (in)]]*Table_03[[#This Row],[Flange Thickness tf (in)]]*(Table_03[[#This Row],[Depth h (in)]]-Table_03[[#This Row],[Flange Thickness tf (in)]])+0.25*Table_03[[#This Row],[Web Thickness tw (in)]]*(Table_03[[#This Row],[Depth h (in)]]-2*Table_03[[#This Row],[Flange Thickness tf (in)]])^2</f>
        <v>563.29200349999996</v>
      </c>
      <c r="K242" s="190">
        <f>(Table_03[[#This Row],[Width w (in)]]^2*Table_03[[#This Row],[Flange Thickness tf (in)]])/2+0.25*Table_03[[#This Row],[Web Thickness tw (in)]]^2*(Table_03[[#This Row],[Depth h (in)]]-2*Table_03[[#This Row],[Flange Thickness tf (in)]])</f>
        <v>121.46456637499999</v>
      </c>
      <c r="L242" s="190">
        <v>502</v>
      </c>
      <c r="M242" s="190">
        <v>78.8</v>
      </c>
      <c r="N242" s="191">
        <v>50</v>
      </c>
      <c r="O242" s="169">
        <f>SQRT(Table_03[[#This Row],[Static Parameters Moment of Inertia Ix (in4)]]/Table_03[[#This Row],[Sectional Area (in2)]])</f>
        <v>11.560796151138709</v>
      </c>
      <c r="P242" s="190">
        <f>SQRT(Table_03[[#This Row],[Static Parameters Moment of Inertia Iy (in4)]]/Table_03[[#This Row],[Sectional Area (in2)]])</f>
        <v>3.2575841791905282</v>
      </c>
      <c r="Q242" s="190">
        <f>($B$6*$B$5*12)/Table_03[[#This Row],[ry (in)2]]</f>
        <v>55.117531926562862</v>
      </c>
      <c r="R242" s="190">
        <f>(PI()^2*$B$4)/(Table_03[[#This Row],[KL/ry]]^2)</f>
        <v>94.214602170873263</v>
      </c>
      <c r="S242" s="190">
        <f>IF(Table_03[[#This Row],[Strength (ksi)]]/Table_03[[#This Row],[Fe,y]]&lt;2.25,(0.658^(Table_03[[#This Row],[Strength (ksi)]]/Table_03[[#This Row],[Fe,y]])*Table_03[[#This Row],[Strength (ksi)]]),0.877*Table_03[[#This Row],[Fe,y]])</f>
        <v>40.04072078689228</v>
      </c>
      <c r="T242" s="190">
        <f>Table_03[[#This Row],[Fcr,y]]*Table_03[[#This Row],[Sectional Area (in2)]]</f>
        <v>2094.1296971544662</v>
      </c>
      <c r="U242" s="190">
        <f>1.76*Table_03[[#This Row],[ry (in)2]]*SQRT($B$4/Table_03[[#This Row],[Strength (ksi)]])/12</f>
        <v>11.506442344349397</v>
      </c>
      <c r="V24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36.050972817068249</v>
      </c>
      <c r="W242" s="190">
        <f>Table_03[[#This Row],[Depth h (in)]]-Table_03[[#This Row],[Flange Thickness tf (in)]]</f>
        <v>26.61</v>
      </c>
      <c r="X242" s="190">
        <f>(Table_03[[#This Row],[Static Parameters Moment of Inertia Iy (in4)]]*Table_03[[#This Row],[ho]]^2)/4</f>
        <v>98247.778874999989</v>
      </c>
      <c r="Y242" s="190">
        <f>SQRT((SQRT(Table_03[[#This Row],[Static Parameters Moment of Inertia Iy (in4)]]*Table_03[[#This Row],[Cw*]])/Table_03[[#This Row],[Static Parameters Elastic Section Modulus Sx (in3)2]]))</f>
        <v>3.8353241265085387</v>
      </c>
      <c r="Z242" s="190">
        <f>(2*Table_03[[#This Row],[Width w (in)]]*Table_03[[#This Row],[Flange Thickness tf (in)]]^3/3)+((Table_03[[#This Row],[Depth h (in)]]-Table_03[[#This Row],[Flange Thickness tf (in)]]*2)*Table_03[[#This Row],[Web Thickness tw (in)]]^3)/3</f>
        <v>19.058262185833332</v>
      </c>
      <c r="AA242" s="190">
        <f>Table_03[[#This Row],[Width w (in)]]*0.5/Table_03[[#This Row],[Flange Thickness tf (in)]]</f>
        <v>5.920168067226891</v>
      </c>
      <c r="AB242" s="190">
        <f>0.38*SQRT($B$4/Table_03[[#This Row],[Strength (ksi)]])</f>
        <v>9.1516118798821449</v>
      </c>
      <c r="AC242" s="190">
        <f>1*SQRT($B$4/Table_03[[#This Row],[Strength (ksi)]])</f>
        <v>24.083189157584592</v>
      </c>
      <c r="AD242" s="190">
        <f>(PI()^2*$B$4/(12*$B$5/Table_03[[#This Row],[rts]])^2)*SQRT(1+0.078*(Table_03[[#This Row],[J*]]/(Table_03[[#This Row],[Static Parameters Elastic Section Modulus Sx (in3)2]]*Table_03[[#This Row],[ho]])*$B$4/(12*$B$5/Table_03[[#This Row],[rts]])^2))</f>
        <v>577.79690566770682</v>
      </c>
      <c r="AE242" s="190">
        <f>0.69*$B$4/Table_03[[#This Row],[b/t]]^2</f>
        <v>570.92494211146925</v>
      </c>
      <c r="AF242" s="192">
        <f>Table_03[[#This Row],[Strength (ksi)]]*Table_03[[#This Row],[Static Parameters Plastic Section Modulus Zx (in3)]]</f>
        <v>28164.600175</v>
      </c>
      <c r="AG242" s="190">
        <f>Table_03[[#This Row],[Mp (k-in)]]-(Table_03[[#This Row],[Mp (k-in)]]-0.7*Table_03[[#This Row],[Strength (ksi)]]*Table_03[[#This Row],[Static Parameters Elastic Section Modulus Sx (in3)2]])*((Table_03[[#This Row],[b/t]]-Table_03[[#This Row],[λpf]])/(Table_03[[#This Row],[λrf]]-Table_03[[#This Row],[λpf]]))</f>
        <v>30457.449386193846</v>
      </c>
      <c r="AH242" s="193">
        <f>0.9*$B$4*Table_03[[#This Row],[kc]]*Table_03[[#This Row],[Static Parameters Elastic Section Modulus Sx (in3)2]]/Table_03[[#This Row],[b/t]]^2</f>
        <v>241480.87955521827</v>
      </c>
      <c r="AI242" s="194" t="str">
        <f>IF(Table_03[[#This Row],[b/t]]&lt;Table_03[[#This Row],[λpf]],"Compact",IF(AND(Table_03[[#This Row],[b/t]]&gt;Table_03[[#This Row],[λpf]],Table_03[[#This Row],[λrf]]&gt;Table_03[[#This Row],[b/t]]),"Non-Compact","Slender"))</f>
        <v>Compact</v>
      </c>
      <c r="AJ242" s="195">
        <f>IF(Table_03[[#This Row],[Controlling LBx]]="Compact",Table_03[[#This Row],[Mp (k-in)]],IF(Table_03[[#This Row],[Controlling LBx]]="Non-Compact",Table_03[[#This Row],[Mnlb,Non-Compact (k-in)]],IF(Table_03[[#This Row],[Controlling LBx]]="Slender",Table_03[[#This Row],[Mnlb,slender (k-in)]],"ERROR")))</f>
        <v>28164.600175</v>
      </c>
      <c r="AK242" s="192">
        <f>Table_03[[#This Row],[Mp (k-in)]]-(Table_03[[#This Row],[Mp (k-in)]]-0.7*Table_03[[#This Row],[Strength (ksi)]]*Table_03[[#This Row],[Static Parameters Elastic Section Modulus Sx (in3)2]])*(($B$5-Table_03[[#This Row],[Lp (ft)]])/(Table_03[[#This Row],[Lr]]-Table_03[[#This Row],[Lp (ft)]]))</f>
        <v>30055.841479444254</v>
      </c>
      <c r="AL242" s="196">
        <f>Table_03[[#This Row],[Fcrx]]*Table_03[[#This Row],[Static Parameters Elastic Section Modulus Sx (in3)2]]</f>
        <v>290054.04664518882</v>
      </c>
      <c r="AM242" s="197" t="str">
        <f>IF($B$5&lt;Table_03[[#This Row],[Lp (ft)]],"Yielding Controls",IF(AND($B$5&gt;Table_03[[#This Row],[Lp (ft)]],Table_03[[#This Row],[Lr]]&gt;$B$5),"Mltb,p Controls","Mltb,r Controls"))</f>
        <v>Yielding Controls</v>
      </c>
      <c r="AN242" s="198">
        <f>IF(Table_03[[#This Row],[Controlling LTB]]="Yielding Controls",Table_03[[#This Row],[Mp (k-in)]],IF(Table_03[[#This Row],[Controlling LTB]]="Mltb,p Controls",Table_03[[#This Row],[Mnltbp (k-in)]],IF(Table_03[[#This Row],[Controlling LTB]]="Mltb,r Controls",Table_03[[#This Row],[Mnltbr (k-in)]],"ERROR")))</f>
        <v>28164.600175</v>
      </c>
      <c r="AO242" s="199">
        <f>MIN(Table_03[[#This Row],[Strength (ksi)]]*Table_03[[#This Row],[Static Parameters Plastic Section Modulus Zy (in3)]],1.6*Table_03[[#This Row],[Strength (ksi)]]*Table_03[[#This Row],[Static Parameters Elastic Section Modulus Sy (in3)3]])</f>
        <v>6073.2283187499997</v>
      </c>
      <c r="AP242" s="169">
        <f>MIN(Table_03[[#This Row],[Mny (k-in)]],Table_03[[#This Row],[Mny (k-in)]]-(Table_03[[#This Row],[Mny (k-in)]]-0.7*Table_03[[#This Row],[Static Parameters Elastic Section Modulus Sy (in3)3]]*Table_03[[#This Row],[Strength (ksi)]])*((Table_03[[#This Row],[b/t]]-Table_03[[#This Row],[λpf]])/(Table_03[[#This Row],[λrf]]-Table_03[[#This Row],[λpf]])))</f>
        <v>6073.2283187499997</v>
      </c>
      <c r="AQ242" s="196">
        <f>MIN(Table_03[[#This Row],[Mny (k-in)]],Table_03[[#This Row],[Fcry]]*Table_03[[#This Row],[Static Parameters Elastic Section Modulus Sy (in3)3]])</f>
        <v>6073.2283187499997</v>
      </c>
      <c r="AR242" s="197" t="str">
        <f>IF(Table_03[[#This Row],[b/t]]&lt;Table_03[[#This Row],[λpf]],"Compact",IF(AND(Table_03[[#This Row],[b/t]]&gt;Table_03[[#This Row],[λpf]],Table_03[[#This Row],[λrf]]&gt;Table_03[[#This Row],[b/t]]),"Non-Compact","Slender"))</f>
        <v>Compact</v>
      </c>
      <c r="AS242" s="198">
        <f>IF(Table_03[[#This Row],[Controlling Lby]]="Compact",Table_03[[#This Row],[Mny (k-in)]],IF(Table_03[[#This Row],[Controlling Lby]]="Non-Compact",Table_03[[#This Row],[Mlby,Non-Compact (k-in)]],IF(Table_03[[#This Row],[Controlling Lby]]="Slender",Table_03[[#This Row],[Mlby,Slender (k-in)]],"ERROR")))</f>
        <v>6073.2283187499997</v>
      </c>
      <c r="AT242" s="199">
        <f>MIN(Table_03[[#This Row],[LBx]],Table_03[[#This Row],[LTB]],Table_03[[#This Row],[Mp (k-in)]])</f>
        <v>28164.600175</v>
      </c>
      <c r="AU242" s="169">
        <f>Table_03[[#This Row],[Mp (k-in)]]</f>
        <v>28164.600175</v>
      </c>
      <c r="AV242" s="169">
        <f>MIN(Table_03[[#This Row],[LBy]],Table_03[[#This Row],[Mny (k-in)]])</f>
        <v>6073.2283187499997</v>
      </c>
      <c r="AW242" s="200">
        <f>Table_03[[#This Row],[Mny (k-in)]]</f>
        <v>6073.2283187499997</v>
      </c>
      <c r="AX242" s="165">
        <f>SQRT(((Table_03[[#This Row],[Sectional Area (in2)]]-(Table_03[[#This Row],[Flange Thickness tf (in)]]*Table_03[[#This Row],[Width w (in)]]*2+Table_03[[#This Row],[Web Thickness tw (in)]]*((Table_03[[#This Row],[Depth h (in)]]-2*Table_03[[#This Row],[Flange Thickness tf (in)]]))))/4)/(1-PI()/4))</f>
        <v>0.62591696190374058</v>
      </c>
      <c r="AY242" s="165">
        <f>IF(4/SQRT((Table_03[[#This Row],[Depth h (in)]]-Table_03[[#This Row],[Flange Thickness tf (in)]]*2)/Table_03[[#This Row],[Web Thickness tw (in)]])&lt;0.35,0.35,IF(4/SQRT(Table_03[[#This Row],[Depth h (in)]]/Table_03[[#This Row],[Web Thickness tw (in)]])&gt;0.76,0.76,4/SQRT(Table_03[[#This Row],[Depth h (in)]]/Table_03[[#This Row],[Web Thickness tw (in)]])))</f>
        <v>0.64596144393482169</v>
      </c>
      <c r="AZ242" s="165"/>
    </row>
    <row r="251" spans="1:52" x14ac:dyDescent="0.3">
      <c r="A251" s="164" t="s">
        <v>335</v>
      </c>
    </row>
    <row r="252" spans="1:52" x14ac:dyDescent="0.3">
      <c r="A252" s="164" t="s">
        <v>336</v>
      </c>
    </row>
    <row r="374" spans="21:39" x14ac:dyDescent="0.3">
      <c r="U374" s="164" t="e">
        <f>1.76*Table_03[[#This Row],[ry (in)2]]*SQRT($B$4/Table_03[[#This Row],[Strength (ksi)]])/12</f>
        <v>#VALUE!</v>
      </c>
      <c r="V374" s="164"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#VALUE!</v>
      </c>
      <c r="W374" s="164" t="e">
        <f>Table_03[[#This Row],[Depth h (in)]]-Table_03[[#This Row],[Flange Thickness tf (in)]]</f>
        <v>#VALUE!</v>
      </c>
      <c r="X374" s="164" t="e">
        <f>(Table_03[[#This Row],[Static Parameters Moment of Inertia Iy (in4)]]*Table_03[[#This Row],[ho]]^2)/4</f>
        <v>#VALUE!</v>
      </c>
      <c r="Y374" s="164" t="e">
        <f>SQRT((SQRT(Table_03[[#This Row],[Static Parameters Moment of Inertia Iy (in4)]]*Table_03[[#This Row],[Cw*]])/Table_03[[#This Row],[Static Parameters Elastic Section Modulus Sx (in3)2]]))</f>
        <v>#VALUE!</v>
      </c>
      <c r="Z374" s="164" t="e">
        <f>(2*Table_03[[#This Row],[Width w (in)]]*Table_03[[#This Row],[Flange Thickness tf (in)]]^3/3)+((Table_03[[#This Row],[Depth h (in)]]-Table_03[[#This Row],[Flange Thickness tf (in)]]*2)*Table_03[[#This Row],[Web Thickness tw (in)]]^3)/3</f>
        <v>#VALUE!</v>
      </c>
      <c r="AA374" s="164" t="e">
        <f>Table_03[[#This Row],[Width w (in)]]*0.5/Table_03[[#This Row],[Flange Thickness tf (in)]]</f>
        <v>#VALUE!</v>
      </c>
      <c r="AB374" s="164" t="e">
        <f>0.38*SQRT($B$4/Table_03[[#This Row],[Strength (ksi)]])</f>
        <v>#VALUE!</v>
      </c>
      <c r="AC374" s="164" t="e">
        <f>1*SQRT($B$4/Table_03[[#This Row],[Strength (ksi)]])</f>
        <v>#VALUE!</v>
      </c>
      <c r="AD374" s="164" t="e">
        <f>(PI()^2*$B$4/(12*$B$5/Table_03[[#This Row],[rts]])^2)*SQRT(1+0.078*(Table_03[[#This Row],[J*]]/(Table_03[[#This Row],[Static Parameters Elastic Section Modulus Sx (in3)2]]*Table_03[[#This Row],[ho]])*$B$4/(12*$B$5/Table_03[[#This Row],[rts]])^2))</f>
        <v>#VALUE!</v>
      </c>
      <c r="AF374" s="164" t="e">
        <f>Table_03[[#This Row],[Strength (ksi)]]*Table_03[[#This Row],[Static Parameters Plastic Section Modulus Zx (in3)]]</f>
        <v>#VALUE!</v>
      </c>
      <c r="AG374" s="164" t="e">
        <f>Table_03[[#This Row],[Mp (k-in)]]-(Table_03[[#This Row],[Mp (k-in)]]-0.7*Table_03[[#This Row],[Strength (ksi)]]*Table_03[[#This Row],[Static Parameters Elastic Section Modulus Sx (in3)2]])*((Table_03[[#This Row],[b/t]]-Table_03[[#This Row],[λpf]])/(Table_03[[#This Row],[λrf]]-Table_03[[#This Row],[λpf]]))</f>
        <v>#VALUE!</v>
      </c>
      <c r="AH374" s="164" t="e">
        <f>0.9*$B$4*4*Table_03[[#This Row],[Static Parameters Elastic Section Modulus Sx (in3)2]]/Table_03[[#This Row],[b/t]]^2</f>
        <v>#VALUE!</v>
      </c>
      <c r="AI374" s="167" t="e">
        <f>IF(Table_03[[#This Row],[b/t]]&lt;Table_03[[#This Row],[λpf]],"Compact",IF(AND(Table_03[[#This Row],[b/t]]&gt;Table_03[[#This Row],[λpf]],Table_03[[#This Row],[λrf]]&gt;Table_03[[#This Row],[b/t]]),"Non-Compact","Slender"))</f>
        <v>#VALUE!</v>
      </c>
      <c r="AK374" s="164" t="e">
        <f>Table_03[[#This Row],[Mp (k-in)]]-(Table_03[[#This Row],[Mp (k-in)]]-0.7*Table_03[[#This Row],[Strength (ksi)]]*Table_03[[#This Row],[Static Parameters Elastic Section Modulus Sx (in3)2]])*(($B$5-Table_03[[#This Row],[Lp (ft)]])/(Table_03[[#This Row],[Lr]]-Table_03[[#This Row],[Lp (ft)]]))</f>
        <v>#VALUE!</v>
      </c>
      <c r="AL374" s="164" t="e">
        <f>Table_03[[#This Row],[Fcrx]]*Table_03[[#This Row],[Static Parameters Elastic Section Modulus Sx (in3)2]]</f>
        <v>#VALUE!</v>
      </c>
      <c r="AM374" s="167" t="e">
        <f>IF($B$5&lt;Table_03[[#This Row],[Lp (ft)]],"Yielding Controls",IF(AND($B$5&gt;Table_03[[#This Row],[Lp (ft)]],Table_03[[#This Row],[Lr]]&gt;$B$5),"Mltb,p Controls","Mltb,r Controls"))</f>
        <v>#VALUE!</v>
      </c>
    </row>
  </sheetData>
  <mergeCells count="13">
    <mergeCell ref="X4:X6"/>
    <mergeCell ref="R4:R6"/>
    <mergeCell ref="S4:S6"/>
    <mergeCell ref="T4:T6"/>
    <mergeCell ref="U4:U6"/>
    <mergeCell ref="V4:V6"/>
    <mergeCell ref="AO4:AS6"/>
    <mergeCell ref="Z4:Z6"/>
    <mergeCell ref="AB4:AC6"/>
    <mergeCell ref="AD4:AE6"/>
    <mergeCell ref="AF4:AF6"/>
    <mergeCell ref="AG4:AJ6"/>
    <mergeCell ref="AK4:AN6"/>
  </mergeCells>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9EA4A-5BD1-4CF5-BA9D-A35BC68DE878}">
  <sheetPr codeName="ShapesDB">
    <tabColor theme="0" tint="-0.34998626667073579"/>
  </sheetPr>
  <dimension ref="A1:AN294"/>
  <sheetViews>
    <sheetView workbookViewId="0"/>
  </sheetViews>
  <sheetFormatPr defaultColWidth="9.109375" defaultRowHeight="13.8" x14ac:dyDescent="0.3"/>
  <cols>
    <col min="1" max="1" width="26.5546875" style="137" bestFit="1" customWidth="1"/>
    <col min="2" max="5" width="9.109375" style="137" customWidth="1"/>
    <col min="6" max="6" width="9.109375" style="137"/>
    <col min="7" max="26" width="9.109375" style="137" customWidth="1"/>
    <col min="27" max="27" width="9.5546875" style="137" customWidth="1"/>
    <col min="28" max="38" width="9.109375" style="137" customWidth="1"/>
    <col min="39" max="40" width="9.109375" style="149" customWidth="1"/>
    <col min="41" max="16384" width="9.109375" style="137"/>
  </cols>
  <sheetData>
    <row r="1" spans="1:40" ht="15" x14ac:dyDescent="0.35">
      <c r="A1" s="133" t="s">
        <v>664</v>
      </c>
      <c r="B1" s="133" t="s">
        <v>673</v>
      </c>
      <c r="C1" s="134" t="s">
        <v>674</v>
      </c>
      <c r="D1" s="134" t="s">
        <v>351</v>
      </c>
      <c r="E1" s="134" t="s">
        <v>353</v>
      </c>
      <c r="F1" s="134" t="s">
        <v>1105</v>
      </c>
      <c r="G1" s="134" t="s">
        <v>1106</v>
      </c>
      <c r="H1" s="135" t="s">
        <v>1107</v>
      </c>
      <c r="I1" s="134" t="s">
        <v>1108</v>
      </c>
      <c r="J1" s="135" t="s">
        <v>1109</v>
      </c>
      <c r="K1" s="136" t="s">
        <v>1110</v>
      </c>
      <c r="L1" s="134" t="s">
        <v>1111</v>
      </c>
      <c r="M1" s="136" t="s">
        <v>1112</v>
      </c>
      <c r="N1" s="134" t="s">
        <v>1113</v>
      </c>
      <c r="O1" s="136" t="s">
        <v>1114</v>
      </c>
      <c r="P1" s="136" t="s">
        <v>1115</v>
      </c>
      <c r="Q1" s="134" t="s">
        <v>1116</v>
      </c>
      <c r="R1" s="134" t="s">
        <v>1117</v>
      </c>
      <c r="S1" s="134" t="s">
        <v>1118</v>
      </c>
      <c r="T1" s="134" t="s">
        <v>1119</v>
      </c>
      <c r="U1" s="134" t="s">
        <v>1120</v>
      </c>
      <c r="V1" s="134" t="s">
        <v>1121</v>
      </c>
      <c r="W1" s="134" t="s">
        <v>1122</v>
      </c>
      <c r="X1" s="134" t="s">
        <v>1123</v>
      </c>
      <c r="Y1" s="134" t="s">
        <v>1124</v>
      </c>
      <c r="Z1" s="134" t="s">
        <v>1125</v>
      </c>
      <c r="AA1" s="134" t="s">
        <v>392</v>
      </c>
      <c r="AB1" s="134" t="s">
        <v>1126</v>
      </c>
      <c r="AC1" s="134" t="s">
        <v>1127</v>
      </c>
      <c r="AD1" s="134" t="s">
        <v>1128</v>
      </c>
      <c r="AE1" s="134" t="s">
        <v>1129</v>
      </c>
      <c r="AF1" s="134" t="s">
        <v>1130</v>
      </c>
      <c r="AG1" s="134" t="s">
        <v>1131</v>
      </c>
      <c r="AH1" s="134" t="s">
        <v>1132</v>
      </c>
      <c r="AI1" s="134" t="s">
        <v>1133</v>
      </c>
      <c r="AJ1" s="134" t="s">
        <v>1134</v>
      </c>
      <c r="AK1" s="134" t="s">
        <v>1135</v>
      </c>
      <c r="AL1" s="134" t="s">
        <v>1136</v>
      </c>
      <c r="AM1" s="135" t="s">
        <v>675</v>
      </c>
      <c r="AN1" s="135" t="s">
        <v>1137</v>
      </c>
    </row>
    <row r="2" spans="1:40" x14ac:dyDescent="0.3">
      <c r="A2" s="138" t="s">
        <v>676</v>
      </c>
      <c r="B2" s="138" t="s">
        <v>677</v>
      </c>
      <c r="C2" s="139">
        <v>13</v>
      </c>
      <c r="D2" s="140">
        <v>3.83</v>
      </c>
      <c r="E2" s="140">
        <v>4.16</v>
      </c>
      <c r="F2" s="141">
        <v>4.125</v>
      </c>
      <c r="G2" s="140">
        <v>4.0599999999999996</v>
      </c>
      <c r="H2" s="141">
        <v>4</v>
      </c>
      <c r="I2" s="142">
        <v>0.28000000000000003</v>
      </c>
      <c r="J2" s="141">
        <v>0.25</v>
      </c>
      <c r="K2" s="143">
        <v>0.125</v>
      </c>
      <c r="L2" s="142">
        <v>0.34499999999999997</v>
      </c>
      <c r="M2" s="143">
        <v>0.375</v>
      </c>
      <c r="N2" s="144">
        <v>0.59499999999999997</v>
      </c>
      <c r="O2" s="145">
        <v>0.75</v>
      </c>
      <c r="P2" s="145">
        <v>0.5</v>
      </c>
      <c r="Q2" s="140">
        <v>5.88</v>
      </c>
      <c r="R2" s="139">
        <v>10.6</v>
      </c>
      <c r="S2" s="139">
        <v>11.3</v>
      </c>
      <c r="T2" s="140">
        <v>6.28</v>
      </c>
      <c r="U2" s="140">
        <v>5.46</v>
      </c>
      <c r="V2" s="140">
        <v>1.72</v>
      </c>
      <c r="W2" s="140">
        <v>3.86</v>
      </c>
      <c r="X2" s="140">
        <v>2.92</v>
      </c>
      <c r="Y2" s="140">
        <v>1.9</v>
      </c>
      <c r="Z2" s="140">
        <v>1</v>
      </c>
      <c r="AA2" s="142">
        <v>0.151</v>
      </c>
      <c r="AB2" s="139">
        <v>14</v>
      </c>
      <c r="AC2" s="140">
        <v>3.87</v>
      </c>
      <c r="AD2" s="140">
        <v>1.36</v>
      </c>
      <c r="AE2" s="140">
        <v>1.24</v>
      </c>
      <c r="AF2" s="140">
        <v>3.09</v>
      </c>
      <c r="AG2" s="140">
        <v>1.1599999999999999</v>
      </c>
      <c r="AH2" s="140">
        <v>3.82</v>
      </c>
      <c r="AI2" s="139">
        <v>19.5</v>
      </c>
      <c r="AJ2" s="139">
        <v>23.6</v>
      </c>
      <c r="AK2" s="139">
        <v>12.4</v>
      </c>
      <c r="AL2" s="139">
        <v>16.399999999999999</v>
      </c>
      <c r="AM2" s="141">
        <v>2.625</v>
      </c>
      <c r="AN2" s="141">
        <v>2.25</v>
      </c>
    </row>
    <row r="3" spans="1:40" x14ac:dyDescent="0.3">
      <c r="A3" s="138" t="s">
        <v>678</v>
      </c>
      <c r="B3" s="138" t="s">
        <v>677</v>
      </c>
      <c r="C3" s="139">
        <v>16</v>
      </c>
      <c r="D3" s="140">
        <v>4.71</v>
      </c>
      <c r="E3" s="140">
        <v>5.01</v>
      </c>
      <c r="F3" s="141">
        <v>5</v>
      </c>
      <c r="G3" s="140">
        <v>5</v>
      </c>
      <c r="H3" s="141">
        <v>5</v>
      </c>
      <c r="I3" s="142">
        <v>0.24</v>
      </c>
      <c r="J3" s="141">
        <v>0.25</v>
      </c>
      <c r="K3" s="143">
        <v>0.125</v>
      </c>
      <c r="L3" s="142">
        <v>0.36</v>
      </c>
      <c r="M3" s="143">
        <v>0.375</v>
      </c>
      <c r="N3" s="144">
        <v>0.66</v>
      </c>
      <c r="O3" s="145">
        <v>0.75</v>
      </c>
      <c r="P3" s="145">
        <v>0.4375</v>
      </c>
      <c r="Q3" s="140">
        <v>6.94</v>
      </c>
      <c r="R3" s="139">
        <v>15.4</v>
      </c>
      <c r="S3" s="139">
        <v>21.4</v>
      </c>
      <c r="T3" s="140">
        <v>9.6300000000000008</v>
      </c>
      <c r="U3" s="140">
        <v>8.5500000000000007</v>
      </c>
      <c r="V3" s="140">
        <v>2.13</v>
      </c>
      <c r="W3" s="140">
        <v>7.51</v>
      </c>
      <c r="X3" s="140">
        <v>4.58</v>
      </c>
      <c r="Y3" s="140">
        <v>3</v>
      </c>
      <c r="Z3" s="140">
        <v>1.26</v>
      </c>
      <c r="AA3" s="142">
        <v>0.192</v>
      </c>
      <c r="AB3" s="139">
        <v>40.6</v>
      </c>
      <c r="AC3" s="140">
        <v>5.81</v>
      </c>
      <c r="AD3" s="140">
        <v>2.62</v>
      </c>
      <c r="AE3" s="140">
        <v>1.99</v>
      </c>
      <c r="AF3" s="140">
        <v>4.74</v>
      </c>
      <c r="AG3" s="140">
        <v>1.43</v>
      </c>
      <c r="AH3" s="140">
        <v>4.6500000000000004</v>
      </c>
      <c r="AI3" s="139">
        <v>24</v>
      </c>
      <c r="AJ3" s="139">
        <v>29</v>
      </c>
      <c r="AK3" s="139">
        <v>15</v>
      </c>
      <c r="AL3" s="139">
        <v>20</v>
      </c>
      <c r="AM3" s="141">
        <v>3.5</v>
      </c>
      <c r="AN3" s="141">
        <v>2.75</v>
      </c>
    </row>
    <row r="4" spans="1:40" x14ac:dyDescent="0.3">
      <c r="A4" s="138" t="s">
        <v>679</v>
      </c>
      <c r="B4" s="138" t="s">
        <v>677</v>
      </c>
      <c r="C4" s="139">
        <v>19</v>
      </c>
      <c r="D4" s="140">
        <v>5.56</v>
      </c>
      <c r="E4" s="140">
        <v>5.15</v>
      </c>
      <c r="F4" s="141">
        <v>5.125</v>
      </c>
      <c r="G4" s="140">
        <v>5.03</v>
      </c>
      <c r="H4" s="141">
        <v>5</v>
      </c>
      <c r="I4" s="142">
        <v>0.27</v>
      </c>
      <c r="J4" s="141">
        <v>0.25</v>
      </c>
      <c r="K4" s="143">
        <v>0.125</v>
      </c>
      <c r="L4" s="142">
        <v>0.43</v>
      </c>
      <c r="M4" s="143">
        <v>0.4375</v>
      </c>
      <c r="N4" s="144">
        <v>0.73</v>
      </c>
      <c r="O4" s="145">
        <v>0.8125</v>
      </c>
      <c r="P4" s="145">
        <v>0.4375</v>
      </c>
      <c r="Q4" s="140">
        <v>5.85</v>
      </c>
      <c r="R4" s="139">
        <v>13.7</v>
      </c>
      <c r="S4" s="139">
        <v>26.3</v>
      </c>
      <c r="T4" s="139">
        <v>11.6</v>
      </c>
      <c r="U4" s="139">
        <v>10.199999999999999</v>
      </c>
      <c r="V4" s="140">
        <v>2.17</v>
      </c>
      <c r="W4" s="140">
        <v>9.1300000000000008</v>
      </c>
      <c r="X4" s="140">
        <v>5.53</v>
      </c>
      <c r="Y4" s="140">
        <v>3.63</v>
      </c>
      <c r="Z4" s="140">
        <v>1.28</v>
      </c>
      <c r="AA4" s="142">
        <v>0.316</v>
      </c>
      <c r="AB4" s="139">
        <v>50.9</v>
      </c>
      <c r="AC4" s="140">
        <v>5.94</v>
      </c>
      <c r="AD4" s="140">
        <v>3.21</v>
      </c>
      <c r="AE4" s="140">
        <v>2.42</v>
      </c>
      <c r="AF4" s="140">
        <v>5.73</v>
      </c>
      <c r="AG4" s="140">
        <v>1.45</v>
      </c>
      <c r="AH4" s="140">
        <v>4.72</v>
      </c>
      <c r="AI4" s="139">
        <v>24.4</v>
      </c>
      <c r="AJ4" s="139">
        <v>29.4</v>
      </c>
      <c r="AK4" s="139">
        <v>15.3</v>
      </c>
      <c r="AL4" s="139">
        <v>20.399999999999999</v>
      </c>
      <c r="AM4" s="141">
        <v>3.5</v>
      </c>
      <c r="AN4" s="141">
        <v>2.75</v>
      </c>
    </row>
    <row r="5" spans="1:40" x14ac:dyDescent="0.3">
      <c r="A5" s="138" t="s">
        <v>977</v>
      </c>
      <c r="B5" s="138" t="s">
        <v>677</v>
      </c>
      <c r="C5" s="139">
        <v>7</v>
      </c>
      <c r="D5" s="140">
        <v>2.0699999999999998</v>
      </c>
      <c r="E5" s="140">
        <v>5.79</v>
      </c>
      <c r="F5" s="141"/>
      <c r="G5" s="140">
        <v>3.9049999999999998</v>
      </c>
      <c r="H5" s="141"/>
      <c r="I5" s="142">
        <v>0.13500000000000001</v>
      </c>
      <c r="J5" s="141"/>
      <c r="K5" s="143"/>
      <c r="L5" s="142">
        <v>0.16</v>
      </c>
      <c r="M5" s="143"/>
      <c r="N5" s="144">
        <v>0.4</v>
      </c>
      <c r="O5" s="145"/>
      <c r="P5" s="145"/>
      <c r="Q5" s="140"/>
      <c r="R5" s="139"/>
      <c r="S5" s="139">
        <v>12.3</v>
      </c>
      <c r="T5" s="139">
        <v>4.5274999999999999</v>
      </c>
      <c r="U5" s="139">
        <v>4.25</v>
      </c>
      <c r="V5" s="140">
        <v>2.44</v>
      </c>
      <c r="W5" s="140">
        <v>1.59</v>
      </c>
      <c r="X5" s="140">
        <v>1.24</v>
      </c>
      <c r="Y5" s="140">
        <v>0.82</v>
      </c>
      <c r="Z5" s="140">
        <v>0.88</v>
      </c>
      <c r="AA5" s="142">
        <v>1.5100000000000001E-2</v>
      </c>
      <c r="AB5" s="139">
        <v>12.6</v>
      </c>
      <c r="AC5" s="140"/>
      <c r="AD5" s="140"/>
      <c r="AE5" s="140"/>
      <c r="AF5" s="140"/>
      <c r="AG5" s="140"/>
      <c r="AH5" s="140"/>
      <c r="AI5" s="139"/>
      <c r="AJ5" s="139"/>
      <c r="AK5" s="139"/>
      <c r="AL5" s="139"/>
      <c r="AM5" s="141"/>
      <c r="AN5" s="141"/>
    </row>
    <row r="6" spans="1:40" x14ac:dyDescent="0.3">
      <c r="A6" s="138" t="s">
        <v>978</v>
      </c>
      <c r="B6" s="138" t="s">
        <v>677</v>
      </c>
      <c r="C6" s="139">
        <v>3.97</v>
      </c>
      <c r="D6" s="140">
        <v>3.13</v>
      </c>
      <c r="E6" s="140">
        <v>5.96</v>
      </c>
      <c r="F6" s="141"/>
      <c r="G6" s="140">
        <v>3.97</v>
      </c>
      <c r="H6" s="141"/>
      <c r="I6" s="142">
        <v>0.2</v>
      </c>
      <c r="J6" s="141"/>
      <c r="K6" s="143"/>
      <c r="L6" s="142">
        <v>0.247</v>
      </c>
      <c r="M6" s="143"/>
      <c r="N6" s="144">
        <v>0.4</v>
      </c>
      <c r="O6" s="145"/>
      <c r="P6" s="145"/>
      <c r="Q6" s="140"/>
      <c r="R6" s="139"/>
      <c r="S6" s="139">
        <v>19.3</v>
      </c>
      <c r="T6" s="139">
        <v>7.1</v>
      </c>
      <c r="U6" s="139">
        <v>6.48</v>
      </c>
      <c r="V6" s="140">
        <v>2.48</v>
      </c>
      <c r="W6" s="140">
        <v>2.58</v>
      </c>
      <c r="X6" s="140">
        <v>2</v>
      </c>
      <c r="Y6" s="140">
        <v>1.3</v>
      </c>
      <c r="Z6" s="140">
        <v>0.91</v>
      </c>
      <c r="AA6" s="142">
        <v>0.05</v>
      </c>
      <c r="AB6" s="139">
        <v>21.05</v>
      </c>
      <c r="AC6" s="140"/>
      <c r="AD6" s="140"/>
      <c r="AE6" s="140"/>
      <c r="AF6" s="140"/>
      <c r="AG6" s="140"/>
      <c r="AH6" s="140"/>
      <c r="AI6" s="139"/>
      <c r="AJ6" s="139"/>
      <c r="AK6" s="139"/>
      <c r="AL6" s="139"/>
      <c r="AM6" s="141"/>
      <c r="AN6" s="141"/>
    </row>
    <row r="7" spans="1:40" x14ac:dyDescent="0.3">
      <c r="A7" s="138" t="s">
        <v>680</v>
      </c>
      <c r="B7" s="138" t="s">
        <v>677</v>
      </c>
      <c r="C7" s="140">
        <v>8.5</v>
      </c>
      <c r="D7" s="140">
        <v>2.52</v>
      </c>
      <c r="E7" s="140">
        <v>5.83</v>
      </c>
      <c r="F7" s="141">
        <v>5.875</v>
      </c>
      <c r="G7" s="140">
        <v>3.94</v>
      </c>
      <c r="H7" s="141">
        <v>4</v>
      </c>
      <c r="I7" s="142">
        <v>0.17</v>
      </c>
      <c r="J7" s="141">
        <v>0.1875</v>
      </c>
      <c r="K7" s="143">
        <v>0.125</v>
      </c>
      <c r="L7" s="142">
        <v>0.19500000000000001</v>
      </c>
      <c r="M7" s="143">
        <v>0.1875</v>
      </c>
      <c r="N7" s="144">
        <v>0.44500000000000001</v>
      </c>
      <c r="O7" s="145">
        <v>0.6875</v>
      </c>
      <c r="P7" s="145">
        <v>0.5</v>
      </c>
      <c r="Q7" s="139">
        <v>10.1</v>
      </c>
      <c r="R7" s="139">
        <v>29.1</v>
      </c>
      <c r="S7" s="139">
        <v>14.9</v>
      </c>
      <c r="T7" s="140">
        <v>5.73</v>
      </c>
      <c r="U7" s="140">
        <v>5.0999999999999996</v>
      </c>
      <c r="V7" s="140">
        <v>2.4300000000000002</v>
      </c>
      <c r="W7" s="140">
        <v>1.99</v>
      </c>
      <c r="X7" s="140">
        <v>1.56</v>
      </c>
      <c r="Y7" s="140">
        <v>1.01</v>
      </c>
      <c r="Z7" s="142">
        <v>0.89</v>
      </c>
      <c r="AA7" s="146">
        <v>3.3300000000000003E-2</v>
      </c>
      <c r="AB7" s="139">
        <v>15.8</v>
      </c>
      <c r="AC7" s="140">
        <v>5.55</v>
      </c>
      <c r="AD7" s="140">
        <v>1.06</v>
      </c>
      <c r="AE7" s="140">
        <v>1.03</v>
      </c>
      <c r="AF7" s="140">
        <v>2.78</v>
      </c>
      <c r="AG7" s="140">
        <v>1.05</v>
      </c>
      <c r="AH7" s="140">
        <v>5.64</v>
      </c>
      <c r="AI7" s="139">
        <v>22.8</v>
      </c>
      <c r="AJ7" s="139">
        <v>26.7</v>
      </c>
      <c r="AK7" s="139">
        <v>15.6</v>
      </c>
      <c r="AL7" s="139">
        <v>19.5</v>
      </c>
      <c r="AM7" s="141">
        <v>4.5</v>
      </c>
      <c r="AN7" s="141">
        <v>2.25</v>
      </c>
    </row>
    <row r="8" spans="1:40" x14ac:dyDescent="0.3">
      <c r="A8" s="138" t="s">
        <v>681</v>
      </c>
      <c r="B8" s="138" t="s">
        <v>677</v>
      </c>
      <c r="C8" s="140">
        <v>9</v>
      </c>
      <c r="D8" s="140">
        <v>2.68</v>
      </c>
      <c r="E8" s="140">
        <v>5.9</v>
      </c>
      <c r="F8" s="141">
        <v>5.875</v>
      </c>
      <c r="G8" s="140">
        <v>3.94</v>
      </c>
      <c r="H8" s="141">
        <v>4</v>
      </c>
      <c r="I8" s="142">
        <v>0.17</v>
      </c>
      <c r="J8" s="141">
        <v>0.1875</v>
      </c>
      <c r="K8" s="143">
        <v>0.125</v>
      </c>
      <c r="L8" s="142">
        <v>0.215</v>
      </c>
      <c r="M8" s="143">
        <v>0.1875</v>
      </c>
      <c r="N8" s="144">
        <v>0.46500000000000002</v>
      </c>
      <c r="O8" s="145">
        <v>0.6875</v>
      </c>
      <c r="P8" s="145">
        <v>0.5</v>
      </c>
      <c r="Q8" s="140">
        <v>9.16</v>
      </c>
      <c r="R8" s="139">
        <v>29.2</v>
      </c>
      <c r="S8" s="139">
        <v>16.399999999999999</v>
      </c>
      <c r="T8" s="140">
        <v>6.23</v>
      </c>
      <c r="U8" s="140">
        <v>5.56</v>
      </c>
      <c r="V8" s="140">
        <v>2.4700000000000002</v>
      </c>
      <c r="W8" s="140">
        <v>2.2000000000000002</v>
      </c>
      <c r="X8" s="140">
        <v>1.72</v>
      </c>
      <c r="Y8" s="140">
        <v>1.1100000000000001</v>
      </c>
      <c r="Z8" s="142">
        <v>0.90500000000000003</v>
      </c>
      <c r="AA8" s="146">
        <v>4.0500000000000001E-2</v>
      </c>
      <c r="AB8" s="139">
        <v>17.7</v>
      </c>
      <c r="AC8" s="140">
        <v>5.6</v>
      </c>
      <c r="AD8" s="140">
        <v>1.19</v>
      </c>
      <c r="AE8" s="140">
        <v>1.1499999999999999</v>
      </c>
      <c r="AF8" s="140">
        <v>3.04</v>
      </c>
      <c r="AG8" s="140">
        <v>1.06</v>
      </c>
      <c r="AH8" s="140">
        <v>5.69</v>
      </c>
      <c r="AI8" s="139">
        <v>22.9</v>
      </c>
      <c r="AJ8" s="139">
        <v>26.8</v>
      </c>
      <c r="AK8" s="139">
        <v>15.7</v>
      </c>
      <c r="AL8" s="139">
        <v>19.7</v>
      </c>
      <c r="AM8" s="141">
        <v>4.5</v>
      </c>
      <c r="AN8" s="141">
        <v>2.25</v>
      </c>
    </row>
    <row r="9" spans="1:40" x14ac:dyDescent="0.3">
      <c r="A9" s="138" t="s">
        <v>682</v>
      </c>
      <c r="B9" s="138" t="s">
        <v>677</v>
      </c>
      <c r="C9" s="139">
        <v>15</v>
      </c>
      <c r="D9" s="140">
        <v>4.43</v>
      </c>
      <c r="E9" s="140">
        <v>5.99</v>
      </c>
      <c r="F9" s="141">
        <v>6</v>
      </c>
      <c r="G9" s="140">
        <v>5.99</v>
      </c>
      <c r="H9" s="141">
        <v>6</v>
      </c>
      <c r="I9" s="142">
        <v>0.23</v>
      </c>
      <c r="J9" s="141">
        <v>0.25</v>
      </c>
      <c r="K9" s="143">
        <v>0.125</v>
      </c>
      <c r="L9" s="142">
        <v>0.26</v>
      </c>
      <c r="M9" s="143">
        <v>0.25</v>
      </c>
      <c r="N9" s="144">
        <v>0.51</v>
      </c>
      <c r="O9" s="145">
        <v>0.75</v>
      </c>
      <c r="P9" s="145">
        <v>0.5625</v>
      </c>
      <c r="Q9" s="139">
        <v>11.5</v>
      </c>
      <c r="R9" s="139">
        <v>21.6</v>
      </c>
      <c r="S9" s="139">
        <v>29.1</v>
      </c>
      <c r="T9" s="139">
        <v>10.8</v>
      </c>
      <c r="U9" s="140">
        <v>9.7200000000000006</v>
      </c>
      <c r="V9" s="140">
        <v>2.56</v>
      </c>
      <c r="W9" s="140">
        <v>9.32</v>
      </c>
      <c r="X9" s="140">
        <v>4.75</v>
      </c>
      <c r="Y9" s="140">
        <v>3.11</v>
      </c>
      <c r="Z9" s="140">
        <v>1.45</v>
      </c>
      <c r="AA9" s="142">
        <v>0.10100000000000001</v>
      </c>
      <c r="AB9" s="139">
        <v>76.5</v>
      </c>
      <c r="AC9" s="140">
        <v>8.58</v>
      </c>
      <c r="AD9" s="140">
        <v>3.34</v>
      </c>
      <c r="AE9" s="140">
        <v>2.15</v>
      </c>
      <c r="AF9" s="140">
        <v>5.32</v>
      </c>
      <c r="AG9" s="140">
        <v>1.66</v>
      </c>
      <c r="AH9" s="140">
        <v>5.73</v>
      </c>
      <c r="AI9" s="139">
        <v>29.1</v>
      </c>
      <c r="AJ9" s="139">
        <v>35.1</v>
      </c>
      <c r="AK9" s="139">
        <v>18</v>
      </c>
      <c r="AL9" s="139">
        <v>24</v>
      </c>
      <c r="AM9" s="141">
        <v>4.5</v>
      </c>
      <c r="AN9" s="141">
        <v>3.5</v>
      </c>
    </row>
    <row r="10" spans="1:40" x14ac:dyDescent="0.3">
      <c r="A10" s="138" t="s">
        <v>683</v>
      </c>
      <c r="B10" s="138" t="s">
        <v>677</v>
      </c>
      <c r="C10" s="139">
        <v>12</v>
      </c>
      <c r="D10" s="140">
        <v>3.55</v>
      </c>
      <c r="E10" s="140">
        <v>6.03</v>
      </c>
      <c r="F10" s="141">
        <v>6</v>
      </c>
      <c r="G10" s="140">
        <v>4</v>
      </c>
      <c r="H10" s="141">
        <v>4</v>
      </c>
      <c r="I10" s="142">
        <v>0.23</v>
      </c>
      <c r="J10" s="141">
        <v>0.25</v>
      </c>
      <c r="K10" s="143">
        <v>0.125</v>
      </c>
      <c r="L10" s="142">
        <v>0.28000000000000003</v>
      </c>
      <c r="M10" s="143">
        <v>0.25</v>
      </c>
      <c r="N10" s="144">
        <v>0.53</v>
      </c>
      <c r="O10" s="145">
        <v>0.75</v>
      </c>
      <c r="P10" s="145">
        <v>0.5625</v>
      </c>
      <c r="Q10" s="140">
        <v>7.14</v>
      </c>
      <c r="R10" s="139">
        <v>21.6</v>
      </c>
      <c r="S10" s="139">
        <v>22.1</v>
      </c>
      <c r="T10" s="140">
        <v>8.3000000000000007</v>
      </c>
      <c r="U10" s="140">
        <v>7.31</v>
      </c>
      <c r="V10" s="140">
        <v>2.4900000000000002</v>
      </c>
      <c r="W10" s="140">
        <v>2.99</v>
      </c>
      <c r="X10" s="140">
        <v>2.3199999999999998</v>
      </c>
      <c r="Y10" s="140">
        <v>1.5</v>
      </c>
      <c r="Z10" s="142">
        <v>0.91800000000000004</v>
      </c>
      <c r="AA10" s="146">
        <v>9.0300000000000005E-2</v>
      </c>
      <c r="AB10" s="139">
        <v>24.7</v>
      </c>
      <c r="AC10" s="140">
        <v>5.75</v>
      </c>
      <c r="AD10" s="140">
        <v>1.61</v>
      </c>
      <c r="AE10" s="140">
        <v>1.52</v>
      </c>
      <c r="AF10" s="140">
        <v>4.08</v>
      </c>
      <c r="AG10" s="140">
        <v>1.08</v>
      </c>
      <c r="AH10" s="140">
        <v>5.75</v>
      </c>
      <c r="AI10" s="139">
        <v>23.2</v>
      </c>
      <c r="AJ10" s="139">
        <v>27.2</v>
      </c>
      <c r="AK10" s="139">
        <v>16.100000000000001</v>
      </c>
      <c r="AL10" s="139">
        <v>20.100000000000001</v>
      </c>
      <c r="AM10" s="141">
        <v>4.5</v>
      </c>
      <c r="AN10" s="141">
        <v>2.25</v>
      </c>
    </row>
    <row r="11" spans="1:40" x14ac:dyDescent="0.3">
      <c r="A11" s="138" t="s">
        <v>684</v>
      </c>
      <c r="B11" s="138" t="s">
        <v>677</v>
      </c>
      <c r="C11" s="139">
        <v>20</v>
      </c>
      <c r="D11" s="140">
        <v>5.87</v>
      </c>
      <c r="E11" s="140">
        <v>6.2</v>
      </c>
      <c r="F11" s="141">
        <v>6.25</v>
      </c>
      <c r="G11" s="140">
        <v>6.02</v>
      </c>
      <c r="H11" s="141">
        <v>6</v>
      </c>
      <c r="I11" s="142">
        <v>0.26</v>
      </c>
      <c r="J11" s="141">
        <v>0.25</v>
      </c>
      <c r="K11" s="143">
        <v>0.125</v>
      </c>
      <c r="L11" s="142">
        <v>0.36499999999999999</v>
      </c>
      <c r="M11" s="143">
        <v>0.375</v>
      </c>
      <c r="N11" s="144">
        <v>0.61499999999999999</v>
      </c>
      <c r="O11" s="145">
        <v>0.875</v>
      </c>
      <c r="P11" s="145">
        <v>0.5625</v>
      </c>
      <c r="Q11" s="140">
        <v>8.25</v>
      </c>
      <c r="R11" s="139">
        <v>19.100000000000001</v>
      </c>
      <c r="S11" s="139">
        <v>41.4</v>
      </c>
      <c r="T11" s="139">
        <v>14.9</v>
      </c>
      <c r="U11" s="139">
        <v>13.4</v>
      </c>
      <c r="V11" s="140">
        <v>2.66</v>
      </c>
      <c r="W11" s="139">
        <v>13.3</v>
      </c>
      <c r="X11" s="140">
        <v>6.72</v>
      </c>
      <c r="Y11" s="140">
        <v>4.41</v>
      </c>
      <c r="Z11" s="140">
        <v>1.5</v>
      </c>
      <c r="AA11" s="142">
        <v>0.24</v>
      </c>
      <c r="AB11" s="147">
        <v>113</v>
      </c>
      <c r="AC11" s="140">
        <v>8.7799999999999994</v>
      </c>
      <c r="AD11" s="140">
        <v>4.82</v>
      </c>
      <c r="AE11" s="140">
        <v>3.07</v>
      </c>
      <c r="AF11" s="140">
        <v>7.38</v>
      </c>
      <c r="AG11" s="140">
        <v>1.7</v>
      </c>
      <c r="AH11" s="140">
        <v>5.84</v>
      </c>
      <c r="AI11" s="139">
        <v>29.5</v>
      </c>
      <c r="AJ11" s="139">
        <v>35.5</v>
      </c>
      <c r="AK11" s="139">
        <v>18.399999999999999</v>
      </c>
      <c r="AL11" s="139">
        <v>24.4</v>
      </c>
      <c r="AM11" s="141">
        <v>4.5</v>
      </c>
      <c r="AN11" s="141">
        <v>3.5</v>
      </c>
    </row>
    <row r="12" spans="1:40" x14ac:dyDescent="0.3">
      <c r="A12" s="138" t="s">
        <v>685</v>
      </c>
      <c r="B12" s="138" t="s">
        <v>677</v>
      </c>
      <c r="C12" s="139">
        <v>16</v>
      </c>
      <c r="D12" s="140">
        <v>4.74</v>
      </c>
      <c r="E12" s="140">
        <v>6.28</v>
      </c>
      <c r="F12" s="141">
        <v>6.25</v>
      </c>
      <c r="G12" s="140">
        <v>4.03</v>
      </c>
      <c r="H12" s="141">
        <v>4</v>
      </c>
      <c r="I12" s="142">
        <v>0.26</v>
      </c>
      <c r="J12" s="141">
        <v>0.25</v>
      </c>
      <c r="K12" s="143">
        <v>0.125</v>
      </c>
      <c r="L12" s="142">
        <v>0.40500000000000003</v>
      </c>
      <c r="M12" s="143">
        <v>0.375</v>
      </c>
      <c r="N12" s="144">
        <v>0.65500000000000003</v>
      </c>
      <c r="O12" s="145">
        <v>0.875</v>
      </c>
      <c r="P12" s="145">
        <v>0.5625</v>
      </c>
      <c r="Q12" s="140">
        <v>4.9800000000000004</v>
      </c>
      <c r="R12" s="139">
        <v>19.100000000000001</v>
      </c>
      <c r="S12" s="139">
        <v>32.1</v>
      </c>
      <c r="T12" s="139">
        <v>11.7</v>
      </c>
      <c r="U12" s="139">
        <v>10.199999999999999</v>
      </c>
      <c r="V12" s="140">
        <v>2.6</v>
      </c>
      <c r="W12" s="140">
        <v>4.43</v>
      </c>
      <c r="X12" s="140">
        <v>3.39</v>
      </c>
      <c r="Y12" s="140">
        <v>2.2000000000000002</v>
      </c>
      <c r="Z12" s="142">
        <v>0.96699999999999997</v>
      </c>
      <c r="AA12" s="142">
        <v>0.223</v>
      </c>
      <c r="AB12" s="139">
        <v>38.200000000000003</v>
      </c>
      <c r="AC12" s="140">
        <v>5.92</v>
      </c>
      <c r="AD12" s="140">
        <v>2.42</v>
      </c>
      <c r="AE12" s="140">
        <v>2.2400000000000002</v>
      </c>
      <c r="AF12" s="140">
        <v>5.77</v>
      </c>
      <c r="AG12" s="140">
        <v>1.1299999999999999</v>
      </c>
      <c r="AH12" s="140">
        <v>5.88</v>
      </c>
      <c r="AI12" s="139">
        <v>23.7</v>
      </c>
      <c r="AJ12" s="139">
        <v>27.7</v>
      </c>
      <c r="AK12" s="139">
        <v>16.600000000000001</v>
      </c>
      <c r="AL12" s="139">
        <v>20.6</v>
      </c>
      <c r="AM12" s="141">
        <v>4.5</v>
      </c>
      <c r="AN12" s="141">
        <v>2.25</v>
      </c>
    </row>
    <row r="13" spans="1:40" x14ac:dyDescent="0.3">
      <c r="A13" s="138" t="s">
        <v>686</v>
      </c>
      <c r="B13" s="138" t="s">
        <v>677</v>
      </c>
      <c r="C13" s="139">
        <v>25</v>
      </c>
      <c r="D13" s="140">
        <v>7.34</v>
      </c>
      <c r="E13" s="140">
        <v>6.38</v>
      </c>
      <c r="F13" s="141">
        <v>6.375</v>
      </c>
      <c r="G13" s="140">
        <v>6.08</v>
      </c>
      <c r="H13" s="141">
        <v>6.125</v>
      </c>
      <c r="I13" s="142">
        <v>0.32</v>
      </c>
      <c r="J13" s="141">
        <v>0.3125</v>
      </c>
      <c r="K13" s="143">
        <v>0.1875</v>
      </c>
      <c r="L13" s="142">
        <v>0.45500000000000002</v>
      </c>
      <c r="M13" s="143">
        <v>0.4375</v>
      </c>
      <c r="N13" s="144">
        <v>0.70499999999999996</v>
      </c>
      <c r="O13" s="145">
        <v>0.9375</v>
      </c>
      <c r="P13" s="145">
        <v>0.5625</v>
      </c>
      <c r="Q13" s="140">
        <v>6.68</v>
      </c>
      <c r="R13" s="139">
        <v>15.5</v>
      </c>
      <c r="S13" s="139">
        <v>53.4</v>
      </c>
      <c r="T13" s="139">
        <v>18.899999999999999</v>
      </c>
      <c r="U13" s="139">
        <v>16.7</v>
      </c>
      <c r="V13" s="140">
        <v>2.7</v>
      </c>
      <c r="W13" s="139">
        <v>17.100000000000001</v>
      </c>
      <c r="X13" s="140">
        <v>8.56</v>
      </c>
      <c r="Y13" s="140">
        <v>5.61</v>
      </c>
      <c r="Z13" s="140">
        <v>1.52</v>
      </c>
      <c r="AA13" s="142">
        <v>0.46100000000000002</v>
      </c>
      <c r="AB13" s="147">
        <v>150</v>
      </c>
      <c r="AC13" s="140">
        <v>9.01</v>
      </c>
      <c r="AD13" s="140">
        <v>6.23</v>
      </c>
      <c r="AE13" s="140">
        <v>3.88</v>
      </c>
      <c r="AF13" s="140">
        <v>9.39</v>
      </c>
      <c r="AG13" s="140">
        <v>1.74</v>
      </c>
      <c r="AH13" s="140">
        <v>5.93</v>
      </c>
      <c r="AI13" s="139">
        <v>29.9</v>
      </c>
      <c r="AJ13" s="139">
        <v>36</v>
      </c>
      <c r="AK13" s="139">
        <v>18.8</v>
      </c>
      <c r="AL13" s="139">
        <v>24.9</v>
      </c>
      <c r="AM13" s="141">
        <v>4.5</v>
      </c>
      <c r="AN13" s="141">
        <v>3.5</v>
      </c>
    </row>
    <row r="14" spans="1:40" x14ac:dyDescent="0.3">
      <c r="A14" s="138" t="s">
        <v>687</v>
      </c>
      <c r="B14" s="138" t="s">
        <v>677</v>
      </c>
      <c r="C14" s="139">
        <v>10</v>
      </c>
      <c r="D14" s="140">
        <v>2.96</v>
      </c>
      <c r="E14" s="140">
        <v>7.89</v>
      </c>
      <c r="F14" s="141">
        <v>7.875</v>
      </c>
      <c r="G14" s="140">
        <v>3.94</v>
      </c>
      <c r="H14" s="141">
        <v>4</v>
      </c>
      <c r="I14" s="142">
        <v>0.17</v>
      </c>
      <c r="J14" s="141">
        <v>0.1875</v>
      </c>
      <c r="K14" s="143">
        <v>0.125</v>
      </c>
      <c r="L14" s="142">
        <v>0.20499999999999999</v>
      </c>
      <c r="M14" s="143">
        <v>0.1875</v>
      </c>
      <c r="N14" s="144">
        <v>0.505</v>
      </c>
      <c r="O14" s="145">
        <v>0.6875</v>
      </c>
      <c r="P14" s="145">
        <v>0.5</v>
      </c>
      <c r="Q14" s="140">
        <v>9.61</v>
      </c>
      <c r="R14" s="139">
        <v>40.5</v>
      </c>
      <c r="S14" s="139">
        <v>30.8</v>
      </c>
      <c r="T14" s="140">
        <v>8.8699999999999992</v>
      </c>
      <c r="U14" s="140">
        <v>7.81</v>
      </c>
      <c r="V14" s="140">
        <v>3.22</v>
      </c>
      <c r="W14" s="140">
        <v>2.09</v>
      </c>
      <c r="X14" s="140">
        <v>1.66</v>
      </c>
      <c r="Y14" s="140">
        <v>1.06</v>
      </c>
      <c r="Z14" s="142">
        <v>0.84099999999999997</v>
      </c>
      <c r="AA14" s="146">
        <v>4.2599999999999999E-2</v>
      </c>
      <c r="AB14" s="139">
        <v>30.9</v>
      </c>
      <c r="AC14" s="140">
        <v>7.57</v>
      </c>
      <c r="AD14" s="140">
        <v>1.53</v>
      </c>
      <c r="AE14" s="140">
        <v>1.48</v>
      </c>
      <c r="AF14" s="140">
        <v>4.29</v>
      </c>
      <c r="AG14" s="140">
        <v>1.01</v>
      </c>
      <c r="AH14" s="140">
        <v>7.69</v>
      </c>
      <c r="AI14" s="139">
        <v>26.8</v>
      </c>
      <c r="AJ14" s="139">
        <v>30.7</v>
      </c>
      <c r="AK14" s="139">
        <v>19.7</v>
      </c>
      <c r="AL14" s="139">
        <v>23.7</v>
      </c>
      <c r="AM14" s="141">
        <v>6.5</v>
      </c>
      <c r="AN14" s="141">
        <v>2.25</v>
      </c>
    </row>
    <row r="15" spans="1:40" x14ac:dyDescent="0.3">
      <c r="A15" s="138" t="s">
        <v>688</v>
      </c>
      <c r="B15" s="138" t="s">
        <v>677</v>
      </c>
      <c r="C15" s="139">
        <v>24</v>
      </c>
      <c r="D15" s="140">
        <v>7.08</v>
      </c>
      <c r="E15" s="140">
        <v>7.93</v>
      </c>
      <c r="F15" s="141">
        <v>7.875</v>
      </c>
      <c r="G15" s="140">
        <v>6.5</v>
      </c>
      <c r="H15" s="141">
        <v>6.5</v>
      </c>
      <c r="I15" s="142">
        <v>0.245</v>
      </c>
      <c r="J15" s="141">
        <v>0.25</v>
      </c>
      <c r="K15" s="143">
        <v>0.125</v>
      </c>
      <c r="L15" s="142">
        <v>0.4</v>
      </c>
      <c r="M15" s="143">
        <v>0.375</v>
      </c>
      <c r="N15" s="144">
        <v>0.79400000000000004</v>
      </c>
      <c r="O15" s="145">
        <v>0.875</v>
      </c>
      <c r="P15" s="145">
        <v>0.5625</v>
      </c>
      <c r="Q15" s="140">
        <v>8.1199999999999992</v>
      </c>
      <c r="R15" s="139">
        <v>25.9</v>
      </c>
      <c r="S15" s="139">
        <v>82.7</v>
      </c>
      <c r="T15" s="139">
        <v>23.1</v>
      </c>
      <c r="U15" s="139">
        <v>20.9</v>
      </c>
      <c r="V15" s="140">
        <v>3.42</v>
      </c>
      <c r="W15" s="139">
        <v>18.3</v>
      </c>
      <c r="X15" s="140">
        <v>8.57</v>
      </c>
      <c r="Y15" s="140">
        <v>5.63</v>
      </c>
      <c r="Z15" s="140">
        <v>1.61</v>
      </c>
      <c r="AA15" s="142">
        <v>0.34599999999999997</v>
      </c>
      <c r="AB15" s="147">
        <v>259</v>
      </c>
      <c r="AC15" s="139">
        <v>12.2</v>
      </c>
      <c r="AD15" s="140">
        <v>7.95</v>
      </c>
      <c r="AE15" s="140">
        <v>4.71</v>
      </c>
      <c r="AF15" s="139">
        <v>11.3</v>
      </c>
      <c r="AG15" s="140">
        <v>1.81</v>
      </c>
      <c r="AH15" s="140">
        <v>7.53</v>
      </c>
      <c r="AI15" s="139">
        <v>34.200000000000003</v>
      </c>
      <c r="AJ15" s="139">
        <v>40.700000000000003</v>
      </c>
      <c r="AK15" s="139">
        <v>22.4</v>
      </c>
      <c r="AL15" s="139">
        <v>28.9</v>
      </c>
      <c r="AM15" s="141">
        <v>6.125</v>
      </c>
      <c r="AN15" s="141">
        <v>4</v>
      </c>
    </row>
    <row r="16" spans="1:40" x14ac:dyDescent="0.3">
      <c r="A16" s="138" t="s">
        <v>689</v>
      </c>
      <c r="B16" s="138" t="s">
        <v>677</v>
      </c>
      <c r="C16" s="139">
        <v>13</v>
      </c>
      <c r="D16" s="140">
        <v>3.84</v>
      </c>
      <c r="E16" s="140">
        <v>7.99</v>
      </c>
      <c r="F16" s="141">
        <v>8</v>
      </c>
      <c r="G16" s="140">
        <v>4</v>
      </c>
      <c r="H16" s="141">
        <v>4</v>
      </c>
      <c r="I16" s="142">
        <v>0.23</v>
      </c>
      <c r="J16" s="141">
        <v>0.25</v>
      </c>
      <c r="K16" s="143">
        <v>0.125</v>
      </c>
      <c r="L16" s="142">
        <v>0.255</v>
      </c>
      <c r="M16" s="143">
        <v>0.25</v>
      </c>
      <c r="N16" s="144">
        <v>0.55500000000000005</v>
      </c>
      <c r="O16" s="145">
        <v>0.75</v>
      </c>
      <c r="P16" s="145">
        <v>0.5625</v>
      </c>
      <c r="Q16" s="140">
        <v>7.84</v>
      </c>
      <c r="R16" s="139">
        <v>29.9</v>
      </c>
      <c r="S16" s="139">
        <v>39.6</v>
      </c>
      <c r="T16" s="139">
        <v>11.4</v>
      </c>
      <c r="U16" s="140">
        <v>9.91</v>
      </c>
      <c r="V16" s="140">
        <v>3.21</v>
      </c>
      <c r="W16" s="140">
        <v>2.73</v>
      </c>
      <c r="X16" s="140">
        <v>2.15</v>
      </c>
      <c r="Y16" s="140">
        <v>1.37</v>
      </c>
      <c r="Z16" s="142">
        <v>0.84299999999999997</v>
      </c>
      <c r="AA16" s="146">
        <v>8.7099999999999997E-2</v>
      </c>
      <c r="AB16" s="139">
        <v>40.799999999999997</v>
      </c>
      <c r="AC16" s="140">
        <v>7.74</v>
      </c>
      <c r="AD16" s="140">
        <v>1.97</v>
      </c>
      <c r="AE16" s="140">
        <v>1.86</v>
      </c>
      <c r="AF16" s="140">
        <v>5.55</v>
      </c>
      <c r="AG16" s="140">
        <v>1.03</v>
      </c>
      <c r="AH16" s="140">
        <v>7.74</v>
      </c>
      <c r="AI16" s="139">
        <v>27</v>
      </c>
      <c r="AJ16" s="139">
        <v>31</v>
      </c>
      <c r="AK16" s="139">
        <v>20</v>
      </c>
      <c r="AL16" s="139">
        <v>24</v>
      </c>
      <c r="AM16" s="141">
        <v>6.5</v>
      </c>
      <c r="AN16" s="141">
        <v>2.25</v>
      </c>
    </row>
    <row r="17" spans="1:40" x14ac:dyDescent="0.3">
      <c r="A17" s="138" t="s">
        <v>690</v>
      </c>
      <c r="B17" s="138" t="s">
        <v>677</v>
      </c>
      <c r="C17" s="139">
        <v>31</v>
      </c>
      <c r="D17" s="140">
        <v>9.1300000000000008</v>
      </c>
      <c r="E17" s="140">
        <v>8</v>
      </c>
      <c r="F17" s="141">
        <v>8</v>
      </c>
      <c r="G17" s="140">
        <v>8</v>
      </c>
      <c r="H17" s="141">
        <v>8</v>
      </c>
      <c r="I17" s="142">
        <v>0.28499999999999998</v>
      </c>
      <c r="J17" s="141">
        <v>0.3125</v>
      </c>
      <c r="K17" s="143">
        <v>0.1875</v>
      </c>
      <c r="L17" s="142">
        <v>0.435</v>
      </c>
      <c r="M17" s="143">
        <v>0.4375</v>
      </c>
      <c r="N17" s="144">
        <v>0.82899999999999996</v>
      </c>
      <c r="O17" s="145">
        <v>1.125</v>
      </c>
      <c r="P17" s="145">
        <v>0.75</v>
      </c>
      <c r="Q17" s="140">
        <v>9.19</v>
      </c>
      <c r="R17" s="139">
        <v>22.3</v>
      </c>
      <c r="S17" s="147">
        <v>110</v>
      </c>
      <c r="T17" s="139">
        <v>30.4</v>
      </c>
      <c r="U17" s="139">
        <v>27.5</v>
      </c>
      <c r="V17" s="140">
        <v>3.47</v>
      </c>
      <c r="W17" s="139">
        <v>37.1</v>
      </c>
      <c r="X17" s="139">
        <v>14.1</v>
      </c>
      <c r="Y17" s="140">
        <v>9.27</v>
      </c>
      <c r="Z17" s="140">
        <v>2.02</v>
      </c>
      <c r="AA17" s="142">
        <v>0.53600000000000003</v>
      </c>
      <c r="AB17" s="147">
        <v>530</v>
      </c>
      <c r="AC17" s="139">
        <v>15.1</v>
      </c>
      <c r="AD17" s="139">
        <v>13.2</v>
      </c>
      <c r="AE17" s="140">
        <v>6.35</v>
      </c>
      <c r="AF17" s="139">
        <v>15</v>
      </c>
      <c r="AG17" s="140">
        <v>2.2599999999999998</v>
      </c>
      <c r="AH17" s="140">
        <v>7.57</v>
      </c>
      <c r="AI17" s="139">
        <v>38.799999999999997</v>
      </c>
      <c r="AJ17" s="139">
        <v>46.8</v>
      </c>
      <c r="AK17" s="139">
        <v>24</v>
      </c>
      <c r="AL17" s="139">
        <v>32</v>
      </c>
      <c r="AM17" s="141">
        <v>5.75</v>
      </c>
      <c r="AN17" s="141">
        <v>5.5</v>
      </c>
    </row>
    <row r="18" spans="1:40" x14ac:dyDescent="0.3">
      <c r="A18" s="138" t="s">
        <v>691</v>
      </c>
      <c r="B18" s="138" t="s">
        <v>677</v>
      </c>
      <c r="C18" s="139">
        <v>28</v>
      </c>
      <c r="D18" s="140">
        <v>8.25</v>
      </c>
      <c r="E18" s="140">
        <v>8.06</v>
      </c>
      <c r="F18" s="141">
        <v>8</v>
      </c>
      <c r="G18" s="140">
        <v>6.54</v>
      </c>
      <c r="H18" s="141">
        <v>6.5</v>
      </c>
      <c r="I18" s="142">
        <v>0.28499999999999998</v>
      </c>
      <c r="J18" s="141">
        <v>0.3125</v>
      </c>
      <c r="K18" s="143">
        <v>0.1875</v>
      </c>
      <c r="L18" s="142">
        <v>0.46500000000000002</v>
      </c>
      <c r="M18" s="143">
        <v>0.4375</v>
      </c>
      <c r="N18" s="144">
        <v>0.85899999999999999</v>
      </c>
      <c r="O18" s="145">
        <v>0.9375</v>
      </c>
      <c r="P18" s="145">
        <v>0.625</v>
      </c>
      <c r="Q18" s="140">
        <v>7.03</v>
      </c>
      <c r="R18" s="139">
        <v>22.3</v>
      </c>
      <c r="S18" s="139">
        <v>98</v>
      </c>
      <c r="T18" s="139">
        <v>27.2</v>
      </c>
      <c r="U18" s="139">
        <v>24.3</v>
      </c>
      <c r="V18" s="140">
        <v>3.45</v>
      </c>
      <c r="W18" s="139">
        <v>21.7</v>
      </c>
      <c r="X18" s="139">
        <v>10.1</v>
      </c>
      <c r="Y18" s="140">
        <v>6.63</v>
      </c>
      <c r="Z18" s="140">
        <v>1.62</v>
      </c>
      <c r="AA18" s="142">
        <v>0.53700000000000003</v>
      </c>
      <c r="AB18" s="147">
        <v>312</v>
      </c>
      <c r="AC18" s="139">
        <v>12.4</v>
      </c>
      <c r="AD18" s="140">
        <v>9.44</v>
      </c>
      <c r="AE18" s="140">
        <v>5.52</v>
      </c>
      <c r="AF18" s="139">
        <v>13.4</v>
      </c>
      <c r="AG18" s="140">
        <v>1.84</v>
      </c>
      <c r="AH18" s="140">
        <v>7.6</v>
      </c>
      <c r="AI18" s="139">
        <v>34.5</v>
      </c>
      <c r="AJ18" s="139">
        <v>41</v>
      </c>
      <c r="AK18" s="139">
        <v>22.7</v>
      </c>
      <c r="AL18" s="139">
        <v>29.2</v>
      </c>
      <c r="AM18" s="141">
        <v>6.125</v>
      </c>
      <c r="AN18" s="141">
        <v>4</v>
      </c>
    </row>
    <row r="19" spans="1:40" x14ac:dyDescent="0.3">
      <c r="A19" s="138" t="s">
        <v>692</v>
      </c>
      <c r="B19" s="138" t="s">
        <v>677</v>
      </c>
      <c r="C19" s="139">
        <v>15</v>
      </c>
      <c r="D19" s="140">
        <v>4.4400000000000004</v>
      </c>
      <c r="E19" s="140">
        <v>8.11</v>
      </c>
      <c r="F19" s="141">
        <v>8.125</v>
      </c>
      <c r="G19" s="140">
        <v>4.0199999999999996</v>
      </c>
      <c r="H19" s="141">
        <v>4</v>
      </c>
      <c r="I19" s="142">
        <v>0.245</v>
      </c>
      <c r="J19" s="141">
        <v>0.25</v>
      </c>
      <c r="K19" s="143">
        <v>0.125</v>
      </c>
      <c r="L19" s="142">
        <v>0.315</v>
      </c>
      <c r="M19" s="143">
        <v>0.3125</v>
      </c>
      <c r="N19" s="144">
        <v>0.61499999999999999</v>
      </c>
      <c r="O19" s="145">
        <v>0.8125</v>
      </c>
      <c r="P19" s="145">
        <v>0.5625</v>
      </c>
      <c r="Q19" s="140">
        <v>6.37</v>
      </c>
      <c r="R19" s="139">
        <v>28.1</v>
      </c>
      <c r="S19" s="139">
        <v>48</v>
      </c>
      <c r="T19" s="139">
        <v>13.6</v>
      </c>
      <c r="U19" s="139">
        <v>11.8</v>
      </c>
      <c r="V19" s="140">
        <v>3.29</v>
      </c>
      <c r="W19" s="140">
        <v>3.41</v>
      </c>
      <c r="X19" s="140">
        <v>2.67</v>
      </c>
      <c r="Y19" s="140">
        <v>1.7</v>
      </c>
      <c r="Z19" s="142">
        <v>0.876</v>
      </c>
      <c r="AA19" s="142">
        <v>0.13700000000000001</v>
      </c>
      <c r="AB19" s="139">
        <v>51.8</v>
      </c>
      <c r="AC19" s="140">
        <v>7.81</v>
      </c>
      <c r="AD19" s="140">
        <v>2.4700000000000002</v>
      </c>
      <c r="AE19" s="140">
        <v>2.31</v>
      </c>
      <c r="AF19" s="140">
        <v>6.64</v>
      </c>
      <c r="AG19" s="140">
        <v>1.06</v>
      </c>
      <c r="AH19" s="140">
        <v>7.8</v>
      </c>
      <c r="AI19" s="139">
        <v>27.3</v>
      </c>
      <c r="AJ19" s="139">
        <v>31.3</v>
      </c>
      <c r="AK19" s="139">
        <v>20.2</v>
      </c>
      <c r="AL19" s="139">
        <v>24.2</v>
      </c>
      <c r="AM19" s="141">
        <v>6.5</v>
      </c>
      <c r="AN19" s="141">
        <v>2.25</v>
      </c>
    </row>
    <row r="20" spans="1:40" x14ac:dyDescent="0.3">
      <c r="A20" s="138" t="s">
        <v>693</v>
      </c>
      <c r="B20" s="138" t="s">
        <v>677</v>
      </c>
      <c r="C20" s="139">
        <v>35</v>
      </c>
      <c r="D20" s="139">
        <v>10.3</v>
      </c>
      <c r="E20" s="140">
        <v>8.1199999999999992</v>
      </c>
      <c r="F20" s="141">
        <v>8.125</v>
      </c>
      <c r="G20" s="140">
        <v>8.02</v>
      </c>
      <c r="H20" s="141">
        <v>8</v>
      </c>
      <c r="I20" s="142">
        <v>0.31</v>
      </c>
      <c r="J20" s="141">
        <v>0.3125</v>
      </c>
      <c r="K20" s="143">
        <v>0.1875</v>
      </c>
      <c r="L20" s="142">
        <v>0.495</v>
      </c>
      <c r="M20" s="143">
        <v>0.5</v>
      </c>
      <c r="N20" s="144">
        <v>0.88900000000000001</v>
      </c>
      <c r="O20" s="145">
        <v>1.1875</v>
      </c>
      <c r="P20" s="145">
        <v>0.8125</v>
      </c>
      <c r="Q20" s="140">
        <v>8.1</v>
      </c>
      <c r="R20" s="139">
        <v>20.5</v>
      </c>
      <c r="S20" s="147">
        <v>127</v>
      </c>
      <c r="T20" s="139">
        <v>34.700000000000003</v>
      </c>
      <c r="U20" s="139">
        <v>31.2</v>
      </c>
      <c r="V20" s="140">
        <v>3.51</v>
      </c>
      <c r="W20" s="139">
        <v>42.6</v>
      </c>
      <c r="X20" s="139">
        <v>16.100000000000001</v>
      </c>
      <c r="Y20" s="139">
        <v>10.6</v>
      </c>
      <c r="Z20" s="140">
        <v>2.0299999999999998</v>
      </c>
      <c r="AA20" s="142">
        <v>0.76900000000000002</v>
      </c>
      <c r="AB20" s="147">
        <v>619</v>
      </c>
      <c r="AC20" s="139">
        <v>15.3</v>
      </c>
      <c r="AD20" s="139">
        <v>15.2</v>
      </c>
      <c r="AE20" s="140">
        <v>7.28</v>
      </c>
      <c r="AF20" s="139">
        <v>17.100000000000001</v>
      </c>
      <c r="AG20" s="140">
        <v>2.2799999999999998</v>
      </c>
      <c r="AH20" s="140">
        <v>7.63</v>
      </c>
      <c r="AI20" s="139">
        <v>39</v>
      </c>
      <c r="AJ20" s="139">
        <v>47</v>
      </c>
      <c r="AK20" s="139">
        <v>24.3</v>
      </c>
      <c r="AL20" s="139">
        <v>32.299999999999997</v>
      </c>
      <c r="AM20" s="141">
        <v>5.75</v>
      </c>
      <c r="AN20" s="141">
        <v>5.5</v>
      </c>
    </row>
    <row r="21" spans="1:40" x14ac:dyDescent="0.3">
      <c r="A21" s="138" t="s">
        <v>694</v>
      </c>
      <c r="B21" s="138" t="s">
        <v>677</v>
      </c>
      <c r="C21" s="139">
        <v>18</v>
      </c>
      <c r="D21" s="140">
        <v>5.26</v>
      </c>
      <c r="E21" s="140">
        <v>8.14</v>
      </c>
      <c r="F21" s="141">
        <v>8.125</v>
      </c>
      <c r="G21" s="140">
        <v>5.25</v>
      </c>
      <c r="H21" s="141">
        <v>5.25</v>
      </c>
      <c r="I21" s="142">
        <v>0.23</v>
      </c>
      <c r="J21" s="141">
        <v>0.25</v>
      </c>
      <c r="K21" s="143">
        <v>0.125</v>
      </c>
      <c r="L21" s="142">
        <v>0.33</v>
      </c>
      <c r="M21" s="143">
        <v>0.3125</v>
      </c>
      <c r="N21" s="144">
        <v>0.63</v>
      </c>
      <c r="O21" s="145">
        <v>0.8125</v>
      </c>
      <c r="P21" s="145">
        <v>0.5625</v>
      </c>
      <c r="Q21" s="140">
        <v>7.95</v>
      </c>
      <c r="R21" s="139">
        <v>29.9</v>
      </c>
      <c r="S21" s="139">
        <v>61.9</v>
      </c>
      <c r="T21" s="139">
        <v>17</v>
      </c>
      <c r="U21" s="139">
        <v>15.2</v>
      </c>
      <c r="V21" s="140">
        <v>3.43</v>
      </c>
      <c r="W21" s="140">
        <v>7.97</v>
      </c>
      <c r="X21" s="140">
        <v>4.66</v>
      </c>
      <c r="Y21" s="140">
        <v>3.04</v>
      </c>
      <c r="Z21" s="140">
        <v>1.23</v>
      </c>
      <c r="AA21" s="142">
        <v>0.17199999999999999</v>
      </c>
      <c r="AB21" s="147">
        <v>122</v>
      </c>
      <c r="AC21" s="139">
        <v>10.3</v>
      </c>
      <c r="AD21" s="140">
        <v>4.4400000000000004</v>
      </c>
      <c r="AE21" s="140">
        <v>3.23</v>
      </c>
      <c r="AF21" s="140">
        <v>8.3699999999999992</v>
      </c>
      <c r="AG21" s="140">
        <v>1.43</v>
      </c>
      <c r="AH21" s="140">
        <v>7.81</v>
      </c>
      <c r="AI21" s="139">
        <v>31</v>
      </c>
      <c r="AJ21" s="139">
        <v>36.299999999999997</v>
      </c>
      <c r="AK21" s="139">
        <v>21.5</v>
      </c>
      <c r="AL21" s="139">
        <v>26.8</v>
      </c>
      <c r="AM21" s="141">
        <v>6.5</v>
      </c>
      <c r="AN21" s="141">
        <v>2.75</v>
      </c>
    </row>
    <row r="22" spans="1:40" x14ac:dyDescent="0.3">
      <c r="A22" s="138" t="s">
        <v>695</v>
      </c>
      <c r="B22" s="138" t="s">
        <v>677</v>
      </c>
      <c r="C22" s="139">
        <v>40</v>
      </c>
      <c r="D22" s="139">
        <v>11.7</v>
      </c>
      <c r="E22" s="140">
        <v>8.25</v>
      </c>
      <c r="F22" s="141">
        <v>8.25</v>
      </c>
      <c r="G22" s="140">
        <v>8.07</v>
      </c>
      <c r="H22" s="141">
        <v>8.125</v>
      </c>
      <c r="I22" s="142">
        <v>0.36</v>
      </c>
      <c r="J22" s="141">
        <v>0.375</v>
      </c>
      <c r="K22" s="143">
        <v>0.1875</v>
      </c>
      <c r="L22" s="142">
        <v>0.56000000000000005</v>
      </c>
      <c r="M22" s="143">
        <v>0.5625</v>
      </c>
      <c r="N22" s="144">
        <v>0.95399999999999996</v>
      </c>
      <c r="O22" s="145">
        <v>1.25</v>
      </c>
      <c r="P22" s="145">
        <v>0.8125</v>
      </c>
      <c r="Q22" s="140">
        <v>7.21</v>
      </c>
      <c r="R22" s="139">
        <v>17.600000000000001</v>
      </c>
      <c r="S22" s="147">
        <v>146</v>
      </c>
      <c r="T22" s="139">
        <v>39.799999999999997</v>
      </c>
      <c r="U22" s="139">
        <v>35.5</v>
      </c>
      <c r="V22" s="140">
        <v>3.53</v>
      </c>
      <c r="W22" s="139">
        <v>49.1</v>
      </c>
      <c r="X22" s="139">
        <v>18.5</v>
      </c>
      <c r="Y22" s="139">
        <v>12.2</v>
      </c>
      <c r="Z22" s="140">
        <v>2.04</v>
      </c>
      <c r="AA22" s="140">
        <v>1.1200000000000001</v>
      </c>
      <c r="AB22" s="147">
        <v>726</v>
      </c>
      <c r="AC22" s="139">
        <v>15.5</v>
      </c>
      <c r="AD22" s="139">
        <v>17.5</v>
      </c>
      <c r="AE22" s="140">
        <v>8.3000000000000007</v>
      </c>
      <c r="AF22" s="139">
        <v>19.7</v>
      </c>
      <c r="AG22" s="140">
        <v>2.31</v>
      </c>
      <c r="AH22" s="140">
        <v>7.69</v>
      </c>
      <c r="AI22" s="139">
        <v>39.299999999999997</v>
      </c>
      <c r="AJ22" s="139">
        <v>47.4</v>
      </c>
      <c r="AK22" s="139">
        <v>24.6</v>
      </c>
      <c r="AL22" s="139">
        <v>32.6</v>
      </c>
      <c r="AM22" s="141">
        <v>5.75</v>
      </c>
      <c r="AN22" s="141">
        <v>5.5</v>
      </c>
    </row>
    <row r="23" spans="1:40" x14ac:dyDescent="0.3">
      <c r="A23" s="138" t="s">
        <v>696</v>
      </c>
      <c r="B23" s="138" t="s">
        <v>677</v>
      </c>
      <c r="C23" s="139">
        <v>21</v>
      </c>
      <c r="D23" s="140">
        <v>6.16</v>
      </c>
      <c r="E23" s="140">
        <v>8.2799999999999994</v>
      </c>
      <c r="F23" s="141">
        <v>8.25</v>
      </c>
      <c r="G23" s="140">
        <v>5.27</v>
      </c>
      <c r="H23" s="141">
        <v>5.25</v>
      </c>
      <c r="I23" s="142">
        <v>0.25</v>
      </c>
      <c r="J23" s="141">
        <v>0.25</v>
      </c>
      <c r="K23" s="143">
        <v>0.125</v>
      </c>
      <c r="L23" s="142">
        <v>0.4</v>
      </c>
      <c r="M23" s="143">
        <v>0.375</v>
      </c>
      <c r="N23" s="144">
        <v>0.7</v>
      </c>
      <c r="O23" s="145">
        <v>0.875</v>
      </c>
      <c r="P23" s="145">
        <v>0.5625</v>
      </c>
      <c r="Q23" s="140">
        <v>6.59</v>
      </c>
      <c r="R23" s="139">
        <v>27.5</v>
      </c>
      <c r="S23" s="139">
        <v>75.3</v>
      </c>
      <c r="T23" s="139">
        <v>20.399999999999999</v>
      </c>
      <c r="U23" s="139">
        <v>18.2</v>
      </c>
      <c r="V23" s="140">
        <v>3.49</v>
      </c>
      <c r="W23" s="140">
        <v>9.77</v>
      </c>
      <c r="X23" s="140">
        <v>5.69</v>
      </c>
      <c r="Y23" s="140">
        <v>3.71</v>
      </c>
      <c r="Z23" s="140">
        <v>1.26</v>
      </c>
      <c r="AA23" s="142">
        <v>0.28199999999999997</v>
      </c>
      <c r="AB23" s="147">
        <v>152</v>
      </c>
      <c r="AC23" s="139">
        <v>10.4</v>
      </c>
      <c r="AD23" s="140">
        <v>5.47</v>
      </c>
      <c r="AE23" s="140">
        <v>3.96</v>
      </c>
      <c r="AF23" s="139">
        <v>10.1</v>
      </c>
      <c r="AG23" s="140">
        <v>1.46</v>
      </c>
      <c r="AH23" s="140">
        <v>7.88</v>
      </c>
      <c r="AI23" s="139">
        <v>31.3</v>
      </c>
      <c r="AJ23" s="139">
        <v>36.6</v>
      </c>
      <c r="AK23" s="139">
        <v>21.8</v>
      </c>
      <c r="AL23" s="139">
        <v>27.1</v>
      </c>
      <c r="AM23" s="141">
        <v>6.5</v>
      </c>
      <c r="AN23" s="141">
        <v>2.75</v>
      </c>
    </row>
    <row r="24" spans="1:40" x14ac:dyDescent="0.3">
      <c r="A24" s="138" t="s">
        <v>697</v>
      </c>
      <c r="B24" s="138" t="s">
        <v>677</v>
      </c>
      <c r="C24" s="139">
        <v>48</v>
      </c>
      <c r="D24" s="139">
        <v>14.1</v>
      </c>
      <c r="E24" s="140">
        <v>8.5</v>
      </c>
      <c r="F24" s="141">
        <v>8.5</v>
      </c>
      <c r="G24" s="140">
        <v>8.11</v>
      </c>
      <c r="H24" s="141">
        <v>8.125</v>
      </c>
      <c r="I24" s="142">
        <v>0.4</v>
      </c>
      <c r="J24" s="141">
        <v>0.375</v>
      </c>
      <c r="K24" s="143">
        <v>0.1875</v>
      </c>
      <c r="L24" s="142">
        <v>0.68500000000000005</v>
      </c>
      <c r="M24" s="143">
        <v>0.6875</v>
      </c>
      <c r="N24" s="148">
        <v>1.08</v>
      </c>
      <c r="O24" s="145">
        <v>1.375</v>
      </c>
      <c r="P24" s="145">
        <v>0.8125</v>
      </c>
      <c r="Q24" s="140">
        <v>5.92</v>
      </c>
      <c r="R24" s="139">
        <v>15.9</v>
      </c>
      <c r="S24" s="147">
        <v>184</v>
      </c>
      <c r="T24" s="139">
        <v>49</v>
      </c>
      <c r="U24" s="139">
        <v>43.2</v>
      </c>
      <c r="V24" s="140">
        <v>3.61</v>
      </c>
      <c r="W24" s="139">
        <v>60.9</v>
      </c>
      <c r="X24" s="139">
        <v>22.9</v>
      </c>
      <c r="Y24" s="139">
        <v>15</v>
      </c>
      <c r="Z24" s="140">
        <v>2.08</v>
      </c>
      <c r="AA24" s="140">
        <v>1.96</v>
      </c>
      <c r="AB24" s="147">
        <v>931</v>
      </c>
      <c r="AC24" s="139">
        <v>15.8</v>
      </c>
      <c r="AD24" s="139">
        <v>22</v>
      </c>
      <c r="AE24" s="139">
        <v>10.3</v>
      </c>
      <c r="AF24" s="139">
        <v>24.2</v>
      </c>
      <c r="AG24" s="140">
        <v>2.35</v>
      </c>
      <c r="AH24" s="140">
        <v>7.82</v>
      </c>
      <c r="AI24" s="139">
        <v>39.9</v>
      </c>
      <c r="AJ24" s="139">
        <v>48</v>
      </c>
      <c r="AK24" s="139">
        <v>25.1</v>
      </c>
      <c r="AL24" s="139">
        <v>33.200000000000003</v>
      </c>
      <c r="AM24" s="141">
        <v>5.75</v>
      </c>
      <c r="AN24" s="141">
        <v>5.5</v>
      </c>
    </row>
    <row r="25" spans="1:40" x14ac:dyDescent="0.3">
      <c r="A25" s="138" t="s">
        <v>698</v>
      </c>
      <c r="B25" s="138" t="s">
        <v>677</v>
      </c>
      <c r="C25" s="139">
        <v>58</v>
      </c>
      <c r="D25" s="139">
        <v>17.100000000000001</v>
      </c>
      <c r="E25" s="140">
        <v>8.75</v>
      </c>
      <c r="F25" s="141">
        <v>8.75</v>
      </c>
      <c r="G25" s="140">
        <v>8.2200000000000006</v>
      </c>
      <c r="H25" s="141">
        <v>8.25</v>
      </c>
      <c r="I25" s="142">
        <v>0.51</v>
      </c>
      <c r="J25" s="141">
        <v>0.5</v>
      </c>
      <c r="K25" s="143">
        <v>0.25</v>
      </c>
      <c r="L25" s="142">
        <v>0.81</v>
      </c>
      <c r="M25" s="143">
        <v>0.8125</v>
      </c>
      <c r="N25" s="148">
        <v>1.2</v>
      </c>
      <c r="O25" s="145">
        <v>1.5</v>
      </c>
      <c r="P25" s="145">
        <v>0.875</v>
      </c>
      <c r="Q25" s="140">
        <v>5.07</v>
      </c>
      <c r="R25" s="139">
        <v>12.4</v>
      </c>
      <c r="S25" s="147">
        <v>228</v>
      </c>
      <c r="T25" s="139">
        <v>59.8</v>
      </c>
      <c r="U25" s="139">
        <v>52</v>
      </c>
      <c r="V25" s="140">
        <v>3.65</v>
      </c>
      <c r="W25" s="139">
        <v>75.099999999999994</v>
      </c>
      <c r="X25" s="139">
        <v>27.9</v>
      </c>
      <c r="Y25" s="139">
        <v>18.3</v>
      </c>
      <c r="Z25" s="140">
        <v>2.1</v>
      </c>
      <c r="AA25" s="140">
        <v>3.33</v>
      </c>
      <c r="AB25" s="147">
        <v>1180</v>
      </c>
      <c r="AC25" s="139">
        <v>16.3</v>
      </c>
      <c r="AD25" s="139">
        <v>27.2</v>
      </c>
      <c r="AE25" s="139">
        <v>12.4</v>
      </c>
      <c r="AF25" s="139">
        <v>29.7</v>
      </c>
      <c r="AG25" s="140">
        <v>2.39</v>
      </c>
      <c r="AH25" s="140">
        <v>7.94</v>
      </c>
      <c r="AI25" s="139">
        <v>40.5</v>
      </c>
      <c r="AJ25" s="139">
        <v>48.7</v>
      </c>
      <c r="AK25" s="139">
        <v>25.7</v>
      </c>
      <c r="AL25" s="139">
        <v>33.9</v>
      </c>
      <c r="AM25" s="141">
        <v>5.75</v>
      </c>
      <c r="AN25" s="141">
        <v>5.5</v>
      </c>
    </row>
    <row r="26" spans="1:40" x14ac:dyDescent="0.3">
      <c r="A26" s="138" t="s">
        <v>699</v>
      </c>
      <c r="B26" s="138" t="s">
        <v>677</v>
      </c>
      <c r="C26" s="139">
        <v>67</v>
      </c>
      <c r="D26" s="139">
        <v>19.7</v>
      </c>
      <c r="E26" s="140">
        <v>9</v>
      </c>
      <c r="F26" s="141">
        <v>9</v>
      </c>
      <c r="G26" s="140">
        <v>8.2799999999999994</v>
      </c>
      <c r="H26" s="141">
        <v>8.25</v>
      </c>
      <c r="I26" s="142">
        <v>0.56999999999999995</v>
      </c>
      <c r="J26" s="141">
        <v>0.5625</v>
      </c>
      <c r="K26" s="143">
        <v>0.3125</v>
      </c>
      <c r="L26" s="142">
        <v>0.93500000000000005</v>
      </c>
      <c r="M26" s="143">
        <v>0.9375</v>
      </c>
      <c r="N26" s="148">
        <v>1.33</v>
      </c>
      <c r="O26" s="145">
        <v>1.625</v>
      </c>
      <c r="P26" s="145">
        <v>0.9375</v>
      </c>
      <c r="Q26" s="140">
        <v>4.43</v>
      </c>
      <c r="R26" s="139">
        <v>11.1</v>
      </c>
      <c r="S26" s="147">
        <v>272</v>
      </c>
      <c r="T26" s="139">
        <v>70.099999999999994</v>
      </c>
      <c r="U26" s="139">
        <v>60.4</v>
      </c>
      <c r="V26" s="140">
        <v>3.72</v>
      </c>
      <c r="W26" s="139">
        <v>88.6</v>
      </c>
      <c r="X26" s="139">
        <v>32.700000000000003</v>
      </c>
      <c r="Y26" s="139">
        <v>21.4</v>
      </c>
      <c r="Z26" s="140">
        <v>2.12</v>
      </c>
      <c r="AA26" s="140">
        <v>5.05</v>
      </c>
      <c r="AB26" s="147">
        <v>1440</v>
      </c>
      <c r="AC26" s="139">
        <v>16.7</v>
      </c>
      <c r="AD26" s="139">
        <v>32.299999999999997</v>
      </c>
      <c r="AE26" s="139">
        <v>14.5</v>
      </c>
      <c r="AF26" s="139">
        <v>34.799999999999997</v>
      </c>
      <c r="AG26" s="140">
        <v>2.4300000000000002</v>
      </c>
      <c r="AH26" s="140">
        <v>8.07</v>
      </c>
      <c r="AI26" s="139">
        <v>41</v>
      </c>
      <c r="AJ26" s="139">
        <v>49.3</v>
      </c>
      <c r="AK26" s="139">
        <v>26.3</v>
      </c>
      <c r="AL26" s="139">
        <v>34.6</v>
      </c>
      <c r="AM26" s="141">
        <v>5.75</v>
      </c>
      <c r="AN26" s="141">
        <v>5.5</v>
      </c>
    </row>
    <row r="27" spans="1:40" x14ac:dyDescent="0.3">
      <c r="A27" s="138" t="s">
        <v>700</v>
      </c>
      <c r="B27" s="138" t="s">
        <v>677</v>
      </c>
      <c r="C27" s="139">
        <v>33</v>
      </c>
      <c r="D27" s="140">
        <v>9.7100000000000009</v>
      </c>
      <c r="E27" s="140">
        <v>9.73</v>
      </c>
      <c r="F27" s="141">
        <v>9.75</v>
      </c>
      <c r="G27" s="140">
        <v>7.96</v>
      </c>
      <c r="H27" s="141">
        <v>8</v>
      </c>
      <c r="I27" s="142">
        <v>0.28999999999999998</v>
      </c>
      <c r="J27" s="141">
        <v>0.3125</v>
      </c>
      <c r="K27" s="143">
        <v>0.1875</v>
      </c>
      <c r="L27" s="142">
        <v>0.435</v>
      </c>
      <c r="M27" s="143">
        <v>0.4375</v>
      </c>
      <c r="N27" s="144">
        <v>0.93500000000000005</v>
      </c>
      <c r="O27" s="145">
        <v>1.125</v>
      </c>
      <c r="P27" s="145">
        <v>0.75</v>
      </c>
      <c r="Q27" s="140">
        <v>9.15</v>
      </c>
      <c r="R27" s="139">
        <v>27.1</v>
      </c>
      <c r="S27" s="147">
        <v>171</v>
      </c>
      <c r="T27" s="139">
        <v>38.799999999999997</v>
      </c>
      <c r="U27" s="139">
        <v>35</v>
      </c>
      <c r="V27" s="140">
        <v>4.1900000000000004</v>
      </c>
      <c r="W27" s="139">
        <v>36.6</v>
      </c>
      <c r="X27" s="139">
        <v>14</v>
      </c>
      <c r="Y27" s="140">
        <v>9.1999999999999993</v>
      </c>
      <c r="Z27" s="140">
        <v>1.94</v>
      </c>
      <c r="AA27" s="142">
        <v>0.58299999999999996</v>
      </c>
      <c r="AB27" s="147">
        <v>791</v>
      </c>
      <c r="AC27" s="139">
        <v>18.5</v>
      </c>
      <c r="AD27" s="139">
        <v>16</v>
      </c>
      <c r="AE27" s="140">
        <v>7.75</v>
      </c>
      <c r="AF27" s="139">
        <v>18.899999999999999</v>
      </c>
      <c r="AG27" s="140">
        <v>2.2000000000000002</v>
      </c>
      <c r="AH27" s="140">
        <v>9.3000000000000007</v>
      </c>
      <c r="AI27" s="139">
        <v>41.9</v>
      </c>
      <c r="AJ27" s="139">
        <v>49.9</v>
      </c>
      <c r="AK27" s="139">
        <v>27.4</v>
      </c>
      <c r="AL27" s="139">
        <v>35.4</v>
      </c>
      <c r="AM27" s="141">
        <v>7.5</v>
      </c>
      <c r="AN27" s="141">
        <v>5.5</v>
      </c>
    </row>
    <row r="28" spans="1:40" x14ac:dyDescent="0.3">
      <c r="A28" s="138" t="s">
        <v>701</v>
      </c>
      <c r="B28" s="138" t="s">
        <v>677</v>
      </c>
      <c r="C28" s="139">
        <v>12</v>
      </c>
      <c r="D28" s="140">
        <v>3.54</v>
      </c>
      <c r="E28" s="140">
        <v>9.8699999999999992</v>
      </c>
      <c r="F28" s="141">
        <v>9.875</v>
      </c>
      <c r="G28" s="140">
        <v>3.96</v>
      </c>
      <c r="H28" s="141">
        <v>4</v>
      </c>
      <c r="I28" s="142">
        <v>0.19</v>
      </c>
      <c r="J28" s="141">
        <v>0.1875</v>
      </c>
      <c r="K28" s="143">
        <v>0.125</v>
      </c>
      <c r="L28" s="142">
        <v>0.21</v>
      </c>
      <c r="M28" s="143">
        <v>0.1875</v>
      </c>
      <c r="N28" s="144">
        <v>0.51</v>
      </c>
      <c r="O28" s="145">
        <v>0.75</v>
      </c>
      <c r="P28" s="145">
        <v>0.5625</v>
      </c>
      <c r="Q28" s="140">
        <v>9.43</v>
      </c>
      <c r="R28" s="139">
        <v>46.6</v>
      </c>
      <c r="S28" s="139">
        <v>53.8</v>
      </c>
      <c r="T28" s="139">
        <v>12.6</v>
      </c>
      <c r="U28" s="139">
        <v>10.9</v>
      </c>
      <c r="V28" s="140">
        <v>3.9</v>
      </c>
      <c r="W28" s="140">
        <v>2.1800000000000002</v>
      </c>
      <c r="X28" s="140">
        <v>1.74</v>
      </c>
      <c r="Y28" s="140">
        <v>1.1000000000000001</v>
      </c>
      <c r="Z28" s="142">
        <v>0.78500000000000003</v>
      </c>
      <c r="AA28" s="146">
        <v>5.4699999999999999E-2</v>
      </c>
      <c r="AB28" s="139">
        <v>50.9</v>
      </c>
      <c r="AC28" s="140">
        <v>9.56</v>
      </c>
      <c r="AD28" s="140">
        <v>1.99</v>
      </c>
      <c r="AE28" s="140">
        <v>1.91</v>
      </c>
      <c r="AF28" s="140">
        <v>6.14</v>
      </c>
      <c r="AG28" s="142">
        <v>0.98299999999999998</v>
      </c>
      <c r="AH28" s="140">
        <v>9.66</v>
      </c>
      <c r="AI28" s="139">
        <v>30.7</v>
      </c>
      <c r="AJ28" s="139">
        <v>34.700000000000003</v>
      </c>
      <c r="AK28" s="139">
        <v>23.7</v>
      </c>
      <c r="AL28" s="139">
        <v>27.7</v>
      </c>
      <c r="AM28" s="141">
        <v>8.375</v>
      </c>
      <c r="AN28" s="141">
        <v>2.25</v>
      </c>
    </row>
    <row r="29" spans="1:40" x14ac:dyDescent="0.3">
      <c r="A29" s="138" t="s">
        <v>702</v>
      </c>
      <c r="B29" s="138" t="s">
        <v>677</v>
      </c>
      <c r="C29" s="139">
        <v>39</v>
      </c>
      <c r="D29" s="139">
        <v>11.5</v>
      </c>
      <c r="E29" s="140">
        <v>9.92</v>
      </c>
      <c r="F29" s="141">
        <v>9.875</v>
      </c>
      <c r="G29" s="140">
        <v>7.99</v>
      </c>
      <c r="H29" s="141">
        <v>8</v>
      </c>
      <c r="I29" s="142">
        <v>0.315</v>
      </c>
      <c r="J29" s="141">
        <v>0.3125</v>
      </c>
      <c r="K29" s="143">
        <v>0.1875</v>
      </c>
      <c r="L29" s="142">
        <v>0.53</v>
      </c>
      <c r="M29" s="143">
        <v>0.5</v>
      </c>
      <c r="N29" s="148">
        <v>1.03</v>
      </c>
      <c r="O29" s="145">
        <v>1.1875</v>
      </c>
      <c r="P29" s="145">
        <v>0.8125</v>
      </c>
      <c r="Q29" s="140">
        <v>7.53</v>
      </c>
      <c r="R29" s="139">
        <v>25</v>
      </c>
      <c r="S29" s="147">
        <v>209</v>
      </c>
      <c r="T29" s="139">
        <v>46.8</v>
      </c>
      <c r="U29" s="139">
        <v>42.1</v>
      </c>
      <c r="V29" s="140">
        <v>4.2699999999999996</v>
      </c>
      <c r="W29" s="139">
        <v>45</v>
      </c>
      <c r="X29" s="139">
        <v>17.2</v>
      </c>
      <c r="Y29" s="139">
        <v>11.3</v>
      </c>
      <c r="Z29" s="140">
        <v>1.98</v>
      </c>
      <c r="AA29" s="142">
        <v>0.97599999999999998</v>
      </c>
      <c r="AB29" s="147">
        <v>992</v>
      </c>
      <c r="AC29" s="139">
        <v>18.8</v>
      </c>
      <c r="AD29" s="139">
        <v>19.899999999999999</v>
      </c>
      <c r="AE29" s="140">
        <v>9.5500000000000007</v>
      </c>
      <c r="AF29" s="139">
        <v>23</v>
      </c>
      <c r="AG29" s="140">
        <v>2.2400000000000002</v>
      </c>
      <c r="AH29" s="140">
        <v>9.39</v>
      </c>
      <c r="AI29" s="139">
        <v>42.3</v>
      </c>
      <c r="AJ29" s="139">
        <v>50.3</v>
      </c>
      <c r="AK29" s="139">
        <v>27.8</v>
      </c>
      <c r="AL29" s="139">
        <v>35.799999999999997</v>
      </c>
      <c r="AM29" s="141">
        <v>7.5</v>
      </c>
      <c r="AN29" s="141">
        <v>5.5</v>
      </c>
    </row>
    <row r="30" spans="1:40" x14ac:dyDescent="0.3">
      <c r="A30" s="138" t="s">
        <v>703</v>
      </c>
      <c r="B30" s="138" t="s">
        <v>677</v>
      </c>
      <c r="C30" s="139">
        <v>15</v>
      </c>
      <c r="D30" s="140">
        <v>4.41</v>
      </c>
      <c r="E30" s="140">
        <v>9.99</v>
      </c>
      <c r="F30" s="141">
        <v>10</v>
      </c>
      <c r="G30" s="140">
        <v>4</v>
      </c>
      <c r="H30" s="141">
        <v>4</v>
      </c>
      <c r="I30" s="142">
        <v>0.23</v>
      </c>
      <c r="J30" s="141">
        <v>0.25</v>
      </c>
      <c r="K30" s="143">
        <v>0.125</v>
      </c>
      <c r="L30" s="142">
        <v>0.27</v>
      </c>
      <c r="M30" s="143">
        <v>0.25</v>
      </c>
      <c r="N30" s="144">
        <v>0.56999999999999995</v>
      </c>
      <c r="O30" s="145">
        <v>0.8125</v>
      </c>
      <c r="P30" s="145">
        <v>0.5625</v>
      </c>
      <c r="Q30" s="140">
        <v>7.41</v>
      </c>
      <c r="R30" s="139">
        <v>38.5</v>
      </c>
      <c r="S30" s="139">
        <v>68.900000000000006</v>
      </c>
      <c r="T30" s="139">
        <v>16</v>
      </c>
      <c r="U30" s="139">
        <v>13.8</v>
      </c>
      <c r="V30" s="140">
        <v>3.95</v>
      </c>
      <c r="W30" s="140">
        <v>2.89</v>
      </c>
      <c r="X30" s="140">
        <v>2.2999999999999998</v>
      </c>
      <c r="Y30" s="140">
        <v>1.45</v>
      </c>
      <c r="Z30" s="142">
        <v>0.81</v>
      </c>
      <c r="AA30" s="142">
        <v>0.104</v>
      </c>
      <c r="AB30" s="139">
        <v>68.3</v>
      </c>
      <c r="AC30" s="140">
        <v>9.73</v>
      </c>
      <c r="AD30" s="140">
        <v>2.63</v>
      </c>
      <c r="AE30" s="140">
        <v>2.48</v>
      </c>
      <c r="AF30" s="140">
        <v>7.83</v>
      </c>
      <c r="AG30" s="140">
        <v>1.01</v>
      </c>
      <c r="AH30" s="140">
        <v>9.7200000000000006</v>
      </c>
      <c r="AI30" s="139">
        <v>31</v>
      </c>
      <c r="AJ30" s="139">
        <v>35</v>
      </c>
      <c r="AK30" s="139">
        <v>24</v>
      </c>
      <c r="AL30" s="139">
        <v>28</v>
      </c>
      <c r="AM30" s="141">
        <v>8.375</v>
      </c>
      <c r="AN30" s="141">
        <v>2.25</v>
      </c>
    </row>
    <row r="31" spans="1:40" x14ac:dyDescent="0.3">
      <c r="A31" s="138" t="s">
        <v>704</v>
      </c>
      <c r="B31" s="138" t="s">
        <v>677</v>
      </c>
      <c r="C31" s="139">
        <v>49</v>
      </c>
      <c r="D31" s="139">
        <v>14.4</v>
      </c>
      <c r="E31" s="139">
        <v>10</v>
      </c>
      <c r="F31" s="141">
        <v>10</v>
      </c>
      <c r="G31" s="139">
        <v>10</v>
      </c>
      <c r="H31" s="141">
        <v>10</v>
      </c>
      <c r="I31" s="142">
        <v>0.34</v>
      </c>
      <c r="J31" s="141">
        <v>0.3125</v>
      </c>
      <c r="K31" s="143">
        <v>0.1875</v>
      </c>
      <c r="L31" s="142">
        <v>0.56000000000000005</v>
      </c>
      <c r="M31" s="143">
        <v>0.5625</v>
      </c>
      <c r="N31" s="148">
        <v>1.06</v>
      </c>
      <c r="O31" s="145">
        <v>1.25</v>
      </c>
      <c r="P31" s="145">
        <v>0.8125</v>
      </c>
      <c r="Q31" s="140">
        <v>8.93</v>
      </c>
      <c r="R31" s="139">
        <v>23.1</v>
      </c>
      <c r="S31" s="147">
        <v>272</v>
      </c>
      <c r="T31" s="139">
        <v>60.4</v>
      </c>
      <c r="U31" s="139">
        <v>54.6</v>
      </c>
      <c r="V31" s="140">
        <v>4.3499999999999996</v>
      </c>
      <c r="W31" s="139">
        <v>93.4</v>
      </c>
      <c r="X31" s="139">
        <v>28.3</v>
      </c>
      <c r="Y31" s="139">
        <v>18.7</v>
      </c>
      <c r="Z31" s="140">
        <v>2.54</v>
      </c>
      <c r="AA31" s="140">
        <v>1.39</v>
      </c>
      <c r="AB31" s="147">
        <v>2070</v>
      </c>
      <c r="AC31" s="139">
        <v>23.6</v>
      </c>
      <c r="AD31" s="139">
        <v>33</v>
      </c>
      <c r="AE31" s="139">
        <v>12.8</v>
      </c>
      <c r="AF31" s="139">
        <v>29.8</v>
      </c>
      <c r="AG31" s="140">
        <v>2.84</v>
      </c>
      <c r="AH31" s="140">
        <v>9.44</v>
      </c>
      <c r="AI31" s="139">
        <v>48.5</v>
      </c>
      <c r="AJ31" s="139">
        <v>58.5</v>
      </c>
      <c r="AK31" s="139">
        <v>30</v>
      </c>
      <c r="AL31" s="139">
        <v>40</v>
      </c>
      <c r="AM31" s="141">
        <v>7.5</v>
      </c>
      <c r="AN31" s="141">
        <v>5.5</v>
      </c>
    </row>
    <row r="32" spans="1:40" x14ac:dyDescent="0.3">
      <c r="A32" s="138" t="s">
        <v>705</v>
      </c>
      <c r="B32" s="138" t="s">
        <v>677</v>
      </c>
      <c r="C32" s="139">
        <v>17</v>
      </c>
      <c r="D32" s="140">
        <v>4.99</v>
      </c>
      <c r="E32" s="139">
        <v>10.1</v>
      </c>
      <c r="F32" s="141">
        <v>10.125</v>
      </c>
      <c r="G32" s="140">
        <v>4.01</v>
      </c>
      <c r="H32" s="141">
        <v>4</v>
      </c>
      <c r="I32" s="142">
        <v>0.24</v>
      </c>
      <c r="J32" s="141">
        <v>0.25</v>
      </c>
      <c r="K32" s="143">
        <v>0.125</v>
      </c>
      <c r="L32" s="142">
        <v>0.33</v>
      </c>
      <c r="M32" s="143">
        <v>0.3125</v>
      </c>
      <c r="N32" s="144">
        <v>0.63</v>
      </c>
      <c r="O32" s="145">
        <v>0.875</v>
      </c>
      <c r="P32" s="145">
        <v>0.5625</v>
      </c>
      <c r="Q32" s="140">
        <v>6.08</v>
      </c>
      <c r="R32" s="139">
        <v>36.9</v>
      </c>
      <c r="S32" s="139">
        <v>81.900000000000006</v>
      </c>
      <c r="T32" s="139">
        <v>18.7</v>
      </c>
      <c r="U32" s="139">
        <v>16.2</v>
      </c>
      <c r="V32" s="140">
        <v>4.05</v>
      </c>
      <c r="W32" s="140">
        <v>3.56</v>
      </c>
      <c r="X32" s="140">
        <v>2.8</v>
      </c>
      <c r="Y32" s="140">
        <v>1.78</v>
      </c>
      <c r="Z32" s="142">
        <v>0.84499999999999997</v>
      </c>
      <c r="AA32" s="142">
        <v>0.156</v>
      </c>
      <c r="AB32" s="139">
        <v>85.1</v>
      </c>
      <c r="AC32" s="140">
        <v>9.7899999999999991</v>
      </c>
      <c r="AD32" s="140">
        <v>3.24</v>
      </c>
      <c r="AE32" s="140">
        <v>3.04</v>
      </c>
      <c r="AF32" s="140">
        <v>9.14</v>
      </c>
      <c r="AG32" s="140">
        <v>1.04</v>
      </c>
      <c r="AH32" s="140">
        <v>9.77</v>
      </c>
      <c r="AI32" s="139">
        <v>31.2</v>
      </c>
      <c r="AJ32" s="139">
        <v>35.200000000000003</v>
      </c>
      <c r="AK32" s="139">
        <v>24.2</v>
      </c>
      <c r="AL32" s="139">
        <v>28.2</v>
      </c>
      <c r="AM32" s="141">
        <v>8.375</v>
      </c>
      <c r="AN32" s="141">
        <v>2.25</v>
      </c>
    </row>
    <row r="33" spans="1:40" x14ac:dyDescent="0.3">
      <c r="A33" s="138" t="s">
        <v>706</v>
      </c>
      <c r="B33" s="138" t="s">
        <v>677</v>
      </c>
      <c r="C33" s="139">
        <v>45</v>
      </c>
      <c r="D33" s="139">
        <v>13.3</v>
      </c>
      <c r="E33" s="139">
        <v>10.1</v>
      </c>
      <c r="F33" s="141">
        <v>10.125</v>
      </c>
      <c r="G33" s="140">
        <v>8.02</v>
      </c>
      <c r="H33" s="141">
        <v>8</v>
      </c>
      <c r="I33" s="142">
        <v>0.35</v>
      </c>
      <c r="J33" s="141">
        <v>0.375</v>
      </c>
      <c r="K33" s="143">
        <v>0.1875</v>
      </c>
      <c r="L33" s="142">
        <v>0.62</v>
      </c>
      <c r="M33" s="143">
        <v>0.625</v>
      </c>
      <c r="N33" s="148">
        <v>1.1200000000000001</v>
      </c>
      <c r="O33" s="145">
        <v>1.3125</v>
      </c>
      <c r="P33" s="145">
        <v>0.8125</v>
      </c>
      <c r="Q33" s="140">
        <v>6.47</v>
      </c>
      <c r="R33" s="139">
        <v>22.5</v>
      </c>
      <c r="S33" s="147">
        <v>248</v>
      </c>
      <c r="T33" s="139">
        <v>54.9</v>
      </c>
      <c r="U33" s="139">
        <v>49.1</v>
      </c>
      <c r="V33" s="140">
        <v>4.32</v>
      </c>
      <c r="W33" s="139">
        <v>53.4</v>
      </c>
      <c r="X33" s="139">
        <v>20.3</v>
      </c>
      <c r="Y33" s="139">
        <v>13.3</v>
      </c>
      <c r="Z33" s="140">
        <v>2.0099999999999998</v>
      </c>
      <c r="AA33" s="140">
        <v>1.51</v>
      </c>
      <c r="AB33" s="147">
        <v>1200</v>
      </c>
      <c r="AC33" s="139">
        <v>19</v>
      </c>
      <c r="AD33" s="139">
        <v>23.6</v>
      </c>
      <c r="AE33" s="139">
        <v>11.3</v>
      </c>
      <c r="AF33" s="139">
        <v>27</v>
      </c>
      <c r="AG33" s="140">
        <v>2.27</v>
      </c>
      <c r="AH33" s="140">
        <v>9.48</v>
      </c>
      <c r="AI33" s="139">
        <v>42.7</v>
      </c>
      <c r="AJ33" s="139">
        <v>50.7</v>
      </c>
      <c r="AK33" s="139">
        <v>28.2</v>
      </c>
      <c r="AL33" s="139">
        <v>36.200000000000003</v>
      </c>
      <c r="AM33" s="141">
        <v>7.5</v>
      </c>
      <c r="AN33" s="141">
        <v>5.5</v>
      </c>
    </row>
    <row r="34" spans="1:40" x14ac:dyDescent="0.3">
      <c r="A34" s="138" t="s">
        <v>707</v>
      </c>
      <c r="B34" s="138" t="s">
        <v>677</v>
      </c>
      <c r="C34" s="139">
        <v>54</v>
      </c>
      <c r="D34" s="139">
        <v>15.8</v>
      </c>
      <c r="E34" s="139">
        <v>10.1</v>
      </c>
      <c r="F34" s="141">
        <v>10.125</v>
      </c>
      <c r="G34" s="139">
        <v>10</v>
      </c>
      <c r="H34" s="141">
        <v>10</v>
      </c>
      <c r="I34" s="142">
        <v>0.37</v>
      </c>
      <c r="J34" s="141">
        <v>0.375</v>
      </c>
      <c r="K34" s="143">
        <v>0.1875</v>
      </c>
      <c r="L34" s="142">
        <v>0.61499999999999999</v>
      </c>
      <c r="M34" s="143">
        <v>0.625</v>
      </c>
      <c r="N34" s="148">
        <v>1.1200000000000001</v>
      </c>
      <c r="O34" s="145">
        <v>1.3125</v>
      </c>
      <c r="P34" s="145">
        <v>0.8125</v>
      </c>
      <c r="Q34" s="140">
        <v>8.15</v>
      </c>
      <c r="R34" s="139">
        <v>21.2</v>
      </c>
      <c r="S34" s="147">
        <v>303</v>
      </c>
      <c r="T34" s="139">
        <v>66.599999999999994</v>
      </c>
      <c r="U34" s="139">
        <v>60</v>
      </c>
      <c r="V34" s="140">
        <v>4.37</v>
      </c>
      <c r="W34" s="147">
        <v>103</v>
      </c>
      <c r="X34" s="139">
        <v>31.3</v>
      </c>
      <c r="Y34" s="139">
        <v>20.6</v>
      </c>
      <c r="Z34" s="140">
        <v>2.56</v>
      </c>
      <c r="AA34" s="140">
        <v>1.82</v>
      </c>
      <c r="AB34" s="147">
        <v>2320</v>
      </c>
      <c r="AC34" s="139">
        <v>23.7</v>
      </c>
      <c r="AD34" s="139">
        <v>36.5</v>
      </c>
      <c r="AE34" s="139">
        <v>14</v>
      </c>
      <c r="AF34" s="139">
        <v>32.799999999999997</v>
      </c>
      <c r="AG34" s="140">
        <v>2.85</v>
      </c>
      <c r="AH34" s="140">
        <v>9.49</v>
      </c>
      <c r="AI34" s="139">
        <v>48.6</v>
      </c>
      <c r="AJ34" s="139">
        <v>58.6</v>
      </c>
      <c r="AK34" s="139">
        <v>30.2</v>
      </c>
      <c r="AL34" s="139">
        <v>40.200000000000003</v>
      </c>
      <c r="AM34" s="141">
        <v>7.5</v>
      </c>
      <c r="AN34" s="141">
        <v>5.5</v>
      </c>
    </row>
    <row r="35" spans="1:40" x14ac:dyDescent="0.3">
      <c r="A35" s="138" t="s">
        <v>709</v>
      </c>
      <c r="B35" s="138" t="s">
        <v>677</v>
      </c>
      <c r="C35" s="139">
        <v>22</v>
      </c>
      <c r="D35" s="140">
        <v>6.49</v>
      </c>
      <c r="E35" s="139">
        <v>10.199999999999999</v>
      </c>
      <c r="F35" s="141">
        <v>10.125</v>
      </c>
      <c r="G35" s="140">
        <v>5.75</v>
      </c>
      <c r="H35" s="141">
        <v>5.75</v>
      </c>
      <c r="I35" s="142">
        <v>0.24</v>
      </c>
      <c r="J35" s="141">
        <v>0.25</v>
      </c>
      <c r="K35" s="143">
        <v>0.125</v>
      </c>
      <c r="L35" s="142">
        <v>0.36</v>
      </c>
      <c r="M35" s="143">
        <v>0.375</v>
      </c>
      <c r="N35" s="144">
        <v>0.66</v>
      </c>
      <c r="O35" s="145">
        <v>0.9375</v>
      </c>
      <c r="P35" s="145">
        <v>0.625</v>
      </c>
      <c r="Q35" s="140">
        <v>7.99</v>
      </c>
      <c r="R35" s="139">
        <v>36.9</v>
      </c>
      <c r="S35" s="147">
        <v>118</v>
      </c>
      <c r="T35" s="139">
        <v>26</v>
      </c>
      <c r="U35" s="139">
        <v>23.2</v>
      </c>
      <c r="V35" s="140">
        <v>4.2699999999999996</v>
      </c>
      <c r="W35" s="139">
        <v>11.4</v>
      </c>
      <c r="X35" s="140">
        <v>6.1</v>
      </c>
      <c r="Y35" s="140">
        <v>3.97</v>
      </c>
      <c r="Z35" s="140">
        <v>1.33</v>
      </c>
      <c r="AA35" s="142">
        <v>0.23899999999999999</v>
      </c>
      <c r="AB35" s="147">
        <v>275</v>
      </c>
      <c r="AC35" s="139">
        <v>14.1</v>
      </c>
      <c r="AD35" s="140">
        <v>7.32</v>
      </c>
      <c r="AE35" s="140">
        <v>4.88</v>
      </c>
      <c r="AF35" s="139">
        <v>12.9</v>
      </c>
      <c r="AG35" s="140">
        <v>1.55</v>
      </c>
      <c r="AH35" s="140">
        <v>9.84</v>
      </c>
      <c r="AI35" s="139">
        <v>36.6</v>
      </c>
      <c r="AJ35" s="139">
        <v>42.4</v>
      </c>
      <c r="AK35" s="139">
        <v>26.2</v>
      </c>
      <c r="AL35" s="139">
        <v>31.9</v>
      </c>
      <c r="AM35" s="141">
        <v>8.25</v>
      </c>
      <c r="AN35" s="141">
        <v>2.75</v>
      </c>
    </row>
    <row r="36" spans="1:40" x14ac:dyDescent="0.3">
      <c r="A36" s="138" t="s">
        <v>708</v>
      </c>
      <c r="B36" s="138" t="s">
        <v>677</v>
      </c>
      <c r="C36" s="139">
        <v>19</v>
      </c>
      <c r="D36" s="140">
        <v>5.62</v>
      </c>
      <c r="E36" s="139">
        <v>10.199999999999999</v>
      </c>
      <c r="F36" s="141">
        <v>10.25</v>
      </c>
      <c r="G36" s="140">
        <v>4.0199999999999996</v>
      </c>
      <c r="H36" s="141">
        <v>4</v>
      </c>
      <c r="I36" s="142">
        <v>0.25</v>
      </c>
      <c r="J36" s="141">
        <v>0.25</v>
      </c>
      <c r="K36" s="143">
        <v>0.125</v>
      </c>
      <c r="L36" s="142">
        <v>0.39500000000000002</v>
      </c>
      <c r="M36" s="143">
        <v>0.375</v>
      </c>
      <c r="N36" s="144">
        <v>0.69499999999999995</v>
      </c>
      <c r="O36" s="145">
        <v>0.9375</v>
      </c>
      <c r="P36" s="145">
        <v>0.625</v>
      </c>
      <c r="Q36" s="140">
        <v>5.09</v>
      </c>
      <c r="R36" s="139">
        <v>35.4</v>
      </c>
      <c r="S36" s="139">
        <v>96.3</v>
      </c>
      <c r="T36" s="139">
        <v>21.6</v>
      </c>
      <c r="U36" s="139">
        <v>18.8</v>
      </c>
      <c r="V36" s="140">
        <v>4.1399999999999997</v>
      </c>
      <c r="W36" s="140">
        <v>4.29</v>
      </c>
      <c r="X36" s="140">
        <v>3.35</v>
      </c>
      <c r="Y36" s="140">
        <v>2.14</v>
      </c>
      <c r="Z36" s="142">
        <v>0.874</v>
      </c>
      <c r="AA36" s="142">
        <v>0.23300000000000001</v>
      </c>
      <c r="AB36" s="147">
        <v>104</v>
      </c>
      <c r="AC36" s="140">
        <v>9.85</v>
      </c>
      <c r="AD36" s="140">
        <v>3.91</v>
      </c>
      <c r="AE36" s="140">
        <v>3.65</v>
      </c>
      <c r="AF36" s="139">
        <v>10.6</v>
      </c>
      <c r="AG36" s="140">
        <v>1.06</v>
      </c>
      <c r="AH36" s="140">
        <v>9.81</v>
      </c>
      <c r="AI36" s="139">
        <v>31.5</v>
      </c>
      <c r="AJ36" s="139">
        <v>35.5</v>
      </c>
      <c r="AK36" s="139">
        <v>24.4</v>
      </c>
      <c r="AL36" s="139">
        <v>28.4</v>
      </c>
      <c r="AM36" s="141">
        <v>8.375</v>
      </c>
      <c r="AN36" s="141">
        <v>2.25</v>
      </c>
    </row>
    <row r="37" spans="1:40" x14ac:dyDescent="0.3">
      <c r="A37" s="138" t="s">
        <v>710</v>
      </c>
      <c r="B37" s="138" t="s">
        <v>677</v>
      </c>
      <c r="C37" s="139">
        <v>60</v>
      </c>
      <c r="D37" s="139">
        <v>17.7</v>
      </c>
      <c r="E37" s="139">
        <v>10.199999999999999</v>
      </c>
      <c r="F37" s="141">
        <v>10.25</v>
      </c>
      <c r="G37" s="139">
        <v>10.1</v>
      </c>
      <c r="H37" s="141">
        <v>10.125</v>
      </c>
      <c r="I37" s="142">
        <v>0.42</v>
      </c>
      <c r="J37" s="141">
        <v>0.4375</v>
      </c>
      <c r="K37" s="143">
        <v>0.25</v>
      </c>
      <c r="L37" s="142">
        <v>0.68</v>
      </c>
      <c r="M37" s="143">
        <v>0.6875</v>
      </c>
      <c r="N37" s="148">
        <v>1.18</v>
      </c>
      <c r="O37" s="145">
        <v>1.375</v>
      </c>
      <c r="P37" s="145">
        <v>0.8125</v>
      </c>
      <c r="Q37" s="140">
        <v>7.41</v>
      </c>
      <c r="R37" s="139">
        <v>18.7</v>
      </c>
      <c r="S37" s="147">
        <v>341</v>
      </c>
      <c r="T37" s="139">
        <v>74.599999999999994</v>
      </c>
      <c r="U37" s="139">
        <v>66.7</v>
      </c>
      <c r="V37" s="140">
        <v>4.3899999999999997</v>
      </c>
      <c r="W37" s="147">
        <v>116</v>
      </c>
      <c r="X37" s="139">
        <v>35</v>
      </c>
      <c r="Y37" s="139">
        <v>23</v>
      </c>
      <c r="Z37" s="140">
        <v>2.57</v>
      </c>
      <c r="AA37" s="140">
        <v>2.48</v>
      </c>
      <c r="AB37" s="147">
        <v>2640</v>
      </c>
      <c r="AC37" s="139">
        <v>24</v>
      </c>
      <c r="AD37" s="139">
        <v>41.3</v>
      </c>
      <c r="AE37" s="139">
        <v>15.7</v>
      </c>
      <c r="AF37" s="139">
        <v>36.799999999999997</v>
      </c>
      <c r="AG37" s="140">
        <v>2.88</v>
      </c>
      <c r="AH37" s="140">
        <v>9.52</v>
      </c>
      <c r="AI37" s="139">
        <v>49</v>
      </c>
      <c r="AJ37" s="139">
        <v>59.1</v>
      </c>
      <c r="AK37" s="139">
        <v>30.5</v>
      </c>
      <c r="AL37" s="139">
        <v>40.6</v>
      </c>
      <c r="AM37" s="141">
        <v>7.5</v>
      </c>
      <c r="AN37" s="141">
        <v>5.5</v>
      </c>
    </row>
    <row r="38" spans="1:40" x14ac:dyDescent="0.3">
      <c r="A38" s="138" t="s">
        <v>711</v>
      </c>
      <c r="B38" s="138" t="s">
        <v>677</v>
      </c>
      <c r="C38" s="139">
        <v>26</v>
      </c>
      <c r="D38" s="140">
        <v>7.61</v>
      </c>
      <c r="E38" s="139">
        <v>10.3</v>
      </c>
      <c r="F38" s="141">
        <v>10.375</v>
      </c>
      <c r="G38" s="140">
        <v>5.77</v>
      </c>
      <c r="H38" s="141">
        <v>5.75</v>
      </c>
      <c r="I38" s="142">
        <v>0.26</v>
      </c>
      <c r="J38" s="141">
        <v>0.25</v>
      </c>
      <c r="K38" s="143">
        <v>0.125</v>
      </c>
      <c r="L38" s="142">
        <v>0.44</v>
      </c>
      <c r="M38" s="143">
        <v>0.4375</v>
      </c>
      <c r="N38" s="144">
        <v>0.74</v>
      </c>
      <c r="O38" s="145">
        <v>1.0625</v>
      </c>
      <c r="P38" s="145">
        <v>0.6875</v>
      </c>
      <c r="Q38" s="140">
        <v>6.56</v>
      </c>
      <c r="R38" s="139">
        <v>34</v>
      </c>
      <c r="S38" s="147">
        <v>144</v>
      </c>
      <c r="T38" s="139">
        <v>31.3</v>
      </c>
      <c r="U38" s="139">
        <v>27.9</v>
      </c>
      <c r="V38" s="140">
        <v>4.3499999999999996</v>
      </c>
      <c r="W38" s="139">
        <v>14.1</v>
      </c>
      <c r="X38" s="140">
        <v>7.5</v>
      </c>
      <c r="Y38" s="140">
        <v>4.8899999999999997</v>
      </c>
      <c r="Z38" s="140">
        <v>1.36</v>
      </c>
      <c r="AA38" s="142">
        <v>0.40200000000000002</v>
      </c>
      <c r="AB38" s="147">
        <v>345</v>
      </c>
      <c r="AC38" s="139">
        <v>14.2</v>
      </c>
      <c r="AD38" s="140">
        <v>9.0299999999999994</v>
      </c>
      <c r="AE38" s="140">
        <v>5.98</v>
      </c>
      <c r="AF38" s="139">
        <v>15.4</v>
      </c>
      <c r="AG38" s="140">
        <v>1.58</v>
      </c>
      <c r="AH38" s="140">
        <v>9.86</v>
      </c>
      <c r="AI38" s="139">
        <v>36.799999999999997</v>
      </c>
      <c r="AJ38" s="139">
        <v>42.6</v>
      </c>
      <c r="AK38" s="139">
        <v>26.4</v>
      </c>
      <c r="AL38" s="139">
        <v>32.1</v>
      </c>
      <c r="AM38" s="141">
        <v>8.25</v>
      </c>
      <c r="AN38" s="141">
        <v>2.75</v>
      </c>
    </row>
    <row r="39" spans="1:40" x14ac:dyDescent="0.3">
      <c r="A39" s="138" t="s">
        <v>712</v>
      </c>
      <c r="B39" s="138" t="s">
        <v>677</v>
      </c>
      <c r="C39" s="139">
        <v>68</v>
      </c>
      <c r="D39" s="139">
        <v>19.899999999999999</v>
      </c>
      <c r="E39" s="139">
        <v>10.4</v>
      </c>
      <c r="F39" s="141">
        <v>10.375</v>
      </c>
      <c r="G39" s="139">
        <v>10.1</v>
      </c>
      <c r="H39" s="141">
        <v>10.125</v>
      </c>
      <c r="I39" s="142">
        <v>0.47</v>
      </c>
      <c r="J39" s="141">
        <v>0.5</v>
      </c>
      <c r="K39" s="143">
        <v>0.25</v>
      </c>
      <c r="L39" s="142">
        <v>0.77</v>
      </c>
      <c r="M39" s="143">
        <v>0.75</v>
      </c>
      <c r="N39" s="148">
        <v>1.27</v>
      </c>
      <c r="O39" s="145">
        <v>1.4375</v>
      </c>
      <c r="P39" s="145">
        <v>0.875</v>
      </c>
      <c r="Q39" s="140">
        <v>6.58</v>
      </c>
      <c r="R39" s="139">
        <v>16.7</v>
      </c>
      <c r="S39" s="147">
        <v>394</v>
      </c>
      <c r="T39" s="139">
        <v>85.3</v>
      </c>
      <c r="U39" s="139">
        <v>75.7</v>
      </c>
      <c r="V39" s="140">
        <v>4.4400000000000004</v>
      </c>
      <c r="W39" s="147">
        <v>134</v>
      </c>
      <c r="X39" s="139">
        <v>40.1</v>
      </c>
      <c r="Y39" s="139">
        <v>26.4</v>
      </c>
      <c r="Z39" s="140">
        <v>2.59</v>
      </c>
      <c r="AA39" s="140">
        <v>3.56</v>
      </c>
      <c r="AB39" s="147">
        <v>3100</v>
      </c>
      <c r="AC39" s="139">
        <v>24.3</v>
      </c>
      <c r="AD39" s="139">
        <v>47.3</v>
      </c>
      <c r="AE39" s="139">
        <v>17.899999999999999</v>
      </c>
      <c r="AF39" s="139">
        <v>42.1</v>
      </c>
      <c r="AG39" s="140">
        <v>2.92</v>
      </c>
      <c r="AH39" s="140">
        <v>9.6300000000000008</v>
      </c>
      <c r="AI39" s="139">
        <v>49.3</v>
      </c>
      <c r="AJ39" s="139">
        <v>59.4</v>
      </c>
      <c r="AK39" s="139">
        <v>30.9</v>
      </c>
      <c r="AL39" s="139">
        <v>41</v>
      </c>
      <c r="AM39" s="141">
        <v>7.5</v>
      </c>
      <c r="AN39" s="141">
        <v>5.5</v>
      </c>
    </row>
    <row r="40" spans="1:40" x14ac:dyDescent="0.3">
      <c r="A40" s="138" t="s">
        <v>713</v>
      </c>
      <c r="B40" s="138" t="s">
        <v>677</v>
      </c>
      <c r="C40" s="139">
        <v>30</v>
      </c>
      <c r="D40" s="140">
        <v>8.84</v>
      </c>
      <c r="E40" s="139">
        <v>10.5</v>
      </c>
      <c r="F40" s="141">
        <v>10.5</v>
      </c>
      <c r="G40" s="140">
        <v>5.81</v>
      </c>
      <c r="H40" s="141">
        <v>5.75</v>
      </c>
      <c r="I40" s="142">
        <v>0.3</v>
      </c>
      <c r="J40" s="141">
        <v>0.3125</v>
      </c>
      <c r="K40" s="143">
        <v>0.1875</v>
      </c>
      <c r="L40" s="142">
        <v>0.51</v>
      </c>
      <c r="M40" s="143">
        <v>0.5</v>
      </c>
      <c r="N40" s="144">
        <v>0.81</v>
      </c>
      <c r="O40" s="145">
        <v>1.125</v>
      </c>
      <c r="P40" s="145">
        <v>0.6875</v>
      </c>
      <c r="Q40" s="140">
        <v>5.7</v>
      </c>
      <c r="R40" s="139">
        <v>29.5</v>
      </c>
      <c r="S40" s="147">
        <v>170</v>
      </c>
      <c r="T40" s="139">
        <v>36.6</v>
      </c>
      <c r="U40" s="139">
        <v>32.4</v>
      </c>
      <c r="V40" s="140">
        <v>4.38</v>
      </c>
      <c r="W40" s="139">
        <v>16.7</v>
      </c>
      <c r="X40" s="140">
        <v>8.84</v>
      </c>
      <c r="Y40" s="140">
        <v>5.75</v>
      </c>
      <c r="Z40" s="140">
        <v>1.37</v>
      </c>
      <c r="AA40" s="142">
        <v>0.622</v>
      </c>
      <c r="AB40" s="147">
        <v>414</v>
      </c>
      <c r="AC40" s="139">
        <v>14.5</v>
      </c>
      <c r="AD40" s="139">
        <v>10.7</v>
      </c>
      <c r="AE40" s="140">
        <v>7.02</v>
      </c>
      <c r="AF40" s="139">
        <v>18.2</v>
      </c>
      <c r="AG40" s="140">
        <v>1.6</v>
      </c>
      <c r="AH40" s="140">
        <v>9.99</v>
      </c>
      <c r="AI40" s="139">
        <v>37.299999999999997</v>
      </c>
      <c r="AJ40" s="139">
        <v>43.1</v>
      </c>
      <c r="AK40" s="139">
        <v>26.8</v>
      </c>
      <c r="AL40" s="139">
        <v>32.6</v>
      </c>
      <c r="AM40" s="141">
        <v>8.25</v>
      </c>
      <c r="AN40" s="141">
        <v>2.75</v>
      </c>
    </row>
    <row r="41" spans="1:40" x14ac:dyDescent="0.3">
      <c r="A41" s="138" t="s">
        <v>714</v>
      </c>
      <c r="B41" s="138" t="s">
        <v>677</v>
      </c>
      <c r="C41" s="139">
        <v>77</v>
      </c>
      <c r="D41" s="139">
        <v>22.7</v>
      </c>
      <c r="E41" s="139">
        <v>10.6</v>
      </c>
      <c r="F41" s="141">
        <v>10.625</v>
      </c>
      <c r="G41" s="139">
        <v>10.199999999999999</v>
      </c>
      <c r="H41" s="141">
        <v>10.25</v>
      </c>
      <c r="I41" s="142">
        <v>0.53</v>
      </c>
      <c r="J41" s="141">
        <v>0.5</v>
      </c>
      <c r="K41" s="143">
        <v>0.25</v>
      </c>
      <c r="L41" s="142">
        <v>0.87</v>
      </c>
      <c r="M41" s="143">
        <v>0.875</v>
      </c>
      <c r="N41" s="148">
        <v>1.37</v>
      </c>
      <c r="O41" s="145">
        <v>1.5625</v>
      </c>
      <c r="P41" s="145">
        <v>0.875</v>
      </c>
      <c r="Q41" s="140">
        <v>5.86</v>
      </c>
      <c r="R41" s="139">
        <v>14.8</v>
      </c>
      <c r="S41" s="147">
        <v>455</v>
      </c>
      <c r="T41" s="139">
        <v>97.6</v>
      </c>
      <c r="U41" s="139">
        <v>85.9</v>
      </c>
      <c r="V41" s="140">
        <v>4.49</v>
      </c>
      <c r="W41" s="147">
        <v>154</v>
      </c>
      <c r="X41" s="139">
        <v>45.9</v>
      </c>
      <c r="Y41" s="139">
        <v>30.1</v>
      </c>
      <c r="Z41" s="140">
        <v>2.6</v>
      </c>
      <c r="AA41" s="140">
        <v>5.1100000000000003</v>
      </c>
      <c r="AB41" s="147">
        <v>3630</v>
      </c>
      <c r="AC41" s="139">
        <v>24.8</v>
      </c>
      <c r="AD41" s="139">
        <v>55</v>
      </c>
      <c r="AE41" s="139">
        <v>20.5</v>
      </c>
      <c r="AF41" s="139">
        <v>48.4</v>
      </c>
      <c r="AG41" s="140">
        <v>2.95</v>
      </c>
      <c r="AH41" s="140">
        <v>9.73</v>
      </c>
      <c r="AI41" s="139">
        <v>49.9</v>
      </c>
      <c r="AJ41" s="139">
        <v>60.1</v>
      </c>
      <c r="AK41" s="139">
        <v>31.4</v>
      </c>
      <c r="AL41" s="139">
        <v>41.6</v>
      </c>
      <c r="AM41" s="141">
        <v>7.5</v>
      </c>
      <c r="AN41" s="141">
        <v>5.5</v>
      </c>
    </row>
    <row r="42" spans="1:40" x14ac:dyDescent="0.3">
      <c r="A42" s="138" t="s">
        <v>715</v>
      </c>
      <c r="B42" s="138" t="s">
        <v>677</v>
      </c>
      <c r="C42" s="139">
        <v>88</v>
      </c>
      <c r="D42" s="139">
        <v>26</v>
      </c>
      <c r="E42" s="139">
        <v>10.8</v>
      </c>
      <c r="F42" s="141">
        <v>10.875</v>
      </c>
      <c r="G42" s="139">
        <v>10.3</v>
      </c>
      <c r="H42" s="141">
        <v>10.25</v>
      </c>
      <c r="I42" s="142">
        <v>0.60499999999999998</v>
      </c>
      <c r="J42" s="141">
        <v>0.625</v>
      </c>
      <c r="K42" s="143">
        <v>0.3125</v>
      </c>
      <c r="L42" s="142">
        <v>0.99</v>
      </c>
      <c r="M42" s="143">
        <v>1</v>
      </c>
      <c r="N42" s="148">
        <v>1.49</v>
      </c>
      <c r="O42" s="145">
        <v>1.6875</v>
      </c>
      <c r="P42" s="145">
        <v>0.9375</v>
      </c>
      <c r="Q42" s="140">
        <v>5.18</v>
      </c>
      <c r="R42" s="139">
        <v>13</v>
      </c>
      <c r="S42" s="147">
        <v>534</v>
      </c>
      <c r="T42" s="147">
        <v>113</v>
      </c>
      <c r="U42" s="139">
        <v>98.5</v>
      </c>
      <c r="V42" s="140">
        <v>4.54</v>
      </c>
      <c r="W42" s="147">
        <v>179</v>
      </c>
      <c r="X42" s="139">
        <v>53.1</v>
      </c>
      <c r="Y42" s="139">
        <v>34.799999999999997</v>
      </c>
      <c r="Z42" s="140">
        <v>2.63</v>
      </c>
      <c r="AA42" s="140">
        <v>7.53</v>
      </c>
      <c r="AB42" s="147">
        <v>4330</v>
      </c>
      <c r="AC42" s="139">
        <v>25.3</v>
      </c>
      <c r="AD42" s="139">
        <v>64.400000000000006</v>
      </c>
      <c r="AE42" s="139">
        <v>23.5</v>
      </c>
      <c r="AF42" s="139">
        <v>55.9</v>
      </c>
      <c r="AG42" s="140">
        <v>2.99</v>
      </c>
      <c r="AH42" s="140">
        <v>9.81</v>
      </c>
      <c r="AI42" s="139">
        <v>50.4</v>
      </c>
      <c r="AJ42" s="139">
        <v>60.7</v>
      </c>
      <c r="AK42" s="139">
        <v>31.9</v>
      </c>
      <c r="AL42" s="139">
        <v>42.2</v>
      </c>
      <c r="AM42" s="141">
        <v>7.5</v>
      </c>
      <c r="AN42" s="141">
        <v>5.5</v>
      </c>
    </row>
    <row r="43" spans="1:40" x14ac:dyDescent="0.3">
      <c r="A43" s="138" t="s">
        <v>716</v>
      </c>
      <c r="B43" s="138" t="s">
        <v>677</v>
      </c>
      <c r="C43" s="147">
        <v>100</v>
      </c>
      <c r="D43" s="139">
        <v>29.3</v>
      </c>
      <c r="E43" s="139">
        <v>11.1</v>
      </c>
      <c r="F43" s="141">
        <v>11.125</v>
      </c>
      <c r="G43" s="139">
        <v>10.3</v>
      </c>
      <c r="H43" s="141">
        <v>10.375</v>
      </c>
      <c r="I43" s="142">
        <v>0.68</v>
      </c>
      <c r="J43" s="141">
        <v>0.6875</v>
      </c>
      <c r="K43" s="143">
        <v>0.375</v>
      </c>
      <c r="L43" s="140">
        <v>1.1200000000000001</v>
      </c>
      <c r="M43" s="143">
        <v>1.125</v>
      </c>
      <c r="N43" s="148">
        <v>1.62</v>
      </c>
      <c r="O43" s="145">
        <v>1.8125</v>
      </c>
      <c r="P43" s="145">
        <v>1</v>
      </c>
      <c r="Q43" s="140">
        <v>4.62</v>
      </c>
      <c r="R43" s="139">
        <v>11.6</v>
      </c>
      <c r="S43" s="147">
        <v>623</v>
      </c>
      <c r="T43" s="147">
        <v>130</v>
      </c>
      <c r="U43" s="147">
        <v>112</v>
      </c>
      <c r="V43" s="140">
        <v>4.5999999999999996</v>
      </c>
      <c r="W43" s="147">
        <v>207</v>
      </c>
      <c r="X43" s="139">
        <v>61</v>
      </c>
      <c r="Y43" s="139">
        <v>40</v>
      </c>
      <c r="Z43" s="140">
        <v>2.65</v>
      </c>
      <c r="AA43" s="139">
        <v>10.9</v>
      </c>
      <c r="AB43" s="147">
        <v>5150</v>
      </c>
      <c r="AC43" s="139">
        <v>25.7</v>
      </c>
      <c r="AD43" s="139">
        <v>74.099999999999994</v>
      </c>
      <c r="AE43" s="139">
        <v>26.9</v>
      </c>
      <c r="AF43" s="139">
        <v>64.2</v>
      </c>
      <c r="AG43" s="140">
        <v>3.04</v>
      </c>
      <c r="AH43" s="139">
        <v>10</v>
      </c>
      <c r="AI43" s="139">
        <v>50.9</v>
      </c>
      <c r="AJ43" s="139">
        <v>61.2</v>
      </c>
      <c r="AK43" s="139">
        <v>32.5</v>
      </c>
      <c r="AL43" s="139">
        <v>42.8</v>
      </c>
      <c r="AM43" s="141">
        <v>7.5</v>
      </c>
      <c r="AN43" s="141">
        <v>5.5</v>
      </c>
    </row>
    <row r="44" spans="1:40" x14ac:dyDescent="0.3">
      <c r="A44" s="138" t="s">
        <v>717</v>
      </c>
      <c r="B44" s="138" t="s">
        <v>677</v>
      </c>
      <c r="C44" s="147">
        <v>112</v>
      </c>
      <c r="D44" s="139">
        <v>32.9</v>
      </c>
      <c r="E44" s="139">
        <v>11.4</v>
      </c>
      <c r="F44" s="141">
        <v>11.375</v>
      </c>
      <c r="G44" s="139">
        <v>10.4</v>
      </c>
      <c r="H44" s="141">
        <v>10.375</v>
      </c>
      <c r="I44" s="142">
        <v>0.755</v>
      </c>
      <c r="J44" s="141">
        <v>0.75</v>
      </c>
      <c r="K44" s="143">
        <v>0.375</v>
      </c>
      <c r="L44" s="140">
        <v>1.25</v>
      </c>
      <c r="M44" s="143">
        <v>1.25</v>
      </c>
      <c r="N44" s="148">
        <v>1.75</v>
      </c>
      <c r="O44" s="145">
        <v>1.9375</v>
      </c>
      <c r="P44" s="145">
        <v>1</v>
      </c>
      <c r="Q44" s="140">
        <v>4.17</v>
      </c>
      <c r="R44" s="139">
        <v>10.4</v>
      </c>
      <c r="S44" s="147">
        <v>716</v>
      </c>
      <c r="T44" s="147">
        <v>147</v>
      </c>
      <c r="U44" s="147">
        <v>126</v>
      </c>
      <c r="V44" s="140">
        <v>4.66</v>
      </c>
      <c r="W44" s="147">
        <v>236</v>
      </c>
      <c r="X44" s="139">
        <v>69.2</v>
      </c>
      <c r="Y44" s="139">
        <v>45.3</v>
      </c>
      <c r="Z44" s="140">
        <v>2.68</v>
      </c>
      <c r="AA44" s="139">
        <v>15.1</v>
      </c>
      <c r="AB44" s="147">
        <v>6020</v>
      </c>
      <c r="AC44" s="139">
        <v>26.4</v>
      </c>
      <c r="AD44" s="139">
        <v>85.8</v>
      </c>
      <c r="AE44" s="139">
        <v>30.6</v>
      </c>
      <c r="AF44" s="139">
        <v>73.5</v>
      </c>
      <c r="AG44" s="140">
        <v>3.08</v>
      </c>
      <c r="AH44" s="139">
        <v>10.199999999999999</v>
      </c>
      <c r="AI44" s="139">
        <v>51.6</v>
      </c>
      <c r="AJ44" s="139">
        <v>62</v>
      </c>
      <c r="AK44" s="139">
        <v>33.200000000000003</v>
      </c>
      <c r="AL44" s="139">
        <v>43.6</v>
      </c>
      <c r="AM44" s="141">
        <v>7.5</v>
      </c>
      <c r="AN44" s="141">
        <v>5.5</v>
      </c>
    </row>
    <row r="45" spans="1:40" x14ac:dyDescent="0.3">
      <c r="A45" s="138" t="s">
        <v>718</v>
      </c>
      <c r="B45" s="138" t="s">
        <v>677</v>
      </c>
      <c r="C45" s="139">
        <v>14</v>
      </c>
      <c r="D45" s="140">
        <v>4.16</v>
      </c>
      <c r="E45" s="139">
        <v>11.9</v>
      </c>
      <c r="F45" s="141">
        <v>11.875</v>
      </c>
      <c r="G45" s="140">
        <v>3.97</v>
      </c>
      <c r="H45" s="141">
        <v>4</v>
      </c>
      <c r="I45" s="142">
        <v>0.2</v>
      </c>
      <c r="J45" s="141">
        <v>0.1875</v>
      </c>
      <c r="K45" s="143">
        <v>0.125</v>
      </c>
      <c r="L45" s="142">
        <v>0.22500000000000001</v>
      </c>
      <c r="M45" s="143">
        <v>0.25</v>
      </c>
      <c r="N45" s="144">
        <v>0.52500000000000002</v>
      </c>
      <c r="O45" s="145">
        <v>0.75</v>
      </c>
      <c r="P45" s="145">
        <v>0.5625</v>
      </c>
      <c r="Q45" s="140">
        <v>8.82</v>
      </c>
      <c r="R45" s="139">
        <v>54.3</v>
      </c>
      <c r="S45" s="139">
        <v>88.6</v>
      </c>
      <c r="T45" s="139">
        <v>17.399999999999999</v>
      </c>
      <c r="U45" s="139">
        <v>14.9</v>
      </c>
      <c r="V45" s="140">
        <v>4.62</v>
      </c>
      <c r="W45" s="140">
        <v>2.36</v>
      </c>
      <c r="X45" s="140">
        <v>1.9</v>
      </c>
      <c r="Y45" s="140">
        <v>1.19</v>
      </c>
      <c r="Z45" s="142">
        <v>0.753</v>
      </c>
      <c r="AA45" s="146">
        <v>7.0400000000000004E-2</v>
      </c>
      <c r="AB45" s="139">
        <v>80.400000000000006</v>
      </c>
      <c r="AC45" s="139">
        <v>11.6</v>
      </c>
      <c r="AD45" s="140">
        <v>2.59</v>
      </c>
      <c r="AE45" s="140">
        <v>2.48</v>
      </c>
      <c r="AF45" s="140">
        <v>8.49</v>
      </c>
      <c r="AG45" s="142">
        <v>0.96099999999999997</v>
      </c>
      <c r="AH45" s="139">
        <v>11.7</v>
      </c>
      <c r="AI45" s="139">
        <v>34.799999999999997</v>
      </c>
      <c r="AJ45" s="139">
        <v>38.799999999999997</v>
      </c>
      <c r="AK45" s="139">
        <v>27.8</v>
      </c>
      <c r="AL45" s="139">
        <v>31.7</v>
      </c>
      <c r="AM45" s="141">
        <v>10.375</v>
      </c>
      <c r="AN45" s="141">
        <v>2.25</v>
      </c>
    </row>
    <row r="46" spans="1:40" x14ac:dyDescent="0.3">
      <c r="A46" s="138" t="s">
        <v>719</v>
      </c>
      <c r="B46" s="138" t="s">
        <v>677</v>
      </c>
      <c r="C46" s="139">
        <v>40</v>
      </c>
      <c r="D46" s="139">
        <v>11.7</v>
      </c>
      <c r="E46" s="139">
        <v>11.9</v>
      </c>
      <c r="F46" s="141">
        <v>12</v>
      </c>
      <c r="G46" s="140">
        <v>8.01</v>
      </c>
      <c r="H46" s="141">
        <v>8</v>
      </c>
      <c r="I46" s="142">
        <v>0.29499999999999998</v>
      </c>
      <c r="J46" s="141">
        <v>0.3125</v>
      </c>
      <c r="K46" s="143">
        <v>0.1875</v>
      </c>
      <c r="L46" s="142">
        <v>0.51500000000000001</v>
      </c>
      <c r="M46" s="143">
        <v>0.5</v>
      </c>
      <c r="N46" s="148">
        <v>1.02</v>
      </c>
      <c r="O46" s="145">
        <v>1.375</v>
      </c>
      <c r="P46" s="145">
        <v>0.875</v>
      </c>
      <c r="Q46" s="140">
        <v>7.77</v>
      </c>
      <c r="R46" s="139">
        <v>33.6</v>
      </c>
      <c r="S46" s="147">
        <v>307</v>
      </c>
      <c r="T46" s="139">
        <v>57</v>
      </c>
      <c r="U46" s="139">
        <v>51.5</v>
      </c>
      <c r="V46" s="140">
        <v>5.13</v>
      </c>
      <c r="W46" s="139">
        <v>44.1</v>
      </c>
      <c r="X46" s="139">
        <v>16.8</v>
      </c>
      <c r="Y46" s="139">
        <v>11</v>
      </c>
      <c r="Z46" s="140">
        <v>1.94</v>
      </c>
      <c r="AA46" s="142">
        <v>0.90600000000000003</v>
      </c>
      <c r="AB46" s="147">
        <v>1440</v>
      </c>
      <c r="AC46" s="139">
        <v>22.8</v>
      </c>
      <c r="AD46" s="139">
        <v>23.5</v>
      </c>
      <c r="AE46" s="139">
        <v>11.3</v>
      </c>
      <c r="AF46" s="139">
        <v>27.8</v>
      </c>
      <c r="AG46" s="140">
        <v>2.21</v>
      </c>
      <c r="AH46" s="139">
        <v>11.4</v>
      </c>
      <c r="AI46" s="139">
        <v>46.4</v>
      </c>
      <c r="AJ46" s="139">
        <v>54.4</v>
      </c>
      <c r="AK46" s="139">
        <v>31.8</v>
      </c>
      <c r="AL46" s="139">
        <v>39.799999999999997</v>
      </c>
      <c r="AM46" s="141">
        <v>9.25</v>
      </c>
      <c r="AN46" s="141">
        <v>5.5</v>
      </c>
    </row>
    <row r="47" spans="1:40" x14ac:dyDescent="0.3">
      <c r="A47" s="138" t="s">
        <v>720</v>
      </c>
      <c r="B47" s="138" t="s">
        <v>677</v>
      </c>
      <c r="C47" s="139">
        <v>16</v>
      </c>
      <c r="D47" s="140">
        <v>4.71</v>
      </c>
      <c r="E47" s="139">
        <v>12</v>
      </c>
      <c r="F47" s="141">
        <v>12</v>
      </c>
      <c r="G47" s="140">
        <v>3.99</v>
      </c>
      <c r="H47" s="141">
        <v>4</v>
      </c>
      <c r="I47" s="142">
        <v>0.22</v>
      </c>
      <c r="J47" s="141">
        <v>0.25</v>
      </c>
      <c r="K47" s="143">
        <v>0.125</v>
      </c>
      <c r="L47" s="142">
        <v>0.26500000000000001</v>
      </c>
      <c r="M47" s="143">
        <v>0.25</v>
      </c>
      <c r="N47" s="144">
        <v>0.56499999999999995</v>
      </c>
      <c r="O47" s="145">
        <v>0.8125</v>
      </c>
      <c r="P47" s="145">
        <v>0.5625</v>
      </c>
      <c r="Q47" s="140">
        <v>7.53</v>
      </c>
      <c r="R47" s="139">
        <v>49.4</v>
      </c>
      <c r="S47" s="147">
        <v>103</v>
      </c>
      <c r="T47" s="139">
        <v>20.100000000000001</v>
      </c>
      <c r="U47" s="139">
        <v>17.100000000000001</v>
      </c>
      <c r="V47" s="140">
        <v>4.67</v>
      </c>
      <c r="W47" s="140">
        <v>2.82</v>
      </c>
      <c r="X47" s="140">
        <v>2.2599999999999998</v>
      </c>
      <c r="Y47" s="140">
        <v>1.41</v>
      </c>
      <c r="Z47" s="142">
        <v>0.77300000000000002</v>
      </c>
      <c r="AA47" s="142">
        <v>0.10299999999999999</v>
      </c>
      <c r="AB47" s="139">
        <v>96.9</v>
      </c>
      <c r="AC47" s="139">
        <v>11.7</v>
      </c>
      <c r="AD47" s="140">
        <v>3.09</v>
      </c>
      <c r="AE47" s="140">
        <v>2.93</v>
      </c>
      <c r="AF47" s="140">
        <v>9.82</v>
      </c>
      <c r="AG47" s="142">
        <v>0.98299999999999998</v>
      </c>
      <c r="AH47" s="139">
        <v>11.7</v>
      </c>
      <c r="AI47" s="139">
        <v>35</v>
      </c>
      <c r="AJ47" s="139">
        <v>39</v>
      </c>
      <c r="AK47" s="139">
        <v>28</v>
      </c>
      <c r="AL47" s="139">
        <v>32</v>
      </c>
      <c r="AM47" s="141">
        <v>10.375</v>
      </c>
      <c r="AN47" s="141">
        <v>2.25</v>
      </c>
    </row>
    <row r="48" spans="1:40" x14ac:dyDescent="0.3">
      <c r="A48" s="138" t="s">
        <v>721</v>
      </c>
      <c r="B48" s="138" t="s">
        <v>677</v>
      </c>
      <c r="C48" s="139">
        <v>45</v>
      </c>
      <c r="D48" s="139">
        <v>13.1</v>
      </c>
      <c r="E48" s="139">
        <v>12.1</v>
      </c>
      <c r="F48" s="141">
        <v>12</v>
      </c>
      <c r="G48" s="140">
        <v>8.0500000000000007</v>
      </c>
      <c r="H48" s="141">
        <v>8</v>
      </c>
      <c r="I48" s="142">
        <v>0.33500000000000002</v>
      </c>
      <c r="J48" s="141">
        <v>0.3125</v>
      </c>
      <c r="K48" s="143">
        <v>0.1875</v>
      </c>
      <c r="L48" s="142">
        <v>0.57499999999999996</v>
      </c>
      <c r="M48" s="143">
        <v>0.5625</v>
      </c>
      <c r="N48" s="148">
        <v>1.08</v>
      </c>
      <c r="O48" s="145">
        <v>1.375</v>
      </c>
      <c r="P48" s="145">
        <v>0.9375</v>
      </c>
      <c r="Q48" s="140">
        <v>7</v>
      </c>
      <c r="R48" s="139">
        <v>29.6</v>
      </c>
      <c r="S48" s="147">
        <v>348</v>
      </c>
      <c r="T48" s="139">
        <v>64.2</v>
      </c>
      <c r="U48" s="139">
        <v>57.7</v>
      </c>
      <c r="V48" s="140">
        <v>5.15</v>
      </c>
      <c r="W48" s="139">
        <v>50</v>
      </c>
      <c r="X48" s="139">
        <v>19</v>
      </c>
      <c r="Y48" s="139">
        <v>12.4</v>
      </c>
      <c r="Z48" s="140">
        <v>1.95</v>
      </c>
      <c r="AA48" s="140">
        <v>1.26</v>
      </c>
      <c r="AB48" s="147">
        <v>1650</v>
      </c>
      <c r="AC48" s="139">
        <v>23.2</v>
      </c>
      <c r="AD48" s="139">
        <v>26.8</v>
      </c>
      <c r="AE48" s="139">
        <v>12.8</v>
      </c>
      <c r="AF48" s="139">
        <v>31.7</v>
      </c>
      <c r="AG48" s="140">
        <v>2.23</v>
      </c>
      <c r="AH48" s="139">
        <v>11.5</v>
      </c>
      <c r="AI48" s="139">
        <v>46.8</v>
      </c>
      <c r="AJ48" s="139">
        <v>54.9</v>
      </c>
      <c r="AK48" s="139">
        <v>32.299999999999997</v>
      </c>
      <c r="AL48" s="139">
        <v>40.299999999999997</v>
      </c>
      <c r="AM48" s="141">
        <v>9.25</v>
      </c>
      <c r="AN48" s="141">
        <v>5.5</v>
      </c>
    </row>
    <row r="49" spans="1:40" x14ac:dyDescent="0.3">
      <c r="A49" s="138" t="s">
        <v>722</v>
      </c>
      <c r="B49" s="138" t="s">
        <v>677</v>
      </c>
      <c r="C49" s="139">
        <v>53</v>
      </c>
      <c r="D49" s="139">
        <v>15.6</v>
      </c>
      <c r="E49" s="139">
        <v>12.1</v>
      </c>
      <c r="F49" s="141">
        <v>12</v>
      </c>
      <c r="G49" s="139">
        <v>10</v>
      </c>
      <c r="H49" s="141">
        <v>10</v>
      </c>
      <c r="I49" s="142">
        <v>0.34499999999999997</v>
      </c>
      <c r="J49" s="141">
        <v>0.375</v>
      </c>
      <c r="K49" s="143">
        <v>0.1875</v>
      </c>
      <c r="L49" s="142">
        <v>0.57499999999999996</v>
      </c>
      <c r="M49" s="143">
        <v>0.5625</v>
      </c>
      <c r="N49" s="148">
        <v>1.18</v>
      </c>
      <c r="O49" s="145">
        <v>1.375</v>
      </c>
      <c r="P49" s="145">
        <v>0.9375</v>
      </c>
      <c r="Q49" s="140">
        <v>8.69</v>
      </c>
      <c r="R49" s="139">
        <v>28.1</v>
      </c>
      <c r="S49" s="147">
        <v>425</v>
      </c>
      <c r="T49" s="139">
        <v>77.900000000000006</v>
      </c>
      <c r="U49" s="139">
        <v>70.599999999999994</v>
      </c>
      <c r="V49" s="140">
        <v>5.23</v>
      </c>
      <c r="W49" s="139">
        <v>95.8</v>
      </c>
      <c r="X49" s="139">
        <v>29.1</v>
      </c>
      <c r="Y49" s="139">
        <v>19.2</v>
      </c>
      <c r="Z49" s="140">
        <v>2.48</v>
      </c>
      <c r="AA49" s="140">
        <v>1.58</v>
      </c>
      <c r="AB49" s="147">
        <v>3160</v>
      </c>
      <c r="AC49" s="139">
        <v>28.8</v>
      </c>
      <c r="AD49" s="139">
        <v>41.4</v>
      </c>
      <c r="AE49" s="139">
        <v>16</v>
      </c>
      <c r="AF49" s="139">
        <v>38.299999999999997</v>
      </c>
      <c r="AG49" s="140">
        <v>2.79</v>
      </c>
      <c r="AH49" s="139">
        <v>11.5</v>
      </c>
      <c r="AI49" s="139">
        <v>52.5</v>
      </c>
      <c r="AJ49" s="139">
        <v>62.5</v>
      </c>
      <c r="AK49" s="139">
        <v>34.200000000000003</v>
      </c>
      <c r="AL49" s="139">
        <v>44.2</v>
      </c>
      <c r="AM49" s="141">
        <v>9.25</v>
      </c>
      <c r="AN49" s="141">
        <v>5.5</v>
      </c>
    </row>
    <row r="50" spans="1:40" x14ac:dyDescent="0.3">
      <c r="A50" s="138" t="s">
        <v>723</v>
      </c>
      <c r="B50" s="138" t="s">
        <v>677</v>
      </c>
      <c r="C50" s="139">
        <v>65</v>
      </c>
      <c r="D50" s="139">
        <v>19.100000000000001</v>
      </c>
      <c r="E50" s="139">
        <v>12.1</v>
      </c>
      <c r="F50" s="141">
        <v>12.125</v>
      </c>
      <c r="G50" s="139">
        <v>12</v>
      </c>
      <c r="H50" s="141">
        <v>12</v>
      </c>
      <c r="I50" s="142">
        <v>0.39</v>
      </c>
      <c r="J50" s="141">
        <v>0.375</v>
      </c>
      <c r="K50" s="143">
        <v>0.1875</v>
      </c>
      <c r="L50" s="142">
        <v>0.60499999999999998</v>
      </c>
      <c r="M50" s="143">
        <v>0.625</v>
      </c>
      <c r="N50" s="148">
        <v>1.2</v>
      </c>
      <c r="O50" s="145">
        <v>1.5</v>
      </c>
      <c r="P50" s="145">
        <v>1</v>
      </c>
      <c r="Q50" s="140">
        <v>9.92</v>
      </c>
      <c r="R50" s="139">
        <v>24.9</v>
      </c>
      <c r="S50" s="147">
        <v>533</v>
      </c>
      <c r="T50" s="139">
        <v>96.8</v>
      </c>
      <c r="U50" s="139">
        <v>87.9</v>
      </c>
      <c r="V50" s="140">
        <v>5.28</v>
      </c>
      <c r="W50" s="147">
        <v>174</v>
      </c>
      <c r="X50" s="139">
        <v>44.1</v>
      </c>
      <c r="Y50" s="139">
        <v>29.1</v>
      </c>
      <c r="Z50" s="140">
        <v>3.02</v>
      </c>
      <c r="AA50" s="140">
        <v>2.1800000000000002</v>
      </c>
      <c r="AB50" s="147">
        <v>5780</v>
      </c>
      <c r="AC50" s="139">
        <v>34.5</v>
      </c>
      <c r="AD50" s="139">
        <v>62.6</v>
      </c>
      <c r="AE50" s="139">
        <v>20.2</v>
      </c>
      <c r="AF50" s="139">
        <v>47.5</v>
      </c>
      <c r="AG50" s="140">
        <v>3.38</v>
      </c>
      <c r="AH50" s="139">
        <v>11.5</v>
      </c>
      <c r="AI50" s="139">
        <v>58.4</v>
      </c>
      <c r="AJ50" s="139">
        <v>70.400000000000006</v>
      </c>
      <c r="AK50" s="139">
        <v>36.200000000000003</v>
      </c>
      <c r="AL50" s="139">
        <v>48.2</v>
      </c>
      <c r="AM50" s="141">
        <v>9.125</v>
      </c>
      <c r="AN50" s="141">
        <v>5.5</v>
      </c>
    </row>
    <row r="51" spans="1:40" x14ac:dyDescent="0.3">
      <c r="A51" s="138" t="s">
        <v>724</v>
      </c>
      <c r="B51" s="138" t="s">
        <v>677</v>
      </c>
      <c r="C51" s="139">
        <v>19</v>
      </c>
      <c r="D51" s="140">
        <v>5.57</v>
      </c>
      <c r="E51" s="139">
        <v>12.2</v>
      </c>
      <c r="F51" s="141">
        <v>12.125</v>
      </c>
      <c r="G51" s="140">
        <v>4.01</v>
      </c>
      <c r="H51" s="141">
        <v>4</v>
      </c>
      <c r="I51" s="142">
        <v>0.23499999999999999</v>
      </c>
      <c r="J51" s="141">
        <v>0.25</v>
      </c>
      <c r="K51" s="143">
        <v>0.125</v>
      </c>
      <c r="L51" s="142">
        <v>0.35</v>
      </c>
      <c r="M51" s="143">
        <v>0.375</v>
      </c>
      <c r="N51" s="144">
        <v>0.65</v>
      </c>
      <c r="O51" s="145">
        <v>0.875</v>
      </c>
      <c r="P51" s="145">
        <v>0.5625</v>
      </c>
      <c r="Q51" s="140">
        <v>5.72</v>
      </c>
      <c r="R51" s="139">
        <v>46.2</v>
      </c>
      <c r="S51" s="147">
        <v>130</v>
      </c>
      <c r="T51" s="139">
        <v>24.7</v>
      </c>
      <c r="U51" s="139">
        <v>21.3</v>
      </c>
      <c r="V51" s="140">
        <v>4.82</v>
      </c>
      <c r="W51" s="140">
        <v>3.76</v>
      </c>
      <c r="X51" s="140">
        <v>2.98</v>
      </c>
      <c r="Y51" s="140">
        <v>1.88</v>
      </c>
      <c r="Z51" s="142">
        <v>0.82199999999999995</v>
      </c>
      <c r="AA51" s="142">
        <v>0.18</v>
      </c>
      <c r="AB51" s="147">
        <v>131</v>
      </c>
      <c r="AC51" s="139">
        <v>11.9</v>
      </c>
      <c r="AD51" s="140">
        <v>4.17</v>
      </c>
      <c r="AE51" s="140">
        <v>3.91</v>
      </c>
      <c r="AF51" s="139">
        <v>12.2</v>
      </c>
      <c r="AG51" s="140">
        <v>1.02</v>
      </c>
      <c r="AH51" s="139">
        <v>11.9</v>
      </c>
      <c r="AI51" s="139">
        <v>35.5</v>
      </c>
      <c r="AJ51" s="139">
        <v>39.5</v>
      </c>
      <c r="AK51" s="139">
        <v>28.4</v>
      </c>
      <c r="AL51" s="139">
        <v>32.4</v>
      </c>
      <c r="AM51" s="141">
        <v>10.375</v>
      </c>
      <c r="AN51" s="141">
        <v>2.25</v>
      </c>
    </row>
    <row r="52" spans="1:40" x14ac:dyDescent="0.3">
      <c r="A52" s="138" t="s">
        <v>725</v>
      </c>
      <c r="B52" s="138" t="s">
        <v>677</v>
      </c>
      <c r="C52" s="139">
        <v>26</v>
      </c>
      <c r="D52" s="140">
        <v>7.65</v>
      </c>
      <c r="E52" s="139">
        <v>12.2</v>
      </c>
      <c r="F52" s="141">
        <v>12.25</v>
      </c>
      <c r="G52" s="140">
        <v>6.49</v>
      </c>
      <c r="H52" s="141">
        <v>6.5</v>
      </c>
      <c r="I52" s="142">
        <v>0.23</v>
      </c>
      <c r="J52" s="141">
        <v>0.25</v>
      </c>
      <c r="K52" s="143">
        <v>0.125</v>
      </c>
      <c r="L52" s="142">
        <v>0.38</v>
      </c>
      <c r="M52" s="143">
        <v>0.375</v>
      </c>
      <c r="N52" s="144">
        <v>0.68</v>
      </c>
      <c r="O52" s="145">
        <v>1.0625</v>
      </c>
      <c r="P52" s="145">
        <v>0.75</v>
      </c>
      <c r="Q52" s="140">
        <v>8.5399999999999991</v>
      </c>
      <c r="R52" s="139">
        <v>47.2</v>
      </c>
      <c r="S52" s="147">
        <v>204</v>
      </c>
      <c r="T52" s="139">
        <v>37.200000000000003</v>
      </c>
      <c r="U52" s="139">
        <v>33.4</v>
      </c>
      <c r="V52" s="140">
        <v>5.17</v>
      </c>
      <c r="W52" s="139">
        <v>17.3</v>
      </c>
      <c r="X52" s="140">
        <v>8.17</v>
      </c>
      <c r="Y52" s="140">
        <v>5.34</v>
      </c>
      <c r="Z52" s="140">
        <v>1.51</v>
      </c>
      <c r="AA52" s="142">
        <v>0.3</v>
      </c>
      <c r="AB52" s="147">
        <v>607</v>
      </c>
      <c r="AC52" s="139">
        <v>19.2</v>
      </c>
      <c r="AD52" s="139">
        <v>11.8</v>
      </c>
      <c r="AE52" s="140">
        <v>7.03</v>
      </c>
      <c r="AF52" s="139">
        <v>18.3</v>
      </c>
      <c r="AG52" s="140">
        <v>1.75</v>
      </c>
      <c r="AH52" s="139">
        <v>11.8</v>
      </c>
      <c r="AI52" s="139">
        <v>42.9</v>
      </c>
      <c r="AJ52" s="139">
        <v>49.4</v>
      </c>
      <c r="AK52" s="139">
        <v>30.9</v>
      </c>
      <c r="AL52" s="139">
        <v>37.4</v>
      </c>
      <c r="AM52" s="141">
        <v>10.125</v>
      </c>
      <c r="AN52" s="141">
        <v>3.5</v>
      </c>
    </row>
    <row r="53" spans="1:40" x14ac:dyDescent="0.3">
      <c r="A53" s="138" t="s">
        <v>726</v>
      </c>
      <c r="B53" s="138" t="s">
        <v>677</v>
      </c>
      <c r="C53" s="139">
        <v>50</v>
      </c>
      <c r="D53" s="139">
        <v>14.6</v>
      </c>
      <c r="E53" s="139">
        <v>12.2</v>
      </c>
      <c r="F53" s="141">
        <v>12.25</v>
      </c>
      <c r="G53" s="140">
        <v>8.08</v>
      </c>
      <c r="H53" s="141">
        <v>8.125</v>
      </c>
      <c r="I53" s="142">
        <v>0.37</v>
      </c>
      <c r="J53" s="141">
        <v>0.375</v>
      </c>
      <c r="K53" s="143">
        <v>0.1875</v>
      </c>
      <c r="L53" s="142">
        <v>0.64</v>
      </c>
      <c r="M53" s="143">
        <v>0.625</v>
      </c>
      <c r="N53" s="148">
        <v>1.1399999999999999</v>
      </c>
      <c r="O53" s="145">
        <v>1.5</v>
      </c>
      <c r="P53" s="145">
        <v>0.9375</v>
      </c>
      <c r="Q53" s="140">
        <v>6.31</v>
      </c>
      <c r="R53" s="139">
        <v>26.8</v>
      </c>
      <c r="S53" s="147">
        <v>391</v>
      </c>
      <c r="T53" s="139">
        <v>71.900000000000006</v>
      </c>
      <c r="U53" s="139">
        <v>64.2</v>
      </c>
      <c r="V53" s="140">
        <v>5.18</v>
      </c>
      <c r="W53" s="139">
        <v>56.3</v>
      </c>
      <c r="X53" s="139">
        <v>21.3</v>
      </c>
      <c r="Y53" s="139">
        <v>13.9</v>
      </c>
      <c r="Z53" s="140">
        <v>1.96</v>
      </c>
      <c r="AA53" s="140">
        <v>1.71</v>
      </c>
      <c r="AB53" s="147">
        <v>1880</v>
      </c>
      <c r="AC53" s="139">
        <v>23.4</v>
      </c>
      <c r="AD53" s="139">
        <v>30.2</v>
      </c>
      <c r="AE53" s="139">
        <v>14.3</v>
      </c>
      <c r="AF53" s="139">
        <v>35.4</v>
      </c>
      <c r="AG53" s="140">
        <v>2.25</v>
      </c>
      <c r="AH53" s="139">
        <v>11.6</v>
      </c>
      <c r="AI53" s="139">
        <v>47</v>
      </c>
      <c r="AJ53" s="139">
        <v>55.1</v>
      </c>
      <c r="AK53" s="139">
        <v>32.5</v>
      </c>
      <c r="AL53" s="139">
        <v>40.6</v>
      </c>
      <c r="AM53" s="141">
        <v>9.25</v>
      </c>
      <c r="AN53" s="141">
        <v>5.5</v>
      </c>
    </row>
    <row r="54" spans="1:40" x14ac:dyDescent="0.3">
      <c r="A54" s="138" t="s">
        <v>727</v>
      </c>
      <c r="B54" s="138" t="s">
        <v>677</v>
      </c>
      <c r="C54" s="139">
        <v>58</v>
      </c>
      <c r="D54" s="139">
        <v>17</v>
      </c>
      <c r="E54" s="139">
        <v>12.2</v>
      </c>
      <c r="F54" s="141">
        <v>12.25</v>
      </c>
      <c r="G54" s="139">
        <v>10</v>
      </c>
      <c r="H54" s="141">
        <v>10</v>
      </c>
      <c r="I54" s="142">
        <v>0.36</v>
      </c>
      <c r="J54" s="141">
        <v>0.375</v>
      </c>
      <c r="K54" s="143">
        <v>0.1875</v>
      </c>
      <c r="L54" s="142">
        <v>0.64</v>
      </c>
      <c r="M54" s="143">
        <v>0.625</v>
      </c>
      <c r="N54" s="148">
        <v>1.24</v>
      </c>
      <c r="O54" s="145">
        <v>1.5</v>
      </c>
      <c r="P54" s="145">
        <v>0.9375</v>
      </c>
      <c r="Q54" s="140">
        <v>7.82</v>
      </c>
      <c r="R54" s="139">
        <v>27</v>
      </c>
      <c r="S54" s="147">
        <v>475</v>
      </c>
      <c r="T54" s="139">
        <v>86.4</v>
      </c>
      <c r="U54" s="139">
        <v>78</v>
      </c>
      <c r="V54" s="140">
        <v>5.28</v>
      </c>
      <c r="W54" s="147">
        <v>107</v>
      </c>
      <c r="X54" s="139">
        <v>32.5</v>
      </c>
      <c r="Y54" s="139">
        <v>21.4</v>
      </c>
      <c r="Z54" s="140">
        <v>2.5099999999999998</v>
      </c>
      <c r="AA54" s="140">
        <v>2.1</v>
      </c>
      <c r="AB54" s="147">
        <v>3570</v>
      </c>
      <c r="AC54" s="139">
        <v>28.9</v>
      </c>
      <c r="AD54" s="139">
        <v>46.2</v>
      </c>
      <c r="AE54" s="139">
        <v>17.8</v>
      </c>
      <c r="AF54" s="139">
        <v>42.4</v>
      </c>
      <c r="AG54" s="140">
        <v>2.81</v>
      </c>
      <c r="AH54" s="139">
        <v>11.6</v>
      </c>
      <c r="AI54" s="139">
        <v>52.6</v>
      </c>
      <c r="AJ54" s="139">
        <v>62.6</v>
      </c>
      <c r="AK54" s="139">
        <v>34.4</v>
      </c>
      <c r="AL54" s="139">
        <v>44.4</v>
      </c>
      <c r="AM54" s="141">
        <v>9.25</v>
      </c>
      <c r="AN54" s="141">
        <v>5.5</v>
      </c>
    </row>
    <row r="55" spans="1:40" x14ac:dyDescent="0.3">
      <c r="A55" s="138" t="s">
        <v>728</v>
      </c>
      <c r="B55" s="138" t="s">
        <v>677</v>
      </c>
      <c r="C55" s="139">
        <v>22</v>
      </c>
      <c r="D55" s="140">
        <v>6.48</v>
      </c>
      <c r="E55" s="139">
        <v>12.3</v>
      </c>
      <c r="F55" s="141">
        <v>12.25</v>
      </c>
      <c r="G55" s="140">
        <v>4.03</v>
      </c>
      <c r="H55" s="141">
        <v>4</v>
      </c>
      <c r="I55" s="142">
        <v>0.26</v>
      </c>
      <c r="J55" s="141">
        <v>0.25</v>
      </c>
      <c r="K55" s="143">
        <v>0.125</v>
      </c>
      <c r="L55" s="142">
        <v>0.42499999999999999</v>
      </c>
      <c r="M55" s="143">
        <v>0.4375</v>
      </c>
      <c r="N55" s="144">
        <v>0.72499999999999998</v>
      </c>
      <c r="O55" s="145">
        <v>0.9375</v>
      </c>
      <c r="P55" s="145">
        <v>0.625</v>
      </c>
      <c r="Q55" s="140">
        <v>4.74</v>
      </c>
      <c r="R55" s="139">
        <v>41.8</v>
      </c>
      <c r="S55" s="147">
        <v>156</v>
      </c>
      <c r="T55" s="139">
        <v>29.3</v>
      </c>
      <c r="U55" s="139">
        <v>25.4</v>
      </c>
      <c r="V55" s="140">
        <v>4.91</v>
      </c>
      <c r="W55" s="140">
        <v>4.66</v>
      </c>
      <c r="X55" s="140">
        <v>3.66</v>
      </c>
      <c r="Y55" s="140">
        <v>2.31</v>
      </c>
      <c r="Z55" s="142">
        <v>0.84799999999999998</v>
      </c>
      <c r="AA55" s="142">
        <v>0.29299999999999998</v>
      </c>
      <c r="AB55" s="147">
        <v>164</v>
      </c>
      <c r="AC55" s="139">
        <v>12</v>
      </c>
      <c r="AD55" s="140">
        <v>5.12</v>
      </c>
      <c r="AE55" s="140">
        <v>4.76</v>
      </c>
      <c r="AF55" s="139">
        <v>14.4</v>
      </c>
      <c r="AG55" s="140">
        <v>1.04</v>
      </c>
      <c r="AH55" s="139">
        <v>11.9</v>
      </c>
      <c r="AI55" s="139">
        <v>35.700000000000003</v>
      </c>
      <c r="AJ55" s="139">
        <v>39.700000000000003</v>
      </c>
      <c r="AK55" s="139">
        <v>28.6</v>
      </c>
      <c r="AL55" s="139">
        <v>32.700000000000003</v>
      </c>
      <c r="AM55" s="141">
        <v>10.375</v>
      </c>
      <c r="AN55" s="141">
        <v>2.25</v>
      </c>
    </row>
    <row r="56" spans="1:40" x14ac:dyDescent="0.3">
      <c r="A56" s="138" t="s">
        <v>730</v>
      </c>
      <c r="B56" s="138" t="s">
        <v>677</v>
      </c>
      <c r="C56" s="139">
        <v>72</v>
      </c>
      <c r="D56" s="139">
        <v>21.1</v>
      </c>
      <c r="E56" s="139">
        <v>12.3</v>
      </c>
      <c r="F56" s="141">
        <v>12.25</v>
      </c>
      <c r="G56" s="139">
        <v>12</v>
      </c>
      <c r="H56" s="141">
        <v>12</v>
      </c>
      <c r="I56" s="142">
        <v>0.43</v>
      </c>
      <c r="J56" s="141">
        <v>0.4375</v>
      </c>
      <c r="K56" s="143">
        <v>0.25</v>
      </c>
      <c r="L56" s="142">
        <v>0.67</v>
      </c>
      <c r="M56" s="143">
        <v>0.6875</v>
      </c>
      <c r="N56" s="148">
        <v>1.27</v>
      </c>
      <c r="O56" s="145">
        <v>1.5625</v>
      </c>
      <c r="P56" s="145">
        <v>1.0625</v>
      </c>
      <c r="Q56" s="140">
        <v>8.99</v>
      </c>
      <c r="R56" s="139">
        <v>22.6</v>
      </c>
      <c r="S56" s="147">
        <v>597</v>
      </c>
      <c r="T56" s="147">
        <v>108</v>
      </c>
      <c r="U56" s="139">
        <v>97.4</v>
      </c>
      <c r="V56" s="140">
        <v>5.31</v>
      </c>
      <c r="W56" s="147">
        <v>195</v>
      </c>
      <c r="X56" s="139">
        <v>49.2</v>
      </c>
      <c r="Y56" s="139">
        <v>32.4</v>
      </c>
      <c r="Z56" s="140">
        <v>3.04</v>
      </c>
      <c r="AA56" s="140">
        <v>2.93</v>
      </c>
      <c r="AB56" s="147">
        <v>6540</v>
      </c>
      <c r="AC56" s="139">
        <v>34.9</v>
      </c>
      <c r="AD56" s="139">
        <v>70.099999999999994</v>
      </c>
      <c r="AE56" s="139">
        <v>22.5</v>
      </c>
      <c r="AF56" s="139">
        <v>53.2</v>
      </c>
      <c r="AG56" s="140">
        <v>3.41</v>
      </c>
      <c r="AH56" s="139">
        <v>11.6</v>
      </c>
      <c r="AI56" s="139">
        <v>58.7</v>
      </c>
      <c r="AJ56" s="139">
        <v>70.7</v>
      </c>
      <c r="AK56" s="139">
        <v>36.6</v>
      </c>
      <c r="AL56" s="139">
        <v>48.6</v>
      </c>
      <c r="AM56" s="141">
        <v>9.125</v>
      </c>
      <c r="AN56" s="141">
        <v>5.5</v>
      </c>
    </row>
    <row r="57" spans="1:40" x14ac:dyDescent="0.3">
      <c r="A57" s="138" t="s">
        <v>729</v>
      </c>
      <c r="B57" s="138" t="s">
        <v>677</v>
      </c>
      <c r="C57" s="139">
        <v>30</v>
      </c>
      <c r="D57" s="140">
        <v>8.7899999999999991</v>
      </c>
      <c r="E57" s="139">
        <v>12.3</v>
      </c>
      <c r="F57" s="141">
        <v>12.375</v>
      </c>
      <c r="G57" s="140">
        <v>6.52</v>
      </c>
      <c r="H57" s="141">
        <v>6.5</v>
      </c>
      <c r="I57" s="142">
        <v>0.26</v>
      </c>
      <c r="J57" s="141">
        <v>0.25</v>
      </c>
      <c r="K57" s="143">
        <v>0.125</v>
      </c>
      <c r="L57" s="142">
        <v>0.44</v>
      </c>
      <c r="M57" s="143">
        <v>0.4375</v>
      </c>
      <c r="N57" s="144">
        <v>0.74</v>
      </c>
      <c r="O57" s="145">
        <v>1.125</v>
      </c>
      <c r="P57" s="145">
        <v>0.75</v>
      </c>
      <c r="Q57" s="140">
        <v>7.41</v>
      </c>
      <c r="R57" s="139">
        <v>41.8</v>
      </c>
      <c r="S57" s="147">
        <v>238</v>
      </c>
      <c r="T57" s="139">
        <v>43.1</v>
      </c>
      <c r="U57" s="139">
        <v>38.6</v>
      </c>
      <c r="V57" s="140">
        <v>5.21</v>
      </c>
      <c r="W57" s="139">
        <v>20.3</v>
      </c>
      <c r="X57" s="140">
        <v>9.56</v>
      </c>
      <c r="Y57" s="140">
        <v>6.24</v>
      </c>
      <c r="Z57" s="140">
        <v>1.52</v>
      </c>
      <c r="AA57" s="142">
        <v>0.45700000000000002</v>
      </c>
      <c r="AB57" s="147">
        <v>720</v>
      </c>
      <c r="AC57" s="139">
        <v>19.3</v>
      </c>
      <c r="AD57" s="139">
        <v>13.9</v>
      </c>
      <c r="AE57" s="140">
        <v>8.17</v>
      </c>
      <c r="AF57" s="139">
        <v>21.3</v>
      </c>
      <c r="AG57" s="140">
        <v>1.77</v>
      </c>
      <c r="AH57" s="139">
        <v>11.9</v>
      </c>
      <c r="AI57" s="139">
        <v>43.1</v>
      </c>
      <c r="AJ57" s="139">
        <v>49.6</v>
      </c>
      <c r="AK57" s="139">
        <v>31.1</v>
      </c>
      <c r="AL57" s="139">
        <v>37.6</v>
      </c>
      <c r="AM57" s="141">
        <v>10.125</v>
      </c>
      <c r="AN57" s="141">
        <v>3.5</v>
      </c>
    </row>
    <row r="58" spans="1:40" x14ac:dyDescent="0.3">
      <c r="A58" s="138" t="s">
        <v>731</v>
      </c>
      <c r="B58" s="138" t="s">
        <v>677</v>
      </c>
      <c r="C58" s="139">
        <v>79</v>
      </c>
      <c r="D58" s="139">
        <v>23.2</v>
      </c>
      <c r="E58" s="139">
        <v>12.4</v>
      </c>
      <c r="F58" s="141">
        <v>12.375</v>
      </c>
      <c r="G58" s="139">
        <v>12.1</v>
      </c>
      <c r="H58" s="141">
        <v>12.125</v>
      </c>
      <c r="I58" s="142">
        <v>0.47</v>
      </c>
      <c r="J58" s="141">
        <v>0.5</v>
      </c>
      <c r="K58" s="143">
        <v>0.25</v>
      </c>
      <c r="L58" s="142">
        <v>0.73499999999999999</v>
      </c>
      <c r="M58" s="143">
        <v>0.75</v>
      </c>
      <c r="N58" s="148">
        <v>1.33</v>
      </c>
      <c r="O58" s="145">
        <v>1.625</v>
      </c>
      <c r="P58" s="145">
        <v>1.0625</v>
      </c>
      <c r="Q58" s="140">
        <v>8.2200000000000006</v>
      </c>
      <c r="R58" s="139">
        <v>20.7</v>
      </c>
      <c r="S58" s="147">
        <v>662</v>
      </c>
      <c r="T58" s="147">
        <v>119</v>
      </c>
      <c r="U58" s="147">
        <v>107</v>
      </c>
      <c r="V58" s="140">
        <v>5.34</v>
      </c>
      <c r="W58" s="147">
        <v>216</v>
      </c>
      <c r="X58" s="139">
        <v>54.3</v>
      </c>
      <c r="Y58" s="139">
        <v>35.799999999999997</v>
      </c>
      <c r="Z58" s="140">
        <v>3.05</v>
      </c>
      <c r="AA58" s="140">
        <v>3.84</v>
      </c>
      <c r="AB58" s="147">
        <v>7330</v>
      </c>
      <c r="AC58" s="139">
        <v>35.299999999999997</v>
      </c>
      <c r="AD58" s="139">
        <v>78.5</v>
      </c>
      <c r="AE58" s="139">
        <v>24.9</v>
      </c>
      <c r="AF58" s="139">
        <v>58.9</v>
      </c>
      <c r="AG58" s="140">
        <v>3.43</v>
      </c>
      <c r="AH58" s="139">
        <v>11.7</v>
      </c>
      <c r="AI58" s="139">
        <v>59.1</v>
      </c>
      <c r="AJ58" s="139">
        <v>71.2</v>
      </c>
      <c r="AK58" s="139">
        <v>36.9</v>
      </c>
      <c r="AL58" s="139">
        <v>49</v>
      </c>
      <c r="AM58" s="141">
        <v>9.125</v>
      </c>
      <c r="AN58" s="141">
        <v>5.5</v>
      </c>
    </row>
    <row r="59" spans="1:40" x14ac:dyDescent="0.3">
      <c r="A59" s="138" t="s">
        <v>732</v>
      </c>
      <c r="B59" s="138" t="s">
        <v>677</v>
      </c>
      <c r="C59" s="139">
        <v>35</v>
      </c>
      <c r="D59" s="139">
        <v>10.3</v>
      </c>
      <c r="E59" s="139">
        <v>12.5</v>
      </c>
      <c r="F59" s="141">
        <v>12.5</v>
      </c>
      <c r="G59" s="140">
        <v>6.56</v>
      </c>
      <c r="H59" s="141">
        <v>6.5</v>
      </c>
      <c r="I59" s="142">
        <v>0.3</v>
      </c>
      <c r="J59" s="141">
        <v>0.3125</v>
      </c>
      <c r="K59" s="143">
        <v>0.1875</v>
      </c>
      <c r="L59" s="142">
        <v>0.52</v>
      </c>
      <c r="M59" s="143">
        <v>0.5</v>
      </c>
      <c r="N59" s="144">
        <v>0.82</v>
      </c>
      <c r="O59" s="145">
        <v>1.1875</v>
      </c>
      <c r="P59" s="145">
        <v>0.75</v>
      </c>
      <c r="Q59" s="140">
        <v>6.31</v>
      </c>
      <c r="R59" s="139">
        <v>36.200000000000003</v>
      </c>
      <c r="S59" s="147">
        <v>285</v>
      </c>
      <c r="T59" s="139">
        <v>51.2</v>
      </c>
      <c r="U59" s="139">
        <v>45.6</v>
      </c>
      <c r="V59" s="140">
        <v>5.25</v>
      </c>
      <c r="W59" s="139">
        <v>24.5</v>
      </c>
      <c r="X59" s="139">
        <v>11.5</v>
      </c>
      <c r="Y59" s="140">
        <v>7.47</v>
      </c>
      <c r="Z59" s="140">
        <v>1.54</v>
      </c>
      <c r="AA59" s="142">
        <v>0.74099999999999999</v>
      </c>
      <c r="AB59" s="147">
        <v>879</v>
      </c>
      <c r="AC59" s="139">
        <v>19.600000000000001</v>
      </c>
      <c r="AD59" s="139">
        <v>16.8</v>
      </c>
      <c r="AE59" s="140">
        <v>9.75</v>
      </c>
      <c r="AF59" s="139">
        <v>25.4</v>
      </c>
      <c r="AG59" s="140">
        <v>1.79</v>
      </c>
      <c r="AH59" s="139">
        <v>12</v>
      </c>
      <c r="AI59" s="139">
        <v>43.5</v>
      </c>
      <c r="AJ59" s="139">
        <v>50.1</v>
      </c>
      <c r="AK59" s="139">
        <v>31.6</v>
      </c>
      <c r="AL59" s="139">
        <v>38.1</v>
      </c>
      <c r="AM59" s="141">
        <v>10.125</v>
      </c>
      <c r="AN59" s="141">
        <v>3.5</v>
      </c>
    </row>
    <row r="60" spans="1:40" x14ac:dyDescent="0.3">
      <c r="A60" s="138" t="s">
        <v>733</v>
      </c>
      <c r="B60" s="138" t="s">
        <v>677</v>
      </c>
      <c r="C60" s="139">
        <v>87</v>
      </c>
      <c r="D60" s="139">
        <v>25.6</v>
      </c>
      <c r="E60" s="139">
        <v>12.5</v>
      </c>
      <c r="F60" s="141">
        <v>12.5</v>
      </c>
      <c r="G60" s="139">
        <v>12.1</v>
      </c>
      <c r="H60" s="141">
        <v>12.125</v>
      </c>
      <c r="I60" s="142">
        <v>0.51500000000000001</v>
      </c>
      <c r="J60" s="141">
        <v>0.5</v>
      </c>
      <c r="K60" s="143">
        <v>0.25</v>
      </c>
      <c r="L60" s="142">
        <v>0.81</v>
      </c>
      <c r="M60" s="143">
        <v>0.8125</v>
      </c>
      <c r="N60" s="148">
        <v>1.41</v>
      </c>
      <c r="O60" s="145">
        <v>1.6875</v>
      </c>
      <c r="P60" s="145">
        <v>1.0625</v>
      </c>
      <c r="Q60" s="140">
        <v>7.48</v>
      </c>
      <c r="R60" s="139">
        <v>18.899999999999999</v>
      </c>
      <c r="S60" s="147">
        <v>740</v>
      </c>
      <c r="T60" s="147">
        <v>132</v>
      </c>
      <c r="U60" s="147">
        <v>118</v>
      </c>
      <c r="V60" s="140">
        <v>5.38</v>
      </c>
      <c r="W60" s="147">
        <v>241</v>
      </c>
      <c r="X60" s="139">
        <v>60.4</v>
      </c>
      <c r="Y60" s="139">
        <v>39.700000000000003</v>
      </c>
      <c r="Z60" s="140">
        <v>3.07</v>
      </c>
      <c r="AA60" s="140">
        <v>5.0999999999999996</v>
      </c>
      <c r="AB60" s="147">
        <v>8270</v>
      </c>
      <c r="AC60" s="139">
        <v>35.4</v>
      </c>
      <c r="AD60" s="139">
        <v>86.6</v>
      </c>
      <c r="AE60" s="139">
        <v>27.4</v>
      </c>
      <c r="AF60" s="139">
        <v>64.900000000000006</v>
      </c>
      <c r="AG60" s="140">
        <v>3.46</v>
      </c>
      <c r="AH60" s="139">
        <v>11.7</v>
      </c>
      <c r="AI60" s="139">
        <v>59.2</v>
      </c>
      <c r="AJ60" s="139">
        <v>71.3</v>
      </c>
      <c r="AK60" s="139">
        <v>37.1</v>
      </c>
      <c r="AL60" s="139">
        <v>49.2</v>
      </c>
      <c r="AM60" s="141">
        <v>9.125</v>
      </c>
      <c r="AN60" s="141">
        <v>5.5</v>
      </c>
    </row>
    <row r="61" spans="1:40" x14ac:dyDescent="0.3">
      <c r="A61" s="138" t="s">
        <v>734</v>
      </c>
      <c r="B61" s="138" t="s">
        <v>677</v>
      </c>
      <c r="C61" s="139">
        <v>96</v>
      </c>
      <c r="D61" s="139">
        <v>28.2</v>
      </c>
      <c r="E61" s="139">
        <v>12.7</v>
      </c>
      <c r="F61" s="141">
        <v>12.75</v>
      </c>
      <c r="G61" s="139">
        <v>12.2</v>
      </c>
      <c r="H61" s="141">
        <v>12.125</v>
      </c>
      <c r="I61" s="142">
        <v>0.55000000000000004</v>
      </c>
      <c r="J61" s="141">
        <v>0.5625</v>
      </c>
      <c r="K61" s="143">
        <v>0.3125</v>
      </c>
      <c r="L61" s="142">
        <v>0.9</v>
      </c>
      <c r="M61" s="143">
        <v>0.875</v>
      </c>
      <c r="N61" s="148">
        <v>1.5</v>
      </c>
      <c r="O61" s="145">
        <v>1.8125</v>
      </c>
      <c r="P61" s="145">
        <v>1.125</v>
      </c>
      <c r="Q61" s="140">
        <v>6.76</v>
      </c>
      <c r="R61" s="139">
        <v>17.7</v>
      </c>
      <c r="S61" s="147">
        <v>833</v>
      </c>
      <c r="T61" s="147">
        <v>147</v>
      </c>
      <c r="U61" s="147">
        <v>131</v>
      </c>
      <c r="V61" s="140">
        <v>5.44</v>
      </c>
      <c r="W61" s="147">
        <v>270</v>
      </c>
      <c r="X61" s="139">
        <v>67.5</v>
      </c>
      <c r="Y61" s="139">
        <v>44.4</v>
      </c>
      <c r="Z61" s="140">
        <v>3.09</v>
      </c>
      <c r="AA61" s="140">
        <v>6.85</v>
      </c>
      <c r="AB61" s="147">
        <v>9410</v>
      </c>
      <c r="AC61" s="139">
        <v>36</v>
      </c>
      <c r="AD61" s="139">
        <v>98.8</v>
      </c>
      <c r="AE61" s="139">
        <v>30.9</v>
      </c>
      <c r="AF61" s="139">
        <v>73</v>
      </c>
      <c r="AG61" s="140">
        <v>3.49</v>
      </c>
      <c r="AH61" s="139">
        <v>11.8</v>
      </c>
      <c r="AI61" s="139">
        <v>59.9</v>
      </c>
      <c r="AJ61" s="139">
        <v>72.099999999999994</v>
      </c>
      <c r="AK61" s="139">
        <v>37.6</v>
      </c>
      <c r="AL61" s="139">
        <v>49.8</v>
      </c>
      <c r="AM61" s="141">
        <v>9.125</v>
      </c>
      <c r="AN61" s="141">
        <v>5.5</v>
      </c>
    </row>
    <row r="62" spans="1:40" x14ac:dyDescent="0.3">
      <c r="A62" s="138" t="s">
        <v>735</v>
      </c>
      <c r="B62" s="138" t="s">
        <v>677</v>
      </c>
      <c r="C62" s="147">
        <v>106</v>
      </c>
      <c r="D62" s="139">
        <v>31.2</v>
      </c>
      <c r="E62" s="139">
        <v>12.9</v>
      </c>
      <c r="F62" s="141">
        <v>12.875</v>
      </c>
      <c r="G62" s="139">
        <v>12.2</v>
      </c>
      <c r="H62" s="141">
        <v>12.25</v>
      </c>
      <c r="I62" s="142">
        <v>0.61</v>
      </c>
      <c r="J62" s="141">
        <v>0.625</v>
      </c>
      <c r="K62" s="143">
        <v>0.3125</v>
      </c>
      <c r="L62" s="142">
        <v>0.99</v>
      </c>
      <c r="M62" s="143">
        <v>1</v>
      </c>
      <c r="N62" s="148">
        <v>1.59</v>
      </c>
      <c r="O62" s="145">
        <v>1.875</v>
      </c>
      <c r="P62" s="145">
        <v>1.125</v>
      </c>
      <c r="Q62" s="140">
        <v>6.17</v>
      </c>
      <c r="R62" s="139">
        <v>15.9</v>
      </c>
      <c r="S62" s="147">
        <v>933</v>
      </c>
      <c r="T62" s="147">
        <v>164</v>
      </c>
      <c r="U62" s="147">
        <v>145</v>
      </c>
      <c r="V62" s="140">
        <v>5.47</v>
      </c>
      <c r="W62" s="147">
        <v>301</v>
      </c>
      <c r="X62" s="139">
        <v>75.099999999999994</v>
      </c>
      <c r="Y62" s="139">
        <v>49.3</v>
      </c>
      <c r="Z62" s="140">
        <v>3.11</v>
      </c>
      <c r="AA62" s="140">
        <v>9.1300000000000008</v>
      </c>
      <c r="AB62" s="147">
        <v>10700</v>
      </c>
      <c r="AC62" s="139">
        <v>36.299999999999997</v>
      </c>
      <c r="AD62" s="147">
        <v>110</v>
      </c>
      <c r="AE62" s="139">
        <v>34.200000000000003</v>
      </c>
      <c r="AF62" s="139">
        <v>81</v>
      </c>
      <c r="AG62" s="140">
        <v>3.52</v>
      </c>
      <c r="AH62" s="139">
        <v>11.9</v>
      </c>
      <c r="AI62" s="139">
        <v>60.2</v>
      </c>
      <c r="AJ62" s="139">
        <v>72.400000000000006</v>
      </c>
      <c r="AK62" s="139">
        <v>38</v>
      </c>
      <c r="AL62" s="139">
        <v>50.2</v>
      </c>
      <c r="AM62" s="141">
        <v>9.125</v>
      </c>
      <c r="AN62" s="141">
        <v>5.5</v>
      </c>
    </row>
    <row r="63" spans="1:40" x14ac:dyDescent="0.3">
      <c r="A63" s="138" t="s">
        <v>736</v>
      </c>
      <c r="B63" s="138" t="s">
        <v>677</v>
      </c>
      <c r="C63" s="147">
        <v>120</v>
      </c>
      <c r="D63" s="139">
        <v>35.200000000000003</v>
      </c>
      <c r="E63" s="139">
        <v>13.1</v>
      </c>
      <c r="F63" s="141">
        <v>13.125</v>
      </c>
      <c r="G63" s="139">
        <v>12.3</v>
      </c>
      <c r="H63" s="141">
        <v>12.375</v>
      </c>
      <c r="I63" s="142">
        <v>0.71</v>
      </c>
      <c r="J63" s="141">
        <v>0.6875</v>
      </c>
      <c r="K63" s="143">
        <v>0.375</v>
      </c>
      <c r="L63" s="140">
        <v>1.1100000000000001</v>
      </c>
      <c r="M63" s="143">
        <v>1.125</v>
      </c>
      <c r="N63" s="148">
        <v>1.7</v>
      </c>
      <c r="O63" s="145">
        <v>2</v>
      </c>
      <c r="P63" s="145">
        <v>1.1875</v>
      </c>
      <c r="Q63" s="140">
        <v>5.57</v>
      </c>
      <c r="R63" s="139">
        <v>13.7</v>
      </c>
      <c r="S63" s="147">
        <v>1070</v>
      </c>
      <c r="T63" s="147">
        <v>186</v>
      </c>
      <c r="U63" s="147">
        <v>163</v>
      </c>
      <c r="V63" s="140">
        <v>5.51</v>
      </c>
      <c r="W63" s="147">
        <v>345</v>
      </c>
      <c r="X63" s="139">
        <v>85.4</v>
      </c>
      <c r="Y63" s="139">
        <v>56</v>
      </c>
      <c r="Z63" s="140">
        <v>3.13</v>
      </c>
      <c r="AA63" s="139">
        <v>12.9</v>
      </c>
      <c r="AB63" s="147">
        <v>12400</v>
      </c>
      <c r="AC63" s="139">
        <v>36.9</v>
      </c>
      <c r="AD63" s="147">
        <v>126</v>
      </c>
      <c r="AE63" s="139">
        <v>38.6</v>
      </c>
      <c r="AF63" s="139">
        <v>92.4</v>
      </c>
      <c r="AG63" s="140">
        <v>3.56</v>
      </c>
      <c r="AH63" s="139">
        <v>12</v>
      </c>
      <c r="AI63" s="139">
        <v>60.7</v>
      </c>
      <c r="AJ63" s="139">
        <v>73</v>
      </c>
      <c r="AK63" s="139">
        <v>38.5</v>
      </c>
      <c r="AL63" s="139">
        <v>50.8</v>
      </c>
      <c r="AM63" s="141">
        <v>9.125</v>
      </c>
      <c r="AN63" s="141">
        <v>5.5</v>
      </c>
    </row>
    <row r="64" spans="1:40" x14ac:dyDescent="0.3">
      <c r="A64" s="138" t="s">
        <v>737</v>
      </c>
      <c r="B64" s="138" t="s">
        <v>677</v>
      </c>
      <c r="C64" s="147">
        <v>136</v>
      </c>
      <c r="D64" s="139">
        <v>39.9</v>
      </c>
      <c r="E64" s="139">
        <v>13.4</v>
      </c>
      <c r="F64" s="141">
        <v>13.375</v>
      </c>
      <c r="G64" s="139">
        <v>12.4</v>
      </c>
      <c r="H64" s="141">
        <v>12.375</v>
      </c>
      <c r="I64" s="142">
        <v>0.79</v>
      </c>
      <c r="J64" s="141">
        <v>0.8125</v>
      </c>
      <c r="K64" s="143">
        <v>0.4375</v>
      </c>
      <c r="L64" s="140">
        <v>1.25</v>
      </c>
      <c r="M64" s="143">
        <v>1.25</v>
      </c>
      <c r="N64" s="148">
        <v>1.85</v>
      </c>
      <c r="O64" s="145">
        <v>2.125</v>
      </c>
      <c r="P64" s="145">
        <v>1.25</v>
      </c>
      <c r="Q64" s="140">
        <v>4.96</v>
      </c>
      <c r="R64" s="139">
        <v>12.3</v>
      </c>
      <c r="S64" s="147">
        <v>1240</v>
      </c>
      <c r="T64" s="147">
        <v>214</v>
      </c>
      <c r="U64" s="147">
        <v>186</v>
      </c>
      <c r="V64" s="140">
        <v>5.58</v>
      </c>
      <c r="W64" s="147">
        <v>398</v>
      </c>
      <c r="X64" s="139">
        <v>98</v>
      </c>
      <c r="Y64" s="139">
        <v>64.2</v>
      </c>
      <c r="Z64" s="140">
        <v>3.16</v>
      </c>
      <c r="AA64" s="139">
        <v>18.5</v>
      </c>
      <c r="AB64" s="147">
        <v>14700</v>
      </c>
      <c r="AC64" s="139">
        <v>37.700000000000003</v>
      </c>
      <c r="AD64" s="147">
        <v>146</v>
      </c>
      <c r="AE64" s="139">
        <v>44.1</v>
      </c>
      <c r="AF64" s="147">
        <v>106</v>
      </c>
      <c r="AG64" s="140">
        <v>3.61</v>
      </c>
      <c r="AH64" s="139">
        <v>12.2</v>
      </c>
      <c r="AI64" s="139">
        <v>61.4</v>
      </c>
      <c r="AJ64" s="139">
        <v>73.8</v>
      </c>
      <c r="AK64" s="139">
        <v>39.200000000000003</v>
      </c>
      <c r="AL64" s="139">
        <v>51.6</v>
      </c>
      <c r="AM64" s="141">
        <v>9.125</v>
      </c>
      <c r="AN64" s="141">
        <v>5.5</v>
      </c>
    </row>
    <row r="65" spans="1:40" x14ac:dyDescent="0.3">
      <c r="A65" s="138" t="s">
        <v>739</v>
      </c>
      <c r="B65" s="138" t="s">
        <v>677</v>
      </c>
      <c r="C65" s="139">
        <v>43</v>
      </c>
      <c r="D65" s="139">
        <v>12.6</v>
      </c>
      <c r="E65" s="139">
        <v>13.7</v>
      </c>
      <c r="F65" s="141">
        <v>13.625</v>
      </c>
      <c r="G65" s="140">
        <v>8</v>
      </c>
      <c r="H65" s="141">
        <v>8</v>
      </c>
      <c r="I65" s="142">
        <v>0.30499999999999999</v>
      </c>
      <c r="J65" s="141">
        <v>0.3125</v>
      </c>
      <c r="K65" s="143">
        <v>0.1875</v>
      </c>
      <c r="L65" s="142">
        <v>0.53</v>
      </c>
      <c r="M65" s="143">
        <v>0.5</v>
      </c>
      <c r="N65" s="148">
        <v>1.1200000000000001</v>
      </c>
      <c r="O65" s="145">
        <v>1.375</v>
      </c>
      <c r="P65" s="145">
        <v>1</v>
      </c>
      <c r="Q65" s="140">
        <v>7.54</v>
      </c>
      <c r="R65" s="139">
        <v>37.4</v>
      </c>
      <c r="S65" s="147">
        <v>428</v>
      </c>
      <c r="T65" s="139">
        <v>69.599999999999994</v>
      </c>
      <c r="U65" s="139">
        <v>62.6</v>
      </c>
      <c r="V65" s="140">
        <v>5.82</v>
      </c>
      <c r="W65" s="139">
        <v>45.2</v>
      </c>
      <c r="X65" s="139">
        <v>17.3</v>
      </c>
      <c r="Y65" s="139">
        <v>11.3</v>
      </c>
      <c r="Z65" s="140">
        <v>1.89</v>
      </c>
      <c r="AA65" s="140">
        <v>1.05</v>
      </c>
      <c r="AB65" s="147">
        <v>1950</v>
      </c>
      <c r="AC65" s="139">
        <v>26.3</v>
      </c>
      <c r="AD65" s="139">
        <v>27.9</v>
      </c>
      <c r="AE65" s="139">
        <v>13.4</v>
      </c>
      <c r="AF65" s="139">
        <v>34</v>
      </c>
      <c r="AG65" s="140">
        <v>2.1800000000000002</v>
      </c>
      <c r="AH65" s="139">
        <v>13.2</v>
      </c>
      <c r="AI65" s="139">
        <v>49.8</v>
      </c>
      <c r="AJ65" s="139">
        <v>57.8</v>
      </c>
      <c r="AK65" s="139">
        <v>35.4</v>
      </c>
      <c r="AL65" s="139">
        <v>43.4</v>
      </c>
      <c r="AM65" s="141">
        <v>10.875</v>
      </c>
      <c r="AN65" s="141">
        <v>5.5</v>
      </c>
    </row>
    <row r="66" spans="1:40" x14ac:dyDescent="0.3">
      <c r="A66" s="138" t="s">
        <v>738</v>
      </c>
      <c r="B66" s="138" t="s">
        <v>677</v>
      </c>
      <c r="C66" s="139">
        <v>22</v>
      </c>
      <c r="D66" s="140">
        <v>6.49</v>
      </c>
      <c r="E66" s="139">
        <v>13.7</v>
      </c>
      <c r="F66" s="141">
        <v>13.75</v>
      </c>
      <c r="G66" s="140">
        <v>5</v>
      </c>
      <c r="H66" s="141">
        <v>5</v>
      </c>
      <c r="I66" s="142">
        <v>0.23</v>
      </c>
      <c r="J66" s="141">
        <v>0.25</v>
      </c>
      <c r="K66" s="143">
        <v>0.125</v>
      </c>
      <c r="L66" s="142">
        <v>0.33500000000000002</v>
      </c>
      <c r="M66" s="143">
        <v>0.3125</v>
      </c>
      <c r="N66" s="144">
        <v>0.73499999999999999</v>
      </c>
      <c r="O66" s="145">
        <v>1.0625</v>
      </c>
      <c r="P66" s="145">
        <v>0.75</v>
      </c>
      <c r="Q66" s="140">
        <v>7.46</v>
      </c>
      <c r="R66" s="139">
        <v>53.3</v>
      </c>
      <c r="S66" s="147">
        <v>199</v>
      </c>
      <c r="T66" s="139">
        <v>33.200000000000003</v>
      </c>
      <c r="U66" s="139">
        <v>29</v>
      </c>
      <c r="V66" s="140">
        <v>5.54</v>
      </c>
      <c r="W66" s="140">
        <v>7</v>
      </c>
      <c r="X66" s="140">
        <v>4.3899999999999997</v>
      </c>
      <c r="Y66" s="140">
        <v>2.8</v>
      </c>
      <c r="Z66" s="140">
        <v>1.04</v>
      </c>
      <c r="AA66" s="142">
        <v>0.20799999999999999</v>
      </c>
      <c r="AB66" s="147">
        <v>314</v>
      </c>
      <c r="AC66" s="139">
        <v>16.7</v>
      </c>
      <c r="AD66" s="140">
        <v>7</v>
      </c>
      <c r="AE66" s="140">
        <v>5.34</v>
      </c>
      <c r="AF66" s="139">
        <v>16.100000000000001</v>
      </c>
      <c r="AG66" s="140">
        <v>1.27</v>
      </c>
      <c r="AH66" s="139">
        <v>13.4</v>
      </c>
      <c r="AI66" s="139">
        <v>41.3</v>
      </c>
      <c r="AJ66" s="139">
        <v>46.3</v>
      </c>
      <c r="AK66" s="139">
        <v>32.4</v>
      </c>
      <c r="AL66" s="139">
        <v>37.4</v>
      </c>
      <c r="AM66" s="141">
        <v>11.625</v>
      </c>
      <c r="AN66" s="141">
        <v>2.75</v>
      </c>
    </row>
    <row r="67" spans="1:40" x14ac:dyDescent="0.3">
      <c r="A67" s="138" t="s">
        <v>740</v>
      </c>
      <c r="B67" s="138" t="s">
        <v>677</v>
      </c>
      <c r="C67" s="147">
        <v>152</v>
      </c>
      <c r="D67" s="139">
        <v>44.7</v>
      </c>
      <c r="E67" s="139">
        <v>13.7</v>
      </c>
      <c r="F67" s="141">
        <v>13.75</v>
      </c>
      <c r="G67" s="139">
        <v>12.5</v>
      </c>
      <c r="H67" s="141">
        <v>12.5</v>
      </c>
      <c r="I67" s="142">
        <v>0.87</v>
      </c>
      <c r="J67" s="141">
        <v>0.875</v>
      </c>
      <c r="K67" s="143">
        <v>0.4375</v>
      </c>
      <c r="L67" s="140">
        <v>1.4</v>
      </c>
      <c r="M67" s="143">
        <v>1.375</v>
      </c>
      <c r="N67" s="148">
        <v>2</v>
      </c>
      <c r="O67" s="145">
        <v>2.3125</v>
      </c>
      <c r="P67" s="145">
        <v>1.25</v>
      </c>
      <c r="Q67" s="140">
        <v>4.46</v>
      </c>
      <c r="R67" s="139">
        <v>11.2</v>
      </c>
      <c r="S67" s="147">
        <v>1430</v>
      </c>
      <c r="T67" s="147">
        <v>243</v>
      </c>
      <c r="U67" s="147">
        <v>209</v>
      </c>
      <c r="V67" s="140">
        <v>5.66</v>
      </c>
      <c r="W67" s="147">
        <v>454</v>
      </c>
      <c r="X67" s="147">
        <v>111</v>
      </c>
      <c r="Y67" s="139">
        <v>72.8</v>
      </c>
      <c r="Z67" s="140">
        <v>3.19</v>
      </c>
      <c r="AA67" s="139">
        <v>25.8</v>
      </c>
      <c r="AB67" s="147">
        <v>17200</v>
      </c>
      <c r="AC67" s="139">
        <v>38.4</v>
      </c>
      <c r="AD67" s="147">
        <v>168</v>
      </c>
      <c r="AE67" s="139">
        <v>50.1</v>
      </c>
      <c r="AF67" s="147">
        <v>121</v>
      </c>
      <c r="AG67" s="140">
        <v>3.66</v>
      </c>
      <c r="AH67" s="139">
        <v>12.3</v>
      </c>
      <c r="AI67" s="139">
        <v>62.1</v>
      </c>
      <c r="AJ67" s="139">
        <v>74.599999999999994</v>
      </c>
      <c r="AK67" s="139">
        <v>39.9</v>
      </c>
      <c r="AL67" s="139">
        <v>52.4</v>
      </c>
      <c r="AM67" s="141">
        <v>9.125</v>
      </c>
      <c r="AN67" s="141">
        <v>5.5</v>
      </c>
    </row>
    <row r="68" spans="1:40" x14ac:dyDescent="0.3">
      <c r="A68" s="138" t="s">
        <v>742</v>
      </c>
      <c r="B68" s="138" t="s">
        <v>677</v>
      </c>
      <c r="C68" s="139">
        <v>48</v>
      </c>
      <c r="D68" s="139">
        <v>14.1</v>
      </c>
      <c r="E68" s="139">
        <v>13.8</v>
      </c>
      <c r="F68" s="141">
        <v>13.75</v>
      </c>
      <c r="G68" s="140">
        <v>8.0299999999999994</v>
      </c>
      <c r="H68" s="141">
        <v>8</v>
      </c>
      <c r="I68" s="142">
        <v>0.34</v>
      </c>
      <c r="J68" s="141">
        <v>0.3125</v>
      </c>
      <c r="K68" s="143">
        <v>0.1875</v>
      </c>
      <c r="L68" s="142">
        <v>0.59499999999999997</v>
      </c>
      <c r="M68" s="143">
        <v>0.625</v>
      </c>
      <c r="N68" s="148">
        <v>1.19</v>
      </c>
      <c r="O68" s="145">
        <v>1.4375</v>
      </c>
      <c r="P68" s="145">
        <v>1</v>
      </c>
      <c r="Q68" s="140">
        <v>6.75</v>
      </c>
      <c r="R68" s="139">
        <v>33.6</v>
      </c>
      <c r="S68" s="147">
        <v>484</v>
      </c>
      <c r="T68" s="139">
        <v>78.400000000000006</v>
      </c>
      <c r="U68" s="139">
        <v>70.2</v>
      </c>
      <c r="V68" s="140">
        <v>5.85</v>
      </c>
      <c r="W68" s="139">
        <v>51.4</v>
      </c>
      <c r="X68" s="139">
        <v>19.600000000000001</v>
      </c>
      <c r="Y68" s="139">
        <v>12.8</v>
      </c>
      <c r="Z68" s="140">
        <v>1.91</v>
      </c>
      <c r="AA68" s="140">
        <v>1.45</v>
      </c>
      <c r="AB68" s="147">
        <v>2240</v>
      </c>
      <c r="AC68" s="139">
        <v>26.5</v>
      </c>
      <c r="AD68" s="139">
        <v>31.7</v>
      </c>
      <c r="AE68" s="139">
        <v>15.1</v>
      </c>
      <c r="AF68" s="139">
        <v>38.299999999999997</v>
      </c>
      <c r="AG68" s="140">
        <v>2.2000000000000002</v>
      </c>
      <c r="AH68" s="139">
        <v>13.2</v>
      </c>
      <c r="AI68" s="139">
        <v>50</v>
      </c>
      <c r="AJ68" s="139">
        <v>58</v>
      </c>
      <c r="AK68" s="139">
        <v>35.6</v>
      </c>
      <c r="AL68" s="139">
        <v>43.7</v>
      </c>
      <c r="AM68" s="141">
        <v>10.875</v>
      </c>
      <c r="AN68" s="141">
        <v>5.5</v>
      </c>
    </row>
    <row r="69" spans="1:40" x14ac:dyDescent="0.3">
      <c r="A69" s="138" t="s">
        <v>741</v>
      </c>
      <c r="B69" s="138" t="s">
        <v>677</v>
      </c>
      <c r="C69" s="139">
        <v>30</v>
      </c>
      <c r="D69" s="140">
        <v>8.85</v>
      </c>
      <c r="E69" s="139">
        <v>13.8</v>
      </c>
      <c r="F69" s="141">
        <v>13.875</v>
      </c>
      <c r="G69" s="140">
        <v>6.73</v>
      </c>
      <c r="H69" s="141">
        <v>6.75</v>
      </c>
      <c r="I69" s="142">
        <v>0.27</v>
      </c>
      <c r="J69" s="141">
        <v>0.25</v>
      </c>
      <c r="K69" s="143">
        <v>0.125</v>
      </c>
      <c r="L69" s="142">
        <v>0.38500000000000001</v>
      </c>
      <c r="M69" s="143">
        <v>0.375</v>
      </c>
      <c r="N69" s="144">
        <v>0.78500000000000003</v>
      </c>
      <c r="O69" s="145">
        <v>1.125</v>
      </c>
      <c r="P69" s="145">
        <v>0.75</v>
      </c>
      <c r="Q69" s="140">
        <v>8.74</v>
      </c>
      <c r="R69" s="139">
        <v>45.4</v>
      </c>
      <c r="S69" s="147">
        <v>291</v>
      </c>
      <c r="T69" s="139">
        <v>47.3</v>
      </c>
      <c r="U69" s="139">
        <v>42</v>
      </c>
      <c r="V69" s="140">
        <v>5.73</v>
      </c>
      <c r="W69" s="139">
        <v>19.600000000000001</v>
      </c>
      <c r="X69" s="140">
        <v>8.99</v>
      </c>
      <c r="Y69" s="140">
        <v>5.82</v>
      </c>
      <c r="Z69" s="140">
        <v>1.49</v>
      </c>
      <c r="AA69" s="142">
        <v>0.38</v>
      </c>
      <c r="AB69" s="147">
        <v>887</v>
      </c>
      <c r="AC69" s="139">
        <v>22.6</v>
      </c>
      <c r="AD69" s="139">
        <v>14.6</v>
      </c>
      <c r="AE69" s="140">
        <v>8.34</v>
      </c>
      <c r="AF69" s="139">
        <v>23.1</v>
      </c>
      <c r="AG69" s="140">
        <v>1.77</v>
      </c>
      <c r="AH69" s="139">
        <v>13.4</v>
      </c>
      <c r="AI69" s="139">
        <v>46.6</v>
      </c>
      <c r="AJ69" s="139">
        <v>53.3</v>
      </c>
      <c r="AK69" s="139">
        <v>34.299999999999997</v>
      </c>
      <c r="AL69" s="139">
        <v>41.1</v>
      </c>
      <c r="AM69" s="141">
        <v>11.625</v>
      </c>
      <c r="AN69" s="141">
        <v>3.5</v>
      </c>
    </row>
    <row r="70" spans="1:40" x14ac:dyDescent="0.3">
      <c r="A70" s="138" t="s">
        <v>743</v>
      </c>
      <c r="B70" s="138" t="s">
        <v>677</v>
      </c>
      <c r="C70" s="139">
        <v>26</v>
      </c>
      <c r="D70" s="140">
        <v>7.69</v>
      </c>
      <c r="E70" s="139">
        <v>13.9</v>
      </c>
      <c r="F70" s="141">
        <v>13.875</v>
      </c>
      <c r="G70" s="140">
        <v>5.03</v>
      </c>
      <c r="H70" s="141">
        <v>5</v>
      </c>
      <c r="I70" s="142">
        <v>0.255</v>
      </c>
      <c r="J70" s="141">
        <v>0.25</v>
      </c>
      <c r="K70" s="143">
        <v>0.125</v>
      </c>
      <c r="L70" s="142">
        <v>0.42</v>
      </c>
      <c r="M70" s="143">
        <v>0.4375</v>
      </c>
      <c r="N70" s="144">
        <v>0.82</v>
      </c>
      <c r="O70" s="145">
        <v>1.125</v>
      </c>
      <c r="P70" s="145">
        <v>0.75</v>
      </c>
      <c r="Q70" s="140">
        <v>5.98</v>
      </c>
      <c r="R70" s="139">
        <v>48.1</v>
      </c>
      <c r="S70" s="147">
        <v>245</v>
      </c>
      <c r="T70" s="139">
        <v>40.200000000000003</v>
      </c>
      <c r="U70" s="139">
        <v>35.299999999999997</v>
      </c>
      <c r="V70" s="140">
        <v>5.65</v>
      </c>
      <c r="W70" s="140">
        <v>8.91</v>
      </c>
      <c r="X70" s="140">
        <v>5.54</v>
      </c>
      <c r="Y70" s="140">
        <v>3.55</v>
      </c>
      <c r="Z70" s="140">
        <v>1.08</v>
      </c>
      <c r="AA70" s="142">
        <v>0.35799999999999998</v>
      </c>
      <c r="AB70" s="147">
        <v>405</v>
      </c>
      <c r="AC70" s="139">
        <v>17</v>
      </c>
      <c r="AD70" s="140">
        <v>8.9499999999999993</v>
      </c>
      <c r="AE70" s="140">
        <v>6.76</v>
      </c>
      <c r="AF70" s="139">
        <v>19.7</v>
      </c>
      <c r="AG70" s="140">
        <v>1.3</v>
      </c>
      <c r="AH70" s="139">
        <v>13.5</v>
      </c>
      <c r="AI70" s="139">
        <v>41.7</v>
      </c>
      <c r="AJ70" s="139">
        <v>46.7</v>
      </c>
      <c r="AK70" s="139">
        <v>32.799999999999997</v>
      </c>
      <c r="AL70" s="139">
        <v>37.9</v>
      </c>
      <c r="AM70" s="141">
        <v>11.625</v>
      </c>
      <c r="AN70" s="141">
        <v>2.75</v>
      </c>
    </row>
    <row r="71" spans="1:40" x14ac:dyDescent="0.3">
      <c r="A71" s="138" t="s">
        <v>744</v>
      </c>
      <c r="B71" s="138" t="s">
        <v>677</v>
      </c>
      <c r="C71" s="139">
        <v>53</v>
      </c>
      <c r="D71" s="139">
        <v>15.6</v>
      </c>
      <c r="E71" s="139">
        <v>13.9</v>
      </c>
      <c r="F71" s="141">
        <v>13.875</v>
      </c>
      <c r="G71" s="140">
        <v>8.06</v>
      </c>
      <c r="H71" s="141">
        <v>8</v>
      </c>
      <c r="I71" s="142">
        <v>0.37</v>
      </c>
      <c r="J71" s="141">
        <v>0.375</v>
      </c>
      <c r="K71" s="143">
        <v>0.1875</v>
      </c>
      <c r="L71" s="142">
        <v>0.66</v>
      </c>
      <c r="M71" s="143">
        <v>0.6875</v>
      </c>
      <c r="N71" s="148">
        <v>1.25</v>
      </c>
      <c r="O71" s="145">
        <v>1.5</v>
      </c>
      <c r="P71" s="145">
        <v>1</v>
      </c>
      <c r="Q71" s="140">
        <v>6.11</v>
      </c>
      <c r="R71" s="139">
        <v>30.9</v>
      </c>
      <c r="S71" s="147">
        <v>541</v>
      </c>
      <c r="T71" s="139">
        <v>87.1</v>
      </c>
      <c r="U71" s="139">
        <v>77.8</v>
      </c>
      <c r="V71" s="140">
        <v>5.89</v>
      </c>
      <c r="W71" s="139">
        <v>57.7</v>
      </c>
      <c r="X71" s="139">
        <v>22</v>
      </c>
      <c r="Y71" s="139">
        <v>14.3</v>
      </c>
      <c r="Z71" s="140">
        <v>1.92</v>
      </c>
      <c r="AA71" s="140">
        <v>1.94</v>
      </c>
      <c r="AB71" s="147">
        <v>2540</v>
      </c>
      <c r="AC71" s="139">
        <v>26.7</v>
      </c>
      <c r="AD71" s="139">
        <v>35.5</v>
      </c>
      <c r="AE71" s="139">
        <v>16.8</v>
      </c>
      <c r="AF71" s="139">
        <v>42.5</v>
      </c>
      <c r="AG71" s="140">
        <v>2.2200000000000002</v>
      </c>
      <c r="AH71" s="139">
        <v>13.2</v>
      </c>
      <c r="AI71" s="139">
        <v>50.2</v>
      </c>
      <c r="AJ71" s="139">
        <v>58.3</v>
      </c>
      <c r="AK71" s="139">
        <v>35.9</v>
      </c>
      <c r="AL71" s="139">
        <v>43.9</v>
      </c>
      <c r="AM71" s="141">
        <v>10.875</v>
      </c>
      <c r="AN71" s="141">
        <v>5.5</v>
      </c>
    </row>
    <row r="72" spans="1:40" x14ac:dyDescent="0.3">
      <c r="A72" s="138" t="s">
        <v>745</v>
      </c>
      <c r="B72" s="138" t="s">
        <v>677</v>
      </c>
      <c r="C72" s="139">
        <v>61</v>
      </c>
      <c r="D72" s="139">
        <v>17.899999999999999</v>
      </c>
      <c r="E72" s="139">
        <v>13.9</v>
      </c>
      <c r="F72" s="141">
        <v>13.875</v>
      </c>
      <c r="G72" s="139">
        <v>10</v>
      </c>
      <c r="H72" s="141">
        <v>10</v>
      </c>
      <c r="I72" s="142">
        <v>0.375</v>
      </c>
      <c r="J72" s="141">
        <v>0.375</v>
      </c>
      <c r="K72" s="143">
        <v>0.1875</v>
      </c>
      <c r="L72" s="142">
        <v>0.64500000000000002</v>
      </c>
      <c r="M72" s="143">
        <v>0.625</v>
      </c>
      <c r="N72" s="148">
        <v>1.24</v>
      </c>
      <c r="O72" s="145">
        <v>1.5</v>
      </c>
      <c r="P72" s="145">
        <v>1</v>
      </c>
      <c r="Q72" s="140">
        <v>7.75</v>
      </c>
      <c r="R72" s="139">
        <v>30.4</v>
      </c>
      <c r="S72" s="147">
        <v>640</v>
      </c>
      <c r="T72" s="147">
        <v>102</v>
      </c>
      <c r="U72" s="139">
        <v>92.1</v>
      </c>
      <c r="V72" s="140">
        <v>5.98</v>
      </c>
      <c r="W72" s="147">
        <v>107</v>
      </c>
      <c r="X72" s="139">
        <v>32.799999999999997</v>
      </c>
      <c r="Y72" s="139">
        <v>21.5</v>
      </c>
      <c r="Z72" s="140">
        <v>2.4500000000000002</v>
      </c>
      <c r="AA72" s="140">
        <v>2.19</v>
      </c>
      <c r="AB72" s="147">
        <v>4710</v>
      </c>
      <c r="AC72" s="139">
        <v>33.1</v>
      </c>
      <c r="AD72" s="139">
        <v>53.4</v>
      </c>
      <c r="AE72" s="139">
        <v>20.6</v>
      </c>
      <c r="AF72" s="139">
        <v>50.2</v>
      </c>
      <c r="AG72" s="140">
        <v>2.78</v>
      </c>
      <c r="AH72" s="139">
        <v>13.3</v>
      </c>
      <c r="AI72" s="139">
        <v>56</v>
      </c>
      <c r="AJ72" s="139">
        <v>66</v>
      </c>
      <c r="AK72" s="139">
        <v>37.799999999999997</v>
      </c>
      <c r="AL72" s="139">
        <v>47.8</v>
      </c>
      <c r="AM72" s="141">
        <v>10.875</v>
      </c>
      <c r="AN72" s="141">
        <v>5.5</v>
      </c>
    </row>
    <row r="73" spans="1:40" x14ac:dyDescent="0.3">
      <c r="A73" s="138" t="s">
        <v>746</v>
      </c>
      <c r="B73" s="138" t="s">
        <v>677</v>
      </c>
      <c r="C73" s="139">
        <v>34</v>
      </c>
      <c r="D73" s="139">
        <v>10</v>
      </c>
      <c r="E73" s="139">
        <v>14</v>
      </c>
      <c r="F73" s="141">
        <v>14</v>
      </c>
      <c r="G73" s="140">
        <v>6.75</v>
      </c>
      <c r="H73" s="141">
        <v>6.75</v>
      </c>
      <c r="I73" s="142">
        <v>0.28499999999999998</v>
      </c>
      <c r="J73" s="141">
        <v>0.3125</v>
      </c>
      <c r="K73" s="143">
        <v>0.1875</v>
      </c>
      <c r="L73" s="142">
        <v>0.45500000000000002</v>
      </c>
      <c r="M73" s="143">
        <v>0.4375</v>
      </c>
      <c r="N73" s="144">
        <v>0.85499999999999998</v>
      </c>
      <c r="O73" s="145">
        <v>1.1875</v>
      </c>
      <c r="P73" s="145">
        <v>0.75</v>
      </c>
      <c r="Q73" s="140">
        <v>7.41</v>
      </c>
      <c r="R73" s="139">
        <v>43.1</v>
      </c>
      <c r="S73" s="147">
        <v>340</v>
      </c>
      <c r="T73" s="139">
        <v>54.6</v>
      </c>
      <c r="U73" s="139">
        <v>48.6</v>
      </c>
      <c r="V73" s="140">
        <v>5.83</v>
      </c>
      <c r="W73" s="139">
        <v>23.3</v>
      </c>
      <c r="X73" s="139">
        <v>10.6</v>
      </c>
      <c r="Y73" s="140">
        <v>6.91</v>
      </c>
      <c r="Z73" s="140">
        <v>1.53</v>
      </c>
      <c r="AA73" s="142">
        <v>0.56899999999999995</v>
      </c>
      <c r="AB73" s="147">
        <v>1070</v>
      </c>
      <c r="AC73" s="139">
        <v>22.9</v>
      </c>
      <c r="AD73" s="139">
        <v>17.600000000000001</v>
      </c>
      <c r="AE73" s="139">
        <v>10</v>
      </c>
      <c r="AF73" s="139">
        <v>26.9</v>
      </c>
      <c r="AG73" s="140">
        <v>1.8</v>
      </c>
      <c r="AH73" s="139">
        <v>13.5</v>
      </c>
      <c r="AI73" s="139">
        <v>47</v>
      </c>
      <c r="AJ73" s="139">
        <v>53.7</v>
      </c>
      <c r="AK73" s="139">
        <v>34.799999999999997</v>
      </c>
      <c r="AL73" s="139">
        <v>41.5</v>
      </c>
      <c r="AM73" s="141">
        <v>11.625</v>
      </c>
      <c r="AN73" s="141">
        <v>3.5</v>
      </c>
    </row>
    <row r="74" spans="1:40" x14ac:dyDescent="0.3">
      <c r="A74" s="138" t="s">
        <v>747</v>
      </c>
      <c r="B74" s="138" t="s">
        <v>677</v>
      </c>
      <c r="C74" s="139">
        <v>68</v>
      </c>
      <c r="D74" s="139">
        <v>20</v>
      </c>
      <c r="E74" s="139">
        <v>14</v>
      </c>
      <c r="F74" s="141">
        <v>14</v>
      </c>
      <c r="G74" s="139">
        <v>10</v>
      </c>
      <c r="H74" s="141">
        <v>10</v>
      </c>
      <c r="I74" s="142">
        <v>0.41499999999999998</v>
      </c>
      <c r="J74" s="141">
        <v>0.4375</v>
      </c>
      <c r="K74" s="143">
        <v>0.25</v>
      </c>
      <c r="L74" s="142">
        <v>0.72</v>
      </c>
      <c r="M74" s="143">
        <v>0.75</v>
      </c>
      <c r="N74" s="148">
        <v>1.31</v>
      </c>
      <c r="O74" s="145">
        <v>1.5625</v>
      </c>
      <c r="P74" s="145">
        <v>1.0625</v>
      </c>
      <c r="Q74" s="140">
        <v>6.97</v>
      </c>
      <c r="R74" s="139">
        <v>27.5</v>
      </c>
      <c r="S74" s="147">
        <v>722</v>
      </c>
      <c r="T74" s="147">
        <v>115</v>
      </c>
      <c r="U74" s="147">
        <v>103</v>
      </c>
      <c r="V74" s="140">
        <v>6.01</v>
      </c>
      <c r="W74" s="147">
        <v>121</v>
      </c>
      <c r="X74" s="139">
        <v>36.9</v>
      </c>
      <c r="Y74" s="139">
        <v>24.2</v>
      </c>
      <c r="Z74" s="140">
        <v>2.46</v>
      </c>
      <c r="AA74" s="140">
        <v>3.01</v>
      </c>
      <c r="AB74" s="147">
        <v>5380</v>
      </c>
      <c r="AC74" s="139">
        <v>33.200000000000003</v>
      </c>
      <c r="AD74" s="139">
        <v>59.8</v>
      </c>
      <c r="AE74" s="139">
        <v>22.9</v>
      </c>
      <c r="AF74" s="139">
        <v>56</v>
      </c>
      <c r="AG74" s="140">
        <v>2.8</v>
      </c>
      <c r="AH74" s="139">
        <v>13.3</v>
      </c>
      <c r="AI74" s="139">
        <v>56.2</v>
      </c>
      <c r="AJ74" s="139">
        <v>66.2</v>
      </c>
      <c r="AK74" s="139">
        <v>38</v>
      </c>
      <c r="AL74" s="139">
        <v>48</v>
      </c>
      <c r="AM74" s="141">
        <v>10.875</v>
      </c>
      <c r="AN74" s="141">
        <v>5.5</v>
      </c>
    </row>
    <row r="75" spans="1:40" x14ac:dyDescent="0.3">
      <c r="A75" s="138" t="s">
        <v>748</v>
      </c>
      <c r="B75" s="138" t="s">
        <v>677</v>
      </c>
      <c r="C75" s="139">
        <v>90</v>
      </c>
      <c r="D75" s="139">
        <v>26.5</v>
      </c>
      <c r="E75" s="139">
        <v>14</v>
      </c>
      <c r="F75" s="141">
        <v>14</v>
      </c>
      <c r="G75" s="139">
        <v>14.5</v>
      </c>
      <c r="H75" s="141">
        <v>14.5</v>
      </c>
      <c r="I75" s="142">
        <v>0.44</v>
      </c>
      <c r="J75" s="141">
        <v>0.4375</v>
      </c>
      <c r="K75" s="143">
        <v>0.25</v>
      </c>
      <c r="L75" s="142">
        <v>0.71</v>
      </c>
      <c r="M75" s="143">
        <v>0.6875</v>
      </c>
      <c r="N75" s="148">
        <v>1.31</v>
      </c>
      <c r="O75" s="145">
        <v>2</v>
      </c>
      <c r="P75" s="145">
        <v>1.4375</v>
      </c>
      <c r="Q75" s="139">
        <v>10.199999999999999</v>
      </c>
      <c r="R75" s="139">
        <v>25.9</v>
      </c>
      <c r="S75" s="147">
        <v>999</v>
      </c>
      <c r="T75" s="147">
        <v>157</v>
      </c>
      <c r="U75" s="147">
        <v>143</v>
      </c>
      <c r="V75" s="140">
        <v>6.14</v>
      </c>
      <c r="W75" s="147">
        <v>362</v>
      </c>
      <c r="X75" s="139">
        <v>75.599999999999994</v>
      </c>
      <c r="Y75" s="139">
        <v>49.9</v>
      </c>
      <c r="Z75" s="140">
        <v>3.7</v>
      </c>
      <c r="AA75" s="140">
        <v>4.0599999999999996</v>
      </c>
      <c r="AB75" s="147">
        <v>16000</v>
      </c>
      <c r="AC75" s="139">
        <v>48.2</v>
      </c>
      <c r="AD75" s="147">
        <v>124</v>
      </c>
      <c r="AE75" s="139">
        <v>33.200000000000003</v>
      </c>
      <c r="AF75" s="139">
        <v>77.099999999999994</v>
      </c>
      <c r="AG75" s="140">
        <v>4.0999999999999996</v>
      </c>
      <c r="AH75" s="139">
        <v>13.3</v>
      </c>
      <c r="AI75" s="139">
        <v>69.599999999999994</v>
      </c>
      <c r="AJ75" s="139">
        <v>84.1</v>
      </c>
      <c r="AK75" s="139">
        <v>42.5</v>
      </c>
      <c r="AL75" s="139">
        <v>57</v>
      </c>
      <c r="AM75" s="141">
        <v>10</v>
      </c>
      <c r="AN75" s="141">
        <v>5.5</v>
      </c>
    </row>
    <row r="76" spans="1:40" x14ac:dyDescent="0.3">
      <c r="A76" s="138" t="s">
        <v>749</v>
      </c>
      <c r="B76" s="138" t="s">
        <v>677</v>
      </c>
      <c r="C76" s="147">
        <v>170</v>
      </c>
      <c r="D76" s="139">
        <v>50</v>
      </c>
      <c r="E76" s="139">
        <v>14</v>
      </c>
      <c r="F76" s="141">
        <v>14</v>
      </c>
      <c r="G76" s="139">
        <v>12.6</v>
      </c>
      <c r="H76" s="141">
        <v>12.625</v>
      </c>
      <c r="I76" s="142">
        <v>0.96</v>
      </c>
      <c r="J76" s="141">
        <v>0.9375</v>
      </c>
      <c r="K76" s="143">
        <v>0.5</v>
      </c>
      <c r="L76" s="140">
        <v>1.56</v>
      </c>
      <c r="M76" s="143">
        <v>1.5625</v>
      </c>
      <c r="N76" s="148">
        <v>2.16</v>
      </c>
      <c r="O76" s="145">
        <v>2.4375</v>
      </c>
      <c r="P76" s="145">
        <v>1.3125</v>
      </c>
      <c r="Q76" s="140">
        <v>4.03</v>
      </c>
      <c r="R76" s="139">
        <v>10.1</v>
      </c>
      <c r="S76" s="147">
        <v>1650</v>
      </c>
      <c r="T76" s="147">
        <v>275</v>
      </c>
      <c r="U76" s="147">
        <v>235</v>
      </c>
      <c r="V76" s="140">
        <v>5.74</v>
      </c>
      <c r="W76" s="147">
        <v>517</v>
      </c>
      <c r="X76" s="147">
        <v>126</v>
      </c>
      <c r="Y76" s="139">
        <v>82.3</v>
      </c>
      <c r="Z76" s="140">
        <v>3.22</v>
      </c>
      <c r="AA76" s="139">
        <v>35.6</v>
      </c>
      <c r="AB76" s="147">
        <v>20100</v>
      </c>
      <c r="AC76" s="139">
        <v>39.200000000000003</v>
      </c>
      <c r="AD76" s="147">
        <v>193</v>
      </c>
      <c r="AE76" s="139">
        <v>56.5</v>
      </c>
      <c r="AF76" s="147">
        <v>136</v>
      </c>
      <c r="AG76" s="140">
        <v>3.7</v>
      </c>
      <c r="AH76" s="139">
        <v>12.4</v>
      </c>
      <c r="AI76" s="139">
        <v>62.9</v>
      </c>
      <c r="AJ76" s="139">
        <v>75.5</v>
      </c>
      <c r="AK76" s="139">
        <v>40.6</v>
      </c>
      <c r="AL76" s="139">
        <v>53.2</v>
      </c>
      <c r="AM76" s="141">
        <v>9.125</v>
      </c>
      <c r="AN76" s="141">
        <v>5.5</v>
      </c>
    </row>
    <row r="77" spans="1:40" x14ac:dyDescent="0.3">
      <c r="A77" s="138" t="s">
        <v>750</v>
      </c>
      <c r="B77" s="138" t="s">
        <v>677</v>
      </c>
      <c r="C77" s="139">
        <v>38</v>
      </c>
      <c r="D77" s="139">
        <v>11.2</v>
      </c>
      <c r="E77" s="139">
        <v>14.1</v>
      </c>
      <c r="F77" s="141">
        <v>14.125</v>
      </c>
      <c r="G77" s="140">
        <v>6.77</v>
      </c>
      <c r="H77" s="141">
        <v>6.75</v>
      </c>
      <c r="I77" s="142">
        <v>0.31</v>
      </c>
      <c r="J77" s="141">
        <v>0.3125</v>
      </c>
      <c r="K77" s="143">
        <v>0.1875</v>
      </c>
      <c r="L77" s="142">
        <v>0.51500000000000001</v>
      </c>
      <c r="M77" s="143">
        <v>0.5</v>
      </c>
      <c r="N77" s="144">
        <v>0.91500000000000004</v>
      </c>
      <c r="O77" s="145">
        <v>1.25</v>
      </c>
      <c r="P77" s="145">
        <v>0.8125</v>
      </c>
      <c r="Q77" s="140">
        <v>6.57</v>
      </c>
      <c r="R77" s="139">
        <v>39.6</v>
      </c>
      <c r="S77" s="147">
        <v>385</v>
      </c>
      <c r="T77" s="139">
        <v>61.5</v>
      </c>
      <c r="U77" s="139">
        <v>54.6</v>
      </c>
      <c r="V77" s="140">
        <v>5.87</v>
      </c>
      <c r="W77" s="139">
        <v>26.7</v>
      </c>
      <c r="X77" s="139">
        <v>12.1</v>
      </c>
      <c r="Y77" s="140">
        <v>7.88</v>
      </c>
      <c r="Z77" s="140">
        <v>1.55</v>
      </c>
      <c r="AA77" s="142">
        <v>0.79800000000000004</v>
      </c>
      <c r="AB77" s="147">
        <v>1230</v>
      </c>
      <c r="AC77" s="139">
        <v>23</v>
      </c>
      <c r="AD77" s="139">
        <v>20</v>
      </c>
      <c r="AE77" s="139">
        <v>11.3</v>
      </c>
      <c r="AF77" s="139">
        <v>30.3</v>
      </c>
      <c r="AG77" s="140">
        <v>1.82</v>
      </c>
      <c r="AH77" s="139">
        <v>13.6</v>
      </c>
      <c r="AI77" s="139">
        <v>47.2</v>
      </c>
      <c r="AJ77" s="139">
        <v>54</v>
      </c>
      <c r="AK77" s="139">
        <v>35</v>
      </c>
      <c r="AL77" s="139">
        <v>41.7</v>
      </c>
      <c r="AM77" s="141">
        <v>11.625</v>
      </c>
      <c r="AN77" s="141">
        <v>3.5</v>
      </c>
    </row>
    <row r="78" spans="1:40" x14ac:dyDescent="0.3">
      <c r="A78" s="138" t="s">
        <v>751</v>
      </c>
      <c r="B78" s="138" t="s">
        <v>677</v>
      </c>
      <c r="C78" s="139">
        <v>74</v>
      </c>
      <c r="D78" s="139">
        <v>21.8</v>
      </c>
      <c r="E78" s="139">
        <v>14.2</v>
      </c>
      <c r="F78" s="141">
        <v>14.125</v>
      </c>
      <c r="G78" s="139">
        <v>10.1</v>
      </c>
      <c r="H78" s="141">
        <v>10.125</v>
      </c>
      <c r="I78" s="142">
        <v>0.45</v>
      </c>
      <c r="J78" s="141">
        <v>0.4375</v>
      </c>
      <c r="K78" s="143">
        <v>0.25</v>
      </c>
      <c r="L78" s="142">
        <v>0.78500000000000003</v>
      </c>
      <c r="M78" s="143">
        <v>0.8125</v>
      </c>
      <c r="N78" s="148">
        <v>1.38</v>
      </c>
      <c r="O78" s="145">
        <v>1.625</v>
      </c>
      <c r="P78" s="145">
        <v>1.0625</v>
      </c>
      <c r="Q78" s="140">
        <v>6.41</v>
      </c>
      <c r="R78" s="139">
        <v>25.4</v>
      </c>
      <c r="S78" s="147">
        <v>795</v>
      </c>
      <c r="T78" s="147">
        <v>126</v>
      </c>
      <c r="U78" s="147">
        <v>112</v>
      </c>
      <c r="V78" s="140">
        <v>6.04</v>
      </c>
      <c r="W78" s="147">
        <v>134</v>
      </c>
      <c r="X78" s="139">
        <v>40.5</v>
      </c>
      <c r="Y78" s="139">
        <v>26.6</v>
      </c>
      <c r="Z78" s="140">
        <v>2.48</v>
      </c>
      <c r="AA78" s="140">
        <v>3.87</v>
      </c>
      <c r="AB78" s="147">
        <v>5990</v>
      </c>
      <c r="AC78" s="139">
        <v>33.9</v>
      </c>
      <c r="AD78" s="139">
        <v>67.099999999999994</v>
      </c>
      <c r="AE78" s="139">
        <v>25.4</v>
      </c>
      <c r="AF78" s="139">
        <v>62.2</v>
      </c>
      <c r="AG78" s="140">
        <v>2.83</v>
      </c>
      <c r="AH78" s="139">
        <v>13.4</v>
      </c>
      <c r="AI78" s="139">
        <v>56.8</v>
      </c>
      <c r="AJ78" s="139">
        <v>66.900000000000006</v>
      </c>
      <c r="AK78" s="139">
        <v>38.5</v>
      </c>
      <c r="AL78" s="139">
        <v>48.6</v>
      </c>
      <c r="AM78" s="141">
        <v>10.875</v>
      </c>
      <c r="AN78" s="141">
        <v>5.5</v>
      </c>
    </row>
    <row r="79" spans="1:40" x14ac:dyDescent="0.3">
      <c r="A79" s="138" t="s">
        <v>752</v>
      </c>
      <c r="B79" s="138" t="s">
        <v>677</v>
      </c>
      <c r="C79" s="139">
        <v>99</v>
      </c>
      <c r="D79" s="139">
        <v>29.1</v>
      </c>
      <c r="E79" s="139">
        <v>14.2</v>
      </c>
      <c r="F79" s="141">
        <v>14.125</v>
      </c>
      <c r="G79" s="139">
        <v>14.6</v>
      </c>
      <c r="H79" s="141">
        <v>14.625</v>
      </c>
      <c r="I79" s="142">
        <v>0.48499999999999999</v>
      </c>
      <c r="J79" s="141">
        <v>0.5</v>
      </c>
      <c r="K79" s="143">
        <v>0.25</v>
      </c>
      <c r="L79" s="142">
        <v>0.78</v>
      </c>
      <c r="M79" s="143">
        <v>0.75</v>
      </c>
      <c r="N79" s="148">
        <v>1.38</v>
      </c>
      <c r="O79" s="145">
        <v>2.0625</v>
      </c>
      <c r="P79" s="145">
        <v>1.4375</v>
      </c>
      <c r="Q79" s="140">
        <v>9.34</v>
      </c>
      <c r="R79" s="139">
        <v>23.5</v>
      </c>
      <c r="S79" s="147">
        <v>1110</v>
      </c>
      <c r="T79" s="147">
        <v>173</v>
      </c>
      <c r="U79" s="147">
        <v>157</v>
      </c>
      <c r="V79" s="140">
        <v>6.17</v>
      </c>
      <c r="W79" s="147">
        <v>402</v>
      </c>
      <c r="X79" s="139">
        <v>83.6</v>
      </c>
      <c r="Y79" s="139">
        <v>55.2</v>
      </c>
      <c r="Z79" s="140">
        <v>3.71</v>
      </c>
      <c r="AA79" s="140">
        <v>5.37</v>
      </c>
      <c r="AB79" s="147">
        <v>18000</v>
      </c>
      <c r="AC79" s="139">
        <v>49</v>
      </c>
      <c r="AD79" s="147">
        <v>139</v>
      </c>
      <c r="AE79" s="139">
        <v>36.9</v>
      </c>
      <c r="AF79" s="139">
        <v>86.1</v>
      </c>
      <c r="AG79" s="140">
        <v>4.1399999999999997</v>
      </c>
      <c r="AH79" s="139">
        <v>13.4</v>
      </c>
      <c r="AI79" s="139">
        <v>70.2</v>
      </c>
      <c r="AJ79" s="139">
        <v>84.8</v>
      </c>
      <c r="AK79" s="139">
        <v>43</v>
      </c>
      <c r="AL79" s="139">
        <v>57.6</v>
      </c>
      <c r="AM79" s="141">
        <v>10</v>
      </c>
      <c r="AN79" s="141">
        <v>5.5</v>
      </c>
    </row>
    <row r="80" spans="1:40" x14ac:dyDescent="0.3">
      <c r="A80" s="138" t="s">
        <v>753</v>
      </c>
      <c r="B80" s="138" t="s">
        <v>677</v>
      </c>
      <c r="C80" s="139">
        <v>82</v>
      </c>
      <c r="D80" s="139">
        <v>24</v>
      </c>
      <c r="E80" s="139">
        <v>14.3</v>
      </c>
      <c r="F80" s="141">
        <v>14.25</v>
      </c>
      <c r="G80" s="139">
        <v>10.1</v>
      </c>
      <c r="H80" s="141">
        <v>10.125</v>
      </c>
      <c r="I80" s="142">
        <v>0.51</v>
      </c>
      <c r="J80" s="141">
        <v>0.5</v>
      </c>
      <c r="K80" s="143">
        <v>0.25</v>
      </c>
      <c r="L80" s="142">
        <v>0.85499999999999998</v>
      </c>
      <c r="M80" s="143">
        <v>0.875</v>
      </c>
      <c r="N80" s="148">
        <v>1.45</v>
      </c>
      <c r="O80" s="145">
        <v>1.6875</v>
      </c>
      <c r="P80" s="145">
        <v>1.0625</v>
      </c>
      <c r="Q80" s="140">
        <v>5.92</v>
      </c>
      <c r="R80" s="139">
        <v>22.4</v>
      </c>
      <c r="S80" s="147">
        <v>881</v>
      </c>
      <c r="T80" s="147">
        <v>139</v>
      </c>
      <c r="U80" s="147">
        <v>123</v>
      </c>
      <c r="V80" s="140">
        <v>6.05</v>
      </c>
      <c r="W80" s="147">
        <v>148</v>
      </c>
      <c r="X80" s="139">
        <v>44.8</v>
      </c>
      <c r="Y80" s="139">
        <v>29.3</v>
      </c>
      <c r="Z80" s="140">
        <v>2.48</v>
      </c>
      <c r="AA80" s="140">
        <v>5.07</v>
      </c>
      <c r="AB80" s="147">
        <v>6710</v>
      </c>
      <c r="AC80" s="139">
        <v>33.9</v>
      </c>
      <c r="AD80" s="139">
        <v>73.3</v>
      </c>
      <c r="AE80" s="139">
        <v>27.6</v>
      </c>
      <c r="AF80" s="139">
        <v>68.2</v>
      </c>
      <c r="AG80" s="140">
        <v>2.85</v>
      </c>
      <c r="AH80" s="139">
        <v>13.4</v>
      </c>
      <c r="AI80" s="139">
        <v>56.9</v>
      </c>
      <c r="AJ80" s="139">
        <v>67</v>
      </c>
      <c r="AK80" s="139">
        <v>38.700000000000003</v>
      </c>
      <c r="AL80" s="139">
        <v>48.8</v>
      </c>
      <c r="AM80" s="141">
        <v>10.875</v>
      </c>
      <c r="AN80" s="141">
        <v>5.5</v>
      </c>
    </row>
    <row r="81" spans="1:40" x14ac:dyDescent="0.3">
      <c r="A81" s="138" t="s">
        <v>754</v>
      </c>
      <c r="B81" s="138" t="s">
        <v>677</v>
      </c>
      <c r="C81" s="147">
        <v>109</v>
      </c>
      <c r="D81" s="139">
        <v>32</v>
      </c>
      <c r="E81" s="139">
        <v>14.3</v>
      </c>
      <c r="F81" s="141">
        <v>14.375</v>
      </c>
      <c r="G81" s="139">
        <v>14.6</v>
      </c>
      <c r="H81" s="141">
        <v>14.625</v>
      </c>
      <c r="I81" s="142">
        <v>0.52500000000000002</v>
      </c>
      <c r="J81" s="141">
        <v>0.5</v>
      </c>
      <c r="K81" s="143">
        <v>0.25</v>
      </c>
      <c r="L81" s="142">
        <v>0.86</v>
      </c>
      <c r="M81" s="143">
        <v>0.875</v>
      </c>
      <c r="N81" s="148">
        <v>1.46</v>
      </c>
      <c r="O81" s="145">
        <v>2.1875</v>
      </c>
      <c r="P81" s="145">
        <v>1.5</v>
      </c>
      <c r="Q81" s="140">
        <v>8.49</v>
      </c>
      <c r="R81" s="139">
        <v>21.7</v>
      </c>
      <c r="S81" s="147">
        <v>1240</v>
      </c>
      <c r="T81" s="147">
        <v>192</v>
      </c>
      <c r="U81" s="147">
        <v>173</v>
      </c>
      <c r="V81" s="140">
        <v>6.22</v>
      </c>
      <c r="W81" s="147">
        <v>447</v>
      </c>
      <c r="X81" s="139">
        <v>92.7</v>
      </c>
      <c r="Y81" s="139">
        <v>61.2</v>
      </c>
      <c r="Z81" s="140">
        <v>3.73</v>
      </c>
      <c r="AA81" s="140">
        <v>7.12</v>
      </c>
      <c r="AB81" s="147">
        <v>20200</v>
      </c>
      <c r="AC81" s="139">
        <v>49.1</v>
      </c>
      <c r="AD81" s="147">
        <v>154</v>
      </c>
      <c r="AE81" s="139">
        <v>40.700000000000003</v>
      </c>
      <c r="AF81" s="139">
        <v>94.8</v>
      </c>
      <c r="AG81" s="140">
        <v>4.17</v>
      </c>
      <c r="AH81" s="139">
        <v>13.4</v>
      </c>
      <c r="AI81" s="139">
        <v>70.3</v>
      </c>
      <c r="AJ81" s="139">
        <v>84.9</v>
      </c>
      <c r="AK81" s="139">
        <v>43.2</v>
      </c>
      <c r="AL81" s="139">
        <v>57.8</v>
      </c>
      <c r="AM81" s="141">
        <v>10</v>
      </c>
      <c r="AN81" s="141">
        <v>5.5</v>
      </c>
    </row>
    <row r="82" spans="1:40" x14ac:dyDescent="0.3">
      <c r="A82" s="138" t="s">
        <v>755</v>
      </c>
      <c r="B82" s="138" t="s">
        <v>677</v>
      </c>
      <c r="C82" s="147">
        <v>190</v>
      </c>
      <c r="D82" s="139">
        <v>56</v>
      </c>
      <c r="E82" s="139">
        <v>14.4</v>
      </c>
      <c r="F82" s="141">
        <v>14.375</v>
      </c>
      <c r="G82" s="139">
        <v>12.7</v>
      </c>
      <c r="H82" s="141">
        <v>12.625</v>
      </c>
      <c r="I82" s="140">
        <v>1.06</v>
      </c>
      <c r="J82" s="141">
        <v>1.0625</v>
      </c>
      <c r="K82" s="143">
        <v>0.5625</v>
      </c>
      <c r="L82" s="140">
        <v>1.74</v>
      </c>
      <c r="M82" s="143">
        <v>1.75</v>
      </c>
      <c r="N82" s="148">
        <v>2.33</v>
      </c>
      <c r="O82" s="145">
        <v>2.625</v>
      </c>
      <c r="P82" s="145">
        <v>1.375</v>
      </c>
      <c r="Q82" s="140">
        <v>3.65</v>
      </c>
      <c r="R82" s="140">
        <v>9.16</v>
      </c>
      <c r="S82" s="147">
        <v>1890</v>
      </c>
      <c r="T82" s="147">
        <v>311</v>
      </c>
      <c r="U82" s="147">
        <v>263</v>
      </c>
      <c r="V82" s="140">
        <v>5.82</v>
      </c>
      <c r="W82" s="147">
        <v>589</v>
      </c>
      <c r="X82" s="147">
        <v>143</v>
      </c>
      <c r="Y82" s="139">
        <v>93</v>
      </c>
      <c r="Z82" s="140">
        <v>3.25</v>
      </c>
      <c r="AA82" s="139">
        <v>48.8</v>
      </c>
      <c r="AB82" s="147">
        <v>23600</v>
      </c>
      <c r="AC82" s="139">
        <v>40.200000000000003</v>
      </c>
      <c r="AD82" s="147">
        <v>222</v>
      </c>
      <c r="AE82" s="139">
        <v>64.099999999999994</v>
      </c>
      <c r="AF82" s="147">
        <v>156</v>
      </c>
      <c r="AG82" s="140">
        <v>3.77</v>
      </c>
      <c r="AH82" s="139">
        <v>12.7</v>
      </c>
      <c r="AI82" s="139">
        <v>63.8</v>
      </c>
      <c r="AJ82" s="139">
        <v>76.5</v>
      </c>
      <c r="AK82" s="139">
        <v>41.5</v>
      </c>
      <c r="AL82" s="139">
        <v>54.2</v>
      </c>
      <c r="AM82" s="141">
        <v>9.125</v>
      </c>
      <c r="AN82" s="141">
        <v>5.5</v>
      </c>
    </row>
    <row r="83" spans="1:40" x14ac:dyDescent="0.3">
      <c r="A83" s="138" t="s">
        <v>756</v>
      </c>
      <c r="B83" s="138" t="s">
        <v>677</v>
      </c>
      <c r="C83" s="147">
        <v>120</v>
      </c>
      <c r="D83" s="139">
        <v>35.299999999999997</v>
      </c>
      <c r="E83" s="139">
        <v>14.5</v>
      </c>
      <c r="F83" s="141">
        <v>14.5</v>
      </c>
      <c r="G83" s="139">
        <v>14.7</v>
      </c>
      <c r="H83" s="141">
        <v>14.625</v>
      </c>
      <c r="I83" s="142">
        <v>0.59</v>
      </c>
      <c r="J83" s="141">
        <v>0.5625</v>
      </c>
      <c r="K83" s="143">
        <v>0.3125</v>
      </c>
      <c r="L83" s="142">
        <v>0.94</v>
      </c>
      <c r="M83" s="143">
        <v>0.9375</v>
      </c>
      <c r="N83" s="148">
        <v>1.54</v>
      </c>
      <c r="O83" s="145">
        <v>2.25</v>
      </c>
      <c r="P83" s="145">
        <v>1.5</v>
      </c>
      <c r="Q83" s="140">
        <v>7.8</v>
      </c>
      <c r="R83" s="139">
        <v>19.3</v>
      </c>
      <c r="S83" s="147">
        <v>1380</v>
      </c>
      <c r="T83" s="147">
        <v>212</v>
      </c>
      <c r="U83" s="147">
        <v>190</v>
      </c>
      <c r="V83" s="140">
        <v>6.24</v>
      </c>
      <c r="W83" s="147">
        <v>495</v>
      </c>
      <c r="X83" s="147">
        <v>102</v>
      </c>
      <c r="Y83" s="139">
        <v>67.5</v>
      </c>
      <c r="Z83" s="140">
        <v>3.74</v>
      </c>
      <c r="AA83" s="140">
        <v>9.3699999999999992</v>
      </c>
      <c r="AB83" s="147">
        <v>22700</v>
      </c>
      <c r="AC83" s="139">
        <v>49.8</v>
      </c>
      <c r="AD83" s="147">
        <v>172</v>
      </c>
      <c r="AE83" s="139">
        <v>45</v>
      </c>
      <c r="AF83" s="147">
        <v>105</v>
      </c>
      <c r="AG83" s="140">
        <v>4.2</v>
      </c>
      <c r="AH83" s="139">
        <v>13.6</v>
      </c>
      <c r="AI83" s="139">
        <v>70.900000000000006</v>
      </c>
      <c r="AJ83" s="139">
        <v>85.6</v>
      </c>
      <c r="AK83" s="139">
        <v>43.7</v>
      </c>
      <c r="AL83" s="139">
        <v>58.4</v>
      </c>
      <c r="AM83" s="141">
        <v>10</v>
      </c>
      <c r="AN83" s="141">
        <v>5.5</v>
      </c>
    </row>
    <row r="84" spans="1:40" x14ac:dyDescent="0.3">
      <c r="A84" s="138" t="s">
        <v>757</v>
      </c>
      <c r="B84" s="138" t="s">
        <v>677</v>
      </c>
      <c r="C84" s="147">
        <v>132</v>
      </c>
      <c r="D84" s="139">
        <v>38.799999999999997</v>
      </c>
      <c r="E84" s="139">
        <v>14.7</v>
      </c>
      <c r="F84" s="141">
        <v>14.625</v>
      </c>
      <c r="G84" s="139">
        <v>14.7</v>
      </c>
      <c r="H84" s="141">
        <v>14.75</v>
      </c>
      <c r="I84" s="142">
        <v>0.64500000000000002</v>
      </c>
      <c r="J84" s="141">
        <v>0.625</v>
      </c>
      <c r="K84" s="143">
        <v>0.3125</v>
      </c>
      <c r="L84" s="140">
        <v>1.03</v>
      </c>
      <c r="M84" s="143">
        <v>1</v>
      </c>
      <c r="N84" s="148">
        <v>1.63</v>
      </c>
      <c r="O84" s="145">
        <v>2.3125</v>
      </c>
      <c r="P84" s="145">
        <v>1.5625</v>
      </c>
      <c r="Q84" s="140">
        <v>7.15</v>
      </c>
      <c r="R84" s="139">
        <v>17.7</v>
      </c>
      <c r="S84" s="147">
        <v>1530</v>
      </c>
      <c r="T84" s="147">
        <v>234</v>
      </c>
      <c r="U84" s="147">
        <v>209</v>
      </c>
      <c r="V84" s="140">
        <v>6.28</v>
      </c>
      <c r="W84" s="147">
        <v>548</v>
      </c>
      <c r="X84" s="147">
        <v>113</v>
      </c>
      <c r="Y84" s="139">
        <v>74.5</v>
      </c>
      <c r="Z84" s="140">
        <v>3.76</v>
      </c>
      <c r="AA84" s="139">
        <v>12.3</v>
      </c>
      <c r="AB84" s="147">
        <v>25500</v>
      </c>
      <c r="AC84" s="139">
        <v>50.2</v>
      </c>
      <c r="AD84" s="147">
        <v>190</v>
      </c>
      <c r="AE84" s="139">
        <v>49.5</v>
      </c>
      <c r="AF84" s="147">
        <v>116</v>
      </c>
      <c r="AG84" s="140">
        <v>4.2300000000000004</v>
      </c>
      <c r="AH84" s="139">
        <v>13.7</v>
      </c>
      <c r="AI84" s="139">
        <v>71.2</v>
      </c>
      <c r="AJ84" s="139">
        <v>85.9</v>
      </c>
      <c r="AK84" s="139">
        <v>44.1</v>
      </c>
      <c r="AL84" s="139">
        <v>58.8</v>
      </c>
      <c r="AM84" s="141">
        <v>10</v>
      </c>
      <c r="AN84" s="141">
        <v>5.5</v>
      </c>
    </row>
    <row r="85" spans="1:40" x14ac:dyDescent="0.3">
      <c r="A85" s="138" t="s">
        <v>758</v>
      </c>
      <c r="B85" s="138" t="s">
        <v>677</v>
      </c>
      <c r="C85" s="147">
        <v>210</v>
      </c>
      <c r="D85" s="139">
        <v>61.8</v>
      </c>
      <c r="E85" s="139">
        <v>14.7</v>
      </c>
      <c r="F85" s="141">
        <v>14.75</v>
      </c>
      <c r="G85" s="139">
        <v>12.8</v>
      </c>
      <c r="H85" s="141">
        <v>12.75</v>
      </c>
      <c r="I85" s="140">
        <v>1.18</v>
      </c>
      <c r="J85" s="141">
        <v>1.1875</v>
      </c>
      <c r="K85" s="143">
        <v>0.625</v>
      </c>
      <c r="L85" s="140">
        <v>1.9</v>
      </c>
      <c r="M85" s="143">
        <v>1.875</v>
      </c>
      <c r="N85" s="148">
        <v>2.5</v>
      </c>
      <c r="O85" s="145">
        <v>2.8125</v>
      </c>
      <c r="P85" s="145">
        <v>1.4375</v>
      </c>
      <c r="Q85" s="140">
        <v>3.37</v>
      </c>
      <c r="R85" s="140">
        <v>8.23</v>
      </c>
      <c r="S85" s="147">
        <v>2140</v>
      </c>
      <c r="T85" s="147">
        <v>348</v>
      </c>
      <c r="U85" s="147">
        <v>292</v>
      </c>
      <c r="V85" s="140">
        <v>5.89</v>
      </c>
      <c r="W85" s="147">
        <v>664</v>
      </c>
      <c r="X85" s="147">
        <v>159</v>
      </c>
      <c r="Y85" s="147">
        <v>104</v>
      </c>
      <c r="Z85" s="140">
        <v>3.28</v>
      </c>
      <c r="AA85" s="139">
        <v>64.7</v>
      </c>
      <c r="AB85" s="147">
        <v>27200</v>
      </c>
      <c r="AC85" s="139">
        <v>41</v>
      </c>
      <c r="AD85" s="147">
        <v>249</v>
      </c>
      <c r="AE85" s="139">
        <v>70.599999999999994</v>
      </c>
      <c r="AF85" s="147">
        <v>173</v>
      </c>
      <c r="AG85" s="140">
        <v>3.81</v>
      </c>
      <c r="AH85" s="139">
        <v>12.8</v>
      </c>
      <c r="AI85" s="139">
        <v>64.400000000000006</v>
      </c>
      <c r="AJ85" s="139">
        <v>77.2</v>
      </c>
      <c r="AK85" s="139">
        <v>42.2</v>
      </c>
      <c r="AL85" s="139">
        <v>55</v>
      </c>
      <c r="AM85" s="141">
        <v>9.125</v>
      </c>
      <c r="AN85" s="141">
        <v>5.5</v>
      </c>
    </row>
    <row r="86" spans="1:40" x14ac:dyDescent="0.3">
      <c r="A86" s="138" t="s">
        <v>759</v>
      </c>
      <c r="B86" s="138" t="s">
        <v>677</v>
      </c>
      <c r="C86" s="147">
        <v>145</v>
      </c>
      <c r="D86" s="139">
        <v>42.7</v>
      </c>
      <c r="E86" s="139">
        <v>14.8</v>
      </c>
      <c r="F86" s="141">
        <v>14.75</v>
      </c>
      <c r="G86" s="139">
        <v>15.5</v>
      </c>
      <c r="H86" s="141">
        <v>15.5</v>
      </c>
      <c r="I86" s="142">
        <v>0.68</v>
      </c>
      <c r="J86" s="141">
        <v>0.6875</v>
      </c>
      <c r="K86" s="143">
        <v>0.375</v>
      </c>
      <c r="L86" s="140">
        <v>1.0900000000000001</v>
      </c>
      <c r="M86" s="143">
        <v>1.0625</v>
      </c>
      <c r="N86" s="148">
        <v>1.69</v>
      </c>
      <c r="O86" s="145">
        <v>2.375</v>
      </c>
      <c r="P86" s="145">
        <v>1.5625</v>
      </c>
      <c r="Q86" s="140">
        <v>7.11</v>
      </c>
      <c r="R86" s="139">
        <v>16.8</v>
      </c>
      <c r="S86" s="147">
        <v>1710</v>
      </c>
      <c r="T86" s="147">
        <v>260</v>
      </c>
      <c r="U86" s="147">
        <v>232</v>
      </c>
      <c r="V86" s="140">
        <v>6.33</v>
      </c>
      <c r="W86" s="147">
        <v>677</v>
      </c>
      <c r="X86" s="147">
        <v>133</v>
      </c>
      <c r="Y86" s="139">
        <v>87.3</v>
      </c>
      <c r="Z86" s="140">
        <v>3.98</v>
      </c>
      <c r="AA86" s="139">
        <v>15.2</v>
      </c>
      <c r="AB86" s="147">
        <v>31700</v>
      </c>
      <c r="AC86" s="139">
        <v>53.1</v>
      </c>
      <c r="AD86" s="147">
        <v>224</v>
      </c>
      <c r="AE86" s="139">
        <v>55.4</v>
      </c>
      <c r="AF86" s="147">
        <v>129</v>
      </c>
      <c r="AG86" s="140">
        <v>4.47</v>
      </c>
      <c r="AH86" s="139">
        <v>13.7</v>
      </c>
      <c r="AI86" s="139">
        <v>73.7</v>
      </c>
      <c r="AJ86" s="139">
        <v>89.2</v>
      </c>
      <c r="AK86" s="139">
        <v>45.1</v>
      </c>
      <c r="AL86" s="139">
        <v>60.6</v>
      </c>
      <c r="AM86" s="141">
        <v>10</v>
      </c>
      <c r="AN86" s="141">
        <v>7.5</v>
      </c>
    </row>
    <row r="87" spans="1:40" x14ac:dyDescent="0.3">
      <c r="A87" s="138" t="s">
        <v>760</v>
      </c>
      <c r="B87" s="138" t="s">
        <v>677</v>
      </c>
      <c r="C87" s="147">
        <v>159</v>
      </c>
      <c r="D87" s="139">
        <v>46.7</v>
      </c>
      <c r="E87" s="139">
        <v>15</v>
      </c>
      <c r="F87" s="141">
        <v>15</v>
      </c>
      <c r="G87" s="139">
        <v>15.6</v>
      </c>
      <c r="H87" s="141">
        <v>15.625</v>
      </c>
      <c r="I87" s="142">
        <v>0.745</v>
      </c>
      <c r="J87" s="141">
        <v>0.75</v>
      </c>
      <c r="K87" s="143">
        <v>0.375</v>
      </c>
      <c r="L87" s="140">
        <v>1.19</v>
      </c>
      <c r="M87" s="143">
        <v>1.1875</v>
      </c>
      <c r="N87" s="148">
        <v>1.79</v>
      </c>
      <c r="O87" s="145">
        <v>2.5</v>
      </c>
      <c r="P87" s="145">
        <v>1.5625</v>
      </c>
      <c r="Q87" s="140">
        <v>6.54</v>
      </c>
      <c r="R87" s="139">
        <v>15.3</v>
      </c>
      <c r="S87" s="147">
        <v>1900</v>
      </c>
      <c r="T87" s="147">
        <v>287</v>
      </c>
      <c r="U87" s="147">
        <v>254</v>
      </c>
      <c r="V87" s="140">
        <v>6.38</v>
      </c>
      <c r="W87" s="147">
        <v>748</v>
      </c>
      <c r="X87" s="147">
        <v>146</v>
      </c>
      <c r="Y87" s="139">
        <v>96.2</v>
      </c>
      <c r="Z87" s="140">
        <v>4</v>
      </c>
      <c r="AA87" s="139">
        <v>19.7</v>
      </c>
      <c r="AB87" s="147">
        <v>35600</v>
      </c>
      <c r="AC87" s="139">
        <v>53.9</v>
      </c>
      <c r="AD87" s="147">
        <v>250</v>
      </c>
      <c r="AE87" s="139">
        <v>61</v>
      </c>
      <c r="AF87" s="147">
        <v>143</v>
      </c>
      <c r="AG87" s="140">
        <v>4.51</v>
      </c>
      <c r="AH87" s="139">
        <v>13.8</v>
      </c>
      <c r="AI87" s="139">
        <v>74.3</v>
      </c>
      <c r="AJ87" s="139">
        <v>89.9</v>
      </c>
      <c r="AK87" s="139">
        <v>45.6</v>
      </c>
      <c r="AL87" s="139">
        <v>61.2</v>
      </c>
      <c r="AM87" s="141">
        <v>10</v>
      </c>
      <c r="AN87" s="141">
        <v>7.5</v>
      </c>
    </row>
    <row r="88" spans="1:40" x14ac:dyDescent="0.3">
      <c r="A88" s="138" t="s">
        <v>761</v>
      </c>
      <c r="B88" s="138" t="s">
        <v>675</v>
      </c>
      <c r="C88" s="147">
        <v>230</v>
      </c>
      <c r="D88" s="139">
        <v>67.7</v>
      </c>
      <c r="E88" s="139">
        <v>15.1</v>
      </c>
      <c r="F88" s="141">
        <v>15</v>
      </c>
      <c r="G88" s="139">
        <v>12.9</v>
      </c>
      <c r="H88" s="141">
        <v>12.875</v>
      </c>
      <c r="I88" s="140">
        <v>1.29</v>
      </c>
      <c r="J88" s="141">
        <v>1.3125</v>
      </c>
      <c r="K88" s="143">
        <v>0.6875</v>
      </c>
      <c r="L88" s="140">
        <v>2.0699999999999998</v>
      </c>
      <c r="M88" s="143">
        <v>2.0625</v>
      </c>
      <c r="N88" s="148">
        <v>2.67</v>
      </c>
      <c r="O88" s="145">
        <v>2.9375</v>
      </c>
      <c r="P88" s="145">
        <v>1.5</v>
      </c>
      <c r="Q88" s="140">
        <v>3.11</v>
      </c>
      <c r="R88" s="140">
        <v>7.56</v>
      </c>
      <c r="S88" s="147">
        <v>2420</v>
      </c>
      <c r="T88" s="147">
        <v>386</v>
      </c>
      <c r="U88" s="147">
        <v>321</v>
      </c>
      <c r="V88" s="140">
        <v>5.97</v>
      </c>
      <c r="W88" s="147">
        <v>742</v>
      </c>
      <c r="X88" s="147">
        <v>177</v>
      </c>
      <c r="Y88" s="147">
        <v>115</v>
      </c>
      <c r="Z88" s="140">
        <v>3.31</v>
      </c>
      <c r="AA88" s="139">
        <v>83.8</v>
      </c>
      <c r="AB88" s="147">
        <v>31200</v>
      </c>
      <c r="AC88" s="139">
        <v>42</v>
      </c>
      <c r="AD88" s="147">
        <v>281</v>
      </c>
      <c r="AE88" s="139">
        <v>78.3</v>
      </c>
      <c r="AF88" s="147">
        <v>193</v>
      </c>
      <c r="AG88" s="140">
        <v>3.87</v>
      </c>
      <c r="AH88" s="139">
        <v>13</v>
      </c>
      <c r="AI88" s="139">
        <v>65.3</v>
      </c>
      <c r="AJ88" s="139">
        <v>78.2</v>
      </c>
      <c r="AK88" s="139">
        <v>43.1</v>
      </c>
      <c r="AL88" s="139">
        <v>56</v>
      </c>
      <c r="AM88" s="141">
        <v>9.125</v>
      </c>
      <c r="AN88" s="141">
        <v>5.5</v>
      </c>
    </row>
    <row r="89" spans="1:40" x14ac:dyDescent="0.3">
      <c r="A89" s="138" t="s">
        <v>762</v>
      </c>
      <c r="B89" s="138" t="s">
        <v>677</v>
      </c>
      <c r="C89" s="147">
        <v>176</v>
      </c>
      <c r="D89" s="139">
        <v>51.8</v>
      </c>
      <c r="E89" s="139">
        <v>15.2</v>
      </c>
      <c r="F89" s="141">
        <v>15.25</v>
      </c>
      <c r="G89" s="139">
        <v>15.7</v>
      </c>
      <c r="H89" s="141">
        <v>15.625</v>
      </c>
      <c r="I89" s="142">
        <v>0.83</v>
      </c>
      <c r="J89" s="141">
        <v>0.8125</v>
      </c>
      <c r="K89" s="143">
        <v>0.4375</v>
      </c>
      <c r="L89" s="140">
        <v>1.31</v>
      </c>
      <c r="M89" s="143">
        <v>1.3125</v>
      </c>
      <c r="N89" s="148">
        <v>1.91</v>
      </c>
      <c r="O89" s="145">
        <v>2.625</v>
      </c>
      <c r="P89" s="145">
        <v>1.625</v>
      </c>
      <c r="Q89" s="140">
        <v>5.97</v>
      </c>
      <c r="R89" s="139">
        <v>13.7</v>
      </c>
      <c r="S89" s="147">
        <v>2140</v>
      </c>
      <c r="T89" s="147">
        <v>320</v>
      </c>
      <c r="U89" s="147">
        <v>281</v>
      </c>
      <c r="V89" s="140">
        <v>6.43</v>
      </c>
      <c r="W89" s="147">
        <v>838</v>
      </c>
      <c r="X89" s="147">
        <v>163</v>
      </c>
      <c r="Y89" s="147">
        <v>107</v>
      </c>
      <c r="Z89" s="140">
        <v>4.0199999999999996</v>
      </c>
      <c r="AA89" s="139">
        <v>26.5</v>
      </c>
      <c r="AB89" s="147">
        <v>40500</v>
      </c>
      <c r="AC89" s="139">
        <v>54.5</v>
      </c>
      <c r="AD89" s="147">
        <v>280</v>
      </c>
      <c r="AE89" s="139">
        <v>67.599999999999994</v>
      </c>
      <c r="AF89" s="147">
        <v>159</v>
      </c>
      <c r="AG89" s="140">
        <v>4.55</v>
      </c>
      <c r="AH89" s="139">
        <v>13.9</v>
      </c>
      <c r="AI89" s="139">
        <v>74.8</v>
      </c>
      <c r="AJ89" s="139">
        <v>90.5</v>
      </c>
      <c r="AK89" s="139">
        <v>46.1</v>
      </c>
      <c r="AL89" s="139">
        <v>61.8</v>
      </c>
      <c r="AM89" s="141">
        <v>10</v>
      </c>
      <c r="AN89" s="141">
        <v>7.5</v>
      </c>
    </row>
    <row r="90" spans="1:40" x14ac:dyDescent="0.3">
      <c r="A90" s="138" t="s">
        <v>763</v>
      </c>
      <c r="B90" s="138" t="s">
        <v>675</v>
      </c>
      <c r="C90" s="147">
        <v>252</v>
      </c>
      <c r="D90" s="139">
        <v>74.099999999999994</v>
      </c>
      <c r="E90" s="139">
        <v>15.4</v>
      </c>
      <c r="F90" s="141">
        <v>15.375</v>
      </c>
      <c r="G90" s="139">
        <v>13</v>
      </c>
      <c r="H90" s="141">
        <v>13</v>
      </c>
      <c r="I90" s="140">
        <v>1.4</v>
      </c>
      <c r="J90" s="141">
        <v>1.375</v>
      </c>
      <c r="K90" s="143">
        <v>0.6875</v>
      </c>
      <c r="L90" s="140">
        <v>2.25</v>
      </c>
      <c r="M90" s="143">
        <v>2.25</v>
      </c>
      <c r="N90" s="148">
        <v>2.85</v>
      </c>
      <c r="O90" s="145">
        <v>3.125</v>
      </c>
      <c r="P90" s="145">
        <v>1.5</v>
      </c>
      <c r="Q90" s="140">
        <v>2.89</v>
      </c>
      <c r="R90" s="140">
        <v>6.96</v>
      </c>
      <c r="S90" s="147">
        <v>2720</v>
      </c>
      <c r="T90" s="147">
        <v>428</v>
      </c>
      <c r="U90" s="147">
        <v>353</v>
      </c>
      <c r="V90" s="140">
        <v>6.06</v>
      </c>
      <c r="W90" s="147">
        <v>828</v>
      </c>
      <c r="X90" s="147">
        <v>196</v>
      </c>
      <c r="Y90" s="147">
        <v>127</v>
      </c>
      <c r="Z90" s="140">
        <v>3.34</v>
      </c>
      <c r="AA90" s="147">
        <v>108</v>
      </c>
      <c r="AB90" s="147">
        <v>35800</v>
      </c>
      <c r="AC90" s="139">
        <v>42.7</v>
      </c>
      <c r="AD90" s="147">
        <v>313</v>
      </c>
      <c r="AE90" s="139">
        <v>85.8</v>
      </c>
      <c r="AF90" s="147">
        <v>213</v>
      </c>
      <c r="AG90" s="140">
        <v>3.93</v>
      </c>
      <c r="AH90" s="139">
        <v>13.2</v>
      </c>
      <c r="AI90" s="139">
        <v>66</v>
      </c>
      <c r="AJ90" s="139">
        <v>79</v>
      </c>
      <c r="AK90" s="139">
        <v>43.8</v>
      </c>
      <c r="AL90" s="139">
        <v>56.8</v>
      </c>
      <c r="AM90" s="141">
        <v>9.125</v>
      </c>
      <c r="AN90" s="141">
        <v>5.5</v>
      </c>
    </row>
    <row r="91" spans="1:40" x14ac:dyDescent="0.3">
      <c r="A91" s="138" t="s">
        <v>764</v>
      </c>
      <c r="B91" s="138" t="s">
        <v>677</v>
      </c>
      <c r="C91" s="147">
        <v>193</v>
      </c>
      <c r="D91" s="139">
        <v>56.8</v>
      </c>
      <c r="E91" s="139">
        <v>15.5</v>
      </c>
      <c r="F91" s="141">
        <v>15.5</v>
      </c>
      <c r="G91" s="139">
        <v>15.7</v>
      </c>
      <c r="H91" s="141">
        <v>15.75</v>
      </c>
      <c r="I91" s="142">
        <v>0.89</v>
      </c>
      <c r="J91" s="141">
        <v>0.875</v>
      </c>
      <c r="K91" s="143">
        <v>0.4375</v>
      </c>
      <c r="L91" s="140">
        <v>1.44</v>
      </c>
      <c r="M91" s="143">
        <v>1.4375</v>
      </c>
      <c r="N91" s="148">
        <v>2.04</v>
      </c>
      <c r="O91" s="145">
        <v>2.75</v>
      </c>
      <c r="P91" s="145">
        <v>1.6875</v>
      </c>
      <c r="Q91" s="140">
        <v>5.45</v>
      </c>
      <c r="R91" s="139">
        <v>12.8</v>
      </c>
      <c r="S91" s="147">
        <v>2400</v>
      </c>
      <c r="T91" s="147">
        <v>355</v>
      </c>
      <c r="U91" s="147">
        <v>310</v>
      </c>
      <c r="V91" s="140">
        <v>6.5</v>
      </c>
      <c r="W91" s="147">
        <v>931</v>
      </c>
      <c r="X91" s="147">
        <v>180</v>
      </c>
      <c r="Y91" s="147">
        <v>119</v>
      </c>
      <c r="Z91" s="140">
        <v>4.05</v>
      </c>
      <c r="AA91" s="139">
        <v>34.799999999999997</v>
      </c>
      <c r="AB91" s="147">
        <v>45900</v>
      </c>
      <c r="AC91" s="139">
        <v>55.2</v>
      </c>
      <c r="AD91" s="147">
        <v>312</v>
      </c>
      <c r="AE91" s="139">
        <v>75</v>
      </c>
      <c r="AF91" s="147">
        <v>177</v>
      </c>
      <c r="AG91" s="140">
        <v>4.59</v>
      </c>
      <c r="AH91" s="139">
        <v>14.1</v>
      </c>
      <c r="AI91" s="139">
        <v>75.3</v>
      </c>
      <c r="AJ91" s="139">
        <v>91</v>
      </c>
      <c r="AK91" s="139">
        <v>46.7</v>
      </c>
      <c r="AL91" s="139">
        <v>62.4</v>
      </c>
      <c r="AM91" s="141">
        <v>10</v>
      </c>
      <c r="AN91" s="141">
        <v>7.5</v>
      </c>
    </row>
    <row r="92" spans="1:40" x14ac:dyDescent="0.3">
      <c r="A92" s="138" t="s">
        <v>765</v>
      </c>
      <c r="B92" s="138" t="s">
        <v>677</v>
      </c>
      <c r="C92" s="139">
        <v>26</v>
      </c>
      <c r="D92" s="140">
        <v>7.68</v>
      </c>
      <c r="E92" s="139">
        <v>15.7</v>
      </c>
      <c r="F92" s="141">
        <v>15.75</v>
      </c>
      <c r="G92" s="140">
        <v>5.5</v>
      </c>
      <c r="H92" s="141">
        <v>5.5</v>
      </c>
      <c r="I92" s="142">
        <v>0.25</v>
      </c>
      <c r="J92" s="141">
        <v>0.25</v>
      </c>
      <c r="K92" s="143">
        <v>0.125</v>
      </c>
      <c r="L92" s="142">
        <v>0.34499999999999997</v>
      </c>
      <c r="M92" s="143">
        <v>0.375</v>
      </c>
      <c r="N92" s="144">
        <v>0.747</v>
      </c>
      <c r="O92" s="145">
        <v>1.0625</v>
      </c>
      <c r="P92" s="145">
        <v>0.75</v>
      </c>
      <c r="Q92" s="140">
        <v>7.97</v>
      </c>
      <c r="R92" s="139">
        <v>56.8</v>
      </c>
      <c r="S92" s="147">
        <v>301</v>
      </c>
      <c r="T92" s="139">
        <v>44.2</v>
      </c>
      <c r="U92" s="139">
        <v>38.4</v>
      </c>
      <c r="V92" s="140">
        <v>6.26</v>
      </c>
      <c r="W92" s="139">
        <v>9.59</v>
      </c>
      <c r="X92" s="140">
        <v>5.48</v>
      </c>
      <c r="Y92" s="140">
        <v>3.49</v>
      </c>
      <c r="Z92" s="140">
        <v>1.1200000000000001</v>
      </c>
      <c r="AA92" s="142">
        <v>0.26200000000000001</v>
      </c>
      <c r="AB92" s="147">
        <v>565</v>
      </c>
      <c r="AC92" s="139">
        <v>21.1</v>
      </c>
      <c r="AD92" s="139">
        <v>10</v>
      </c>
      <c r="AE92" s="140">
        <v>6.95</v>
      </c>
      <c r="AF92" s="139">
        <v>21.6</v>
      </c>
      <c r="AG92" s="140">
        <v>1.38</v>
      </c>
      <c r="AH92" s="139">
        <v>15.4</v>
      </c>
      <c r="AI92" s="139">
        <v>46.7</v>
      </c>
      <c r="AJ92" s="139">
        <v>52.2</v>
      </c>
      <c r="AK92" s="139">
        <v>36.9</v>
      </c>
      <c r="AL92" s="139">
        <v>42.4</v>
      </c>
      <c r="AM92" s="141">
        <v>13.625</v>
      </c>
      <c r="AN92" s="141">
        <v>3.5</v>
      </c>
    </row>
    <row r="93" spans="1:40" x14ac:dyDescent="0.3">
      <c r="A93" s="138" t="s">
        <v>766</v>
      </c>
      <c r="B93" s="138" t="s">
        <v>677</v>
      </c>
      <c r="C93" s="147">
        <v>211</v>
      </c>
      <c r="D93" s="139">
        <v>62</v>
      </c>
      <c r="E93" s="139">
        <v>15.7</v>
      </c>
      <c r="F93" s="141">
        <v>15.75</v>
      </c>
      <c r="G93" s="139">
        <v>15.8</v>
      </c>
      <c r="H93" s="141">
        <v>15.75</v>
      </c>
      <c r="I93" s="142">
        <v>0.98</v>
      </c>
      <c r="J93" s="141">
        <v>1</v>
      </c>
      <c r="K93" s="143">
        <v>0.5</v>
      </c>
      <c r="L93" s="140">
        <v>1.56</v>
      </c>
      <c r="M93" s="143">
        <v>1.5625</v>
      </c>
      <c r="N93" s="148">
        <v>2.16</v>
      </c>
      <c r="O93" s="145">
        <v>2.875</v>
      </c>
      <c r="P93" s="145">
        <v>1.6875</v>
      </c>
      <c r="Q93" s="140">
        <v>5.0599999999999996</v>
      </c>
      <c r="R93" s="139">
        <v>11.6</v>
      </c>
      <c r="S93" s="147">
        <v>2660</v>
      </c>
      <c r="T93" s="147">
        <v>390</v>
      </c>
      <c r="U93" s="147">
        <v>338</v>
      </c>
      <c r="V93" s="140">
        <v>6.55</v>
      </c>
      <c r="W93" s="147">
        <v>1030</v>
      </c>
      <c r="X93" s="147">
        <v>198</v>
      </c>
      <c r="Y93" s="147">
        <v>130</v>
      </c>
      <c r="Z93" s="140">
        <v>4.07</v>
      </c>
      <c r="AA93" s="139">
        <v>44.6</v>
      </c>
      <c r="AB93" s="147">
        <v>51500</v>
      </c>
      <c r="AC93" s="139">
        <v>55.9</v>
      </c>
      <c r="AD93" s="147">
        <v>344</v>
      </c>
      <c r="AE93" s="139">
        <v>81.7</v>
      </c>
      <c r="AF93" s="147">
        <v>194</v>
      </c>
      <c r="AG93" s="140">
        <v>4.6399999999999997</v>
      </c>
      <c r="AH93" s="139">
        <v>14.1</v>
      </c>
      <c r="AI93" s="139">
        <v>75.8</v>
      </c>
      <c r="AJ93" s="139">
        <v>91.6</v>
      </c>
      <c r="AK93" s="139">
        <v>47.2</v>
      </c>
      <c r="AL93" s="139">
        <v>63</v>
      </c>
      <c r="AM93" s="141">
        <v>10</v>
      </c>
      <c r="AN93" s="141">
        <v>7.5</v>
      </c>
    </row>
    <row r="94" spans="1:40" x14ac:dyDescent="0.3">
      <c r="A94" s="138" t="s">
        <v>767</v>
      </c>
      <c r="B94" s="138" t="s">
        <v>677</v>
      </c>
      <c r="C94" s="139">
        <v>31</v>
      </c>
      <c r="D94" s="140">
        <v>9.1300000000000008</v>
      </c>
      <c r="E94" s="139">
        <v>15.9</v>
      </c>
      <c r="F94" s="141">
        <v>15.875</v>
      </c>
      <c r="G94" s="140">
        <v>5.53</v>
      </c>
      <c r="H94" s="141">
        <v>5.5</v>
      </c>
      <c r="I94" s="142">
        <v>0.27500000000000002</v>
      </c>
      <c r="J94" s="141">
        <v>0.25</v>
      </c>
      <c r="K94" s="143">
        <v>0.125</v>
      </c>
      <c r="L94" s="142">
        <v>0.44</v>
      </c>
      <c r="M94" s="143">
        <v>0.4375</v>
      </c>
      <c r="N94" s="144">
        <v>0.84199999999999997</v>
      </c>
      <c r="O94" s="145">
        <v>1.125</v>
      </c>
      <c r="P94" s="145">
        <v>0.75</v>
      </c>
      <c r="Q94" s="140">
        <v>6.28</v>
      </c>
      <c r="R94" s="139">
        <v>51.6</v>
      </c>
      <c r="S94" s="147">
        <v>375</v>
      </c>
      <c r="T94" s="139">
        <v>54</v>
      </c>
      <c r="U94" s="139">
        <v>47.2</v>
      </c>
      <c r="V94" s="140">
        <v>6.41</v>
      </c>
      <c r="W94" s="139">
        <v>12.4</v>
      </c>
      <c r="X94" s="140">
        <v>7.03</v>
      </c>
      <c r="Y94" s="140">
        <v>4.49</v>
      </c>
      <c r="Z94" s="140">
        <v>1.17</v>
      </c>
      <c r="AA94" s="142">
        <v>0.46100000000000002</v>
      </c>
      <c r="AB94" s="147">
        <v>739</v>
      </c>
      <c r="AC94" s="139">
        <v>21.4</v>
      </c>
      <c r="AD94" s="139">
        <v>13</v>
      </c>
      <c r="AE94" s="140">
        <v>8.94</v>
      </c>
      <c r="AF94" s="139">
        <v>26.6</v>
      </c>
      <c r="AG94" s="140">
        <v>1.42</v>
      </c>
      <c r="AH94" s="139">
        <v>15.5</v>
      </c>
      <c r="AI94" s="139">
        <v>47.2</v>
      </c>
      <c r="AJ94" s="139">
        <v>52.7</v>
      </c>
      <c r="AK94" s="139">
        <v>37.299999999999997</v>
      </c>
      <c r="AL94" s="139">
        <v>42.9</v>
      </c>
      <c r="AM94" s="141">
        <v>13.625</v>
      </c>
      <c r="AN94" s="141">
        <v>3.5</v>
      </c>
    </row>
    <row r="95" spans="1:40" x14ac:dyDescent="0.3">
      <c r="A95" s="138" t="s">
        <v>768</v>
      </c>
      <c r="B95" s="138" t="s">
        <v>677</v>
      </c>
      <c r="C95" s="139">
        <v>36</v>
      </c>
      <c r="D95" s="139">
        <v>10.6</v>
      </c>
      <c r="E95" s="139">
        <v>15.9</v>
      </c>
      <c r="F95" s="141">
        <v>15.875</v>
      </c>
      <c r="G95" s="140">
        <v>6.99</v>
      </c>
      <c r="H95" s="141">
        <v>7</v>
      </c>
      <c r="I95" s="142">
        <v>0.29499999999999998</v>
      </c>
      <c r="J95" s="141">
        <v>0.3125</v>
      </c>
      <c r="K95" s="143">
        <v>0.1875</v>
      </c>
      <c r="L95" s="142">
        <v>0.43</v>
      </c>
      <c r="M95" s="143">
        <v>0.4375</v>
      </c>
      <c r="N95" s="144">
        <v>0.83199999999999996</v>
      </c>
      <c r="O95" s="145">
        <v>1.125</v>
      </c>
      <c r="P95" s="145">
        <v>0.75</v>
      </c>
      <c r="Q95" s="140">
        <v>8.1199999999999992</v>
      </c>
      <c r="R95" s="139">
        <v>48.1</v>
      </c>
      <c r="S95" s="147">
        <v>448</v>
      </c>
      <c r="T95" s="139">
        <v>64</v>
      </c>
      <c r="U95" s="139">
        <v>56.5</v>
      </c>
      <c r="V95" s="140">
        <v>6.51</v>
      </c>
      <c r="W95" s="139">
        <v>24.5</v>
      </c>
      <c r="X95" s="139">
        <v>10.8</v>
      </c>
      <c r="Y95" s="140">
        <v>7</v>
      </c>
      <c r="Z95" s="140">
        <v>1.52</v>
      </c>
      <c r="AA95" s="142">
        <v>0.54500000000000004</v>
      </c>
      <c r="AB95" s="147">
        <v>1460</v>
      </c>
      <c r="AC95" s="139">
        <v>27</v>
      </c>
      <c r="AD95" s="139">
        <v>20.3</v>
      </c>
      <c r="AE95" s="139">
        <v>11.1</v>
      </c>
      <c r="AF95" s="139">
        <v>31.6</v>
      </c>
      <c r="AG95" s="140">
        <v>1.83</v>
      </c>
      <c r="AH95" s="139">
        <v>15.5</v>
      </c>
      <c r="AI95" s="139">
        <v>51.5</v>
      </c>
      <c r="AJ95" s="139">
        <v>58.5</v>
      </c>
      <c r="AK95" s="139">
        <v>38.799999999999997</v>
      </c>
      <c r="AL95" s="139">
        <v>45.8</v>
      </c>
      <c r="AM95" s="141">
        <v>13.625</v>
      </c>
      <c r="AN95" s="141">
        <v>3.5</v>
      </c>
    </row>
    <row r="96" spans="1:40" x14ac:dyDescent="0.3">
      <c r="A96" s="138" t="s">
        <v>769</v>
      </c>
      <c r="B96" s="138" t="s">
        <v>675</v>
      </c>
      <c r="C96" s="147">
        <v>279</v>
      </c>
      <c r="D96" s="139">
        <v>81.900000000000006</v>
      </c>
      <c r="E96" s="139">
        <v>15.9</v>
      </c>
      <c r="F96" s="141">
        <v>15.875</v>
      </c>
      <c r="G96" s="139">
        <v>13.1</v>
      </c>
      <c r="H96" s="141">
        <v>13.125</v>
      </c>
      <c r="I96" s="140">
        <v>1.53</v>
      </c>
      <c r="J96" s="141">
        <v>1.5</v>
      </c>
      <c r="K96" s="143">
        <v>0.75</v>
      </c>
      <c r="L96" s="140">
        <v>2.4700000000000002</v>
      </c>
      <c r="M96" s="143">
        <v>2.5</v>
      </c>
      <c r="N96" s="148">
        <v>3.07</v>
      </c>
      <c r="O96" s="145">
        <v>3.375</v>
      </c>
      <c r="P96" s="145">
        <v>1.625</v>
      </c>
      <c r="Q96" s="140">
        <v>2.66</v>
      </c>
      <c r="R96" s="140">
        <v>6.35</v>
      </c>
      <c r="S96" s="147">
        <v>3110</v>
      </c>
      <c r="T96" s="147">
        <v>481</v>
      </c>
      <c r="U96" s="147">
        <v>393</v>
      </c>
      <c r="V96" s="140">
        <v>6.16</v>
      </c>
      <c r="W96" s="147">
        <v>937</v>
      </c>
      <c r="X96" s="147">
        <v>220</v>
      </c>
      <c r="Y96" s="147">
        <v>143</v>
      </c>
      <c r="Z96" s="140">
        <v>3.38</v>
      </c>
      <c r="AA96" s="147">
        <v>143</v>
      </c>
      <c r="AB96" s="147">
        <v>42000</v>
      </c>
      <c r="AC96" s="139">
        <v>44</v>
      </c>
      <c r="AD96" s="147">
        <v>356</v>
      </c>
      <c r="AE96" s="139">
        <v>96</v>
      </c>
      <c r="AF96" s="147">
        <v>240</v>
      </c>
      <c r="AG96" s="140">
        <v>4</v>
      </c>
      <c r="AH96" s="139">
        <v>13.4</v>
      </c>
      <c r="AI96" s="139">
        <v>67</v>
      </c>
      <c r="AJ96" s="139">
        <v>80.099999999999994</v>
      </c>
      <c r="AK96" s="139">
        <v>44.9</v>
      </c>
      <c r="AL96" s="139">
        <v>58</v>
      </c>
      <c r="AM96" s="141">
        <v>9.125</v>
      </c>
      <c r="AN96" s="141">
        <v>5.5</v>
      </c>
    </row>
    <row r="97" spans="1:40" x14ac:dyDescent="0.3">
      <c r="A97" s="138" t="s">
        <v>770</v>
      </c>
      <c r="B97" s="138" t="s">
        <v>677</v>
      </c>
      <c r="C97" s="139">
        <v>40</v>
      </c>
      <c r="D97" s="139">
        <v>11.8</v>
      </c>
      <c r="E97" s="139">
        <v>16</v>
      </c>
      <c r="F97" s="141">
        <v>16</v>
      </c>
      <c r="G97" s="140">
        <v>7</v>
      </c>
      <c r="H97" s="141">
        <v>7</v>
      </c>
      <c r="I97" s="142">
        <v>0.30499999999999999</v>
      </c>
      <c r="J97" s="141">
        <v>0.3125</v>
      </c>
      <c r="K97" s="143">
        <v>0.1875</v>
      </c>
      <c r="L97" s="142">
        <v>0.505</v>
      </c>
      <c r="M97" s="143">
        <v>0.5</v>
      </c>
      <c r="N97" s="144">
        <v>0.90700000000000003</v>
      </c>
      <c r="O97" s="145">
        <v>1.1875</v>
      </c>
      <c r="P97" s="145">
        <v>0.8125</v>
      </c>
      <c r="Q97" s="140">
        <v>6.93</v>
      </c>
      <c r="R97" s="139">
        <v>46.5</v>
      </c>
      <c r="S97" s="147">
        <v>518</v>
      </c>
      <c r="T97" s="139">
        <v>73</v>
      </c>
      <c r="U97" s="139">
        <v>64.7</v>
      </c>
      <c r="V97" s="140">
        <v>6.63</v>
      </c>
      <c r="W97" s="139">
        <v>28.9</v>
      </c>
      <c r="X97" s="139">
        <v>12.7</v>
      </c>
      <c r="Y97" s="140">
        <v>8.25</v>
      </c>
      <c r="Z97" s="140">
        <v>1.57</v>
      </c>
      <c r="AA97" s="142">
        <v>0.79400000000000004</v>
      </c>
      <c r="AB97" s="147">
        <v>1730</v>
      </c>
      <c r="AC97" s="139">
        <v>27.1</v>
      </c>
      <c r="AD97" s="139">
        <v>24</v>
      </c>
      <c r="AE97" s="139">
        <v>13.1</v>
      </c>
      <c r="AF97" s="139">
        <v>36</v>
      </c>
      <c r="AG97" s="140">
        <v>1.86</v>
      </c>
      <c r="AH97" s="139">
        <v>15.5</v>
      </c>
      <c r="AI97" s="139">
        <v>51.7</v>
      </c>
      <c r="AJ97" s="139">
        <v>58.7</v>
      </c>
      <c r="AK97" s="139">
        <v>39</v>
      </c>
      <c r="AL97" s="139">
        <v>46</v>
      </c>
      <c r="AM97" s="141">
        <v>13.625</v>
      </c>
      <c r="AN97" s="141">
        <v>3.5</v>
      </c>
    </row>
    <row r="98" spans="1:40" x14ac:dyDescent="0.3">
      <c r="A98" s="138" t="s">
        <v>771</v>
      </c>
      <c r="B98" s="138" t="s">
        <v>677</v>
      </c>
      <c r="C98" s="147">
        <v>233</v>
      </c>
      <c r="D98" s="139">
        <v>68.5</v>
      </c>
      <c r="E98" s="139">
        <v>16</v>
      </c>
      <c r="F98" s="141">
        <v>16</v>
      </c>
      <c r="G98" s="139">
        <v>15.9</v>
      </c>
      <c r="H98" s="141">
        <v>15.875</v>
      </c>
      <c r="I98" s="140">
        <v>1.07</v>
      </c>
      <c r="J98" s="141">
        <v>1.0625</v>
      </c>
      <c r="K98" s="143">
        <v>0.5625</v>
      </c>
      <c r="L98" s="140">
        <v>1.72</v>
      </c>
      <c r="M98" s="143">
        <v>1.75</v>
      </c>
      <c r="N98" s="148">
        <v>2.3199999999999998</v>
      </c>
      <c r="O98" s="145">
        <v>3</v>
      </c>
      <c r="P98" s="145">
        <v>1.75</v>
      </c>
      <c r="Q98" s="140">
        <v>4.62</v>
      </c>
      <c r="R98" s="139">
        <v>10.7</v>
      </c>
      <c r="S98" s="147">
        <v>3010</v>
      </c>
      <c r="T98" s="147">
        <v>436</v>
      </c>
      <c r="U98" s="147">
        <v>375</v>
      </c>
      <c r="V98" s="140">
        <v>6.63</v>
      </c>
      <c r="W98" s="147">
        <v>1150</v>
      </c>
      <c r="X98" s="147">
        <v>221</v>
      </c>
      <c r="Y98" s="147">
        <v>145</v>
      </c>
      <c r="Z98" s="140">
        <v>4.0999999999999996</v>
      </c>
      <c r="AA98" s="139">
        <v>59.5</v>
      </c>
      <c r="AB98" s="147">
        <v>59000</v>
      </c>
      <c r="AC98" s="139">
        <v>56.8</v>
      </c>
      <c r="AD98" s="147">
        <v>388</v>
      </c>
      <c r="AE98" s="139">
        <v>91.1</v>
      </c>
      <c r="AF98" s="147">
        <v>216</v>
      </c>
      <c r="AG98" s="140">
        <v>4.6900000000000004</v>
      </c>
      <c r="AH98" s="139">
        <v>14.3</v>
      </c>
      <c r="AI98" s="139">
        <v>76.5</v>
      </c>
      <c r="AJ98" s="139">
        <v>92.4</v>
      </c>
      <c r="AK98" s="139">
        <v>47.9</v>
      </c>
      <c r="AL98" s="139">
        <v>63.8</v>
      </c>
      <c r="AM98" s="141">
        <v>10</v>
      </c>
      <c r="AN98" s="141">
        <v>7.5</v>
      </c>
    </row>
    <row r="99" spans="1:40" x14ac:dyDescent="0.3">
      <c r="A99" s="138" t="s">
        <v>772</v>
      </c>
      <c r="B99" s="138" t="s">
        <v>677</v>
      </c>
      <c r="C99" s="139">
        <v>45</v>
      </c>
      <c r="D99" s="139">
        <v>13.3</v>
      </c>
      <c r="E99" s="139">
        <v>16.100000000000001</v>
      </c>
      <c r="F99" s="141">
        <v>16.125</v>
      </c>
      <c r="G99" s="140">
        <v>7.04</v>
      </c>
      <c r="H99" s="141">
        <v>7</v>
      </c>
      <c r="I99" s="142">
        <v>0.34499999999999997</v>
      </c>
      <c r="J99" s="141">
        <v>0.375</v>
      </c>
      <c r="K99" s="143">
        <v>0.1875</v>
      </c>
      <c r="L99" s="142">
        <v>0.56499999999999995</v>
      </c>
      <c r="M99" s="143">
        <v>0.5625</v>
      </c>
      <c r="N99" s="144">
        <v>0.96699999999999997</v>
      </c>
      <c r="O99" s="145">
        <v>1.25</v>
      </c>
      <c r="P99" s="145">
        <v>0.8125</v>
      </c>
      <c r="Q99" s="140">
        <v>6.23</v>
      </c>
      <c r="R99" s="139">
        <v>41.1</v>
      </c>
      <c r="S99" s="147">
        <v>586</v>
      </c>
      <c r="T99" s="139">
        <v>82.3</v>
      </c>
      <c r="U99" s="139">
        <v>72.7</v>
      </c>
      <c r="V99" s="140">
        <v>6.65</v>
      </c>
      <c r="W99" s="139">
        <v>32.799999999999997</v>
      </c>
      <c r="X99" s="139">
        <v>14.5</v>
      </c>
      <c r="Y99" s="140">
        <v>9.34</v>
      </c>
      <c r="Z99" s="140">
        <v>1.57</v>
      </c>
      <c r="AA99" s="140">
        <v>1.1100000000000001</v>
      </c>
      <c r="AB99" s="147">
        <v>1990</v>
      </c>
      <c r="AC99" s="139">
        <v>27.3</v>
      </c>
      <c r="AD99" s="139">
        <v>27.2</v>
      </c>
      <c r="AE99" s="139">
        <v>14.7</v>
      </c>
      <c r="AF99" s="139">
        <v>40.6</v>
      </c>
      <c r="AG99" s="140">
        <v>1.87</v>
      </c>
      <c r="AH99" s="139">
        <v>15.5</v>
      </c>
      <c r="AI99" s="139">
        <v>52</v>
      </c>
      <c r="AJ99" s="139">
        <v>59</v>
      </c>
      <c r="AK99" s="139">
        <v>39.200000000000003</v>
      </c>
      <c r="AL99" s="139">
        <v>46.3</v>
      </c>
      <c r="AM99" s="141">
        <v>13.625</v>
      </c>
      <c r="AN99" s="141">
        <v>3.5</v>
      </c>
    </row>
    <row r="100" spans="1:40" x14ac:dyDescent="0.3">
      <c r="A100" s="138" t="s">
        <v>773</v>
      </c>
      <c r="B100" s="138" t="s">
        <v>677</v>
      </c>
      <c r="C100" s="139">
        <v>50</v>
      </c>
      <c r="D100" s="139">
        <v>14.7</v>
      </c>
      <c r="E100" s="139">
        <v>16.3</v>
      </c>
      <c r="F100" s="141">
        <v>16.25</v>
      </c>
      <c r="G100" s="140">
        <v>7.07</v>
      </c>
      <c r="H100" s="141">
        <v>7.125</v>
      </c>
      <c r="I100" s="142">
        <v>0.38</v>
      </c>
      <c r="J100" s="141">
        <v>0.375</v>
      </c>
      <c r="K100" s="143">
        <v>0.1875</v>
      </c>
      <c r="L100" s="142">
        <v>0.63</v>
      </c>
      <c r="M100" s="143">
        <v>0.625</v>
      </c>
      <c r="N100" s="148">
        <v>1.03</v>
      </c>
      <c r="O100" s="145">
        <v>1.3125</v>
      </c>
      <c r="P100" s="145">
        <v>0.8125</v>
      </c>
      <c r="Q100" s="140">
        <v>5.61</v>
      </c>
      <c r="R100" s="139">
        <v>37.4</v>
      </c>
      <c r="S100" s="147">
        <v>659</v>
      </c>
      <c r="T100" s="139">
        <v>92</v>
      </c>
      <c r="U100" s="139">
        <v>81</v>
      </c>
      <c r="V100" s="140">
        <v>6.68</v>
      </c>
      <c r="W100" s="139">
        <v>37.200000000000003</v>
      </c>
      <c r="X100" s="139">
        <v>16.3</v>
      </c>
      <c r="Y100" s="139">
        <v>10.5</v>
      </c>
      <c r="Z100" s="140">
        <v>1.59</v>
      </c>
      <c r="AA100" s="140">
        <v>1.52</v>
      </c>
      <c r="AB100" s="147">
        <v>2270</v>
      </c>
      <c r="AC100" s="139">
        <v>27.7</v>
      </c>
      <c r="AD100" s="139">
        <v>30.8</v>
      </c>
      <c r="AE100" s="139">
        <v>16.5</v>
      </c>
      <c r="AF100" s="139">
        <v>45.6</v>
      </c>
      <c r="AG100" s="140">
        <v>1.89</v>
      </c>
      <c r="AH100" s="139">
        <v>15.7</v>
      </c>
      <c r="AI100" s="139">
        <v>52.3</v>
      </c>
      <c r="AJ100" s="139">
        <v>59.4</v>
      </c>
      <c r="AK100" s="139">
        <v>39.700000000000003</v>
      </c>
      <c r="AL100" s="139">
        <v>46.7</v>
      </c>
      <c r="AM100" s="141">
        <v>13.625</v>
      </c>
      <c r="AN100" s="141">
        <v>3.5</v>
      </c>
    </row>
    <row r="101" spans="1:40" x14ac:dyDescent="0.3">
      <c r="A101" s="138" t="s">
        <v>774</v>
      </c>
      <c r="B101" s="138" t="s">
        <v>677</v>
      </c>
      <c r="C101" s="139">
        <v>67</v>
      </c>
      <c r="D101" s="139">
        <v>19.600000000000001</v>
      </c>
      <c r="E101" s="139">
        <v>16.3</v>
      </c>
      <c r="F101" s="141">
        <v>16.375</v>
      </c>
      <c r="G101" s="139">
        <v>10.199999999999999</v>
      </c>
      <c r="H101" s="141">
        <v>10.25</v>
      </c>
      <c r="I101" s="142">
        <v>0.39500000000000002</v>
      </c>
      <c r="J101" s="141">
        <v>0.375</v>
      </c>
      <c r="K101" s="143">
        <v>0.1875</v>
      </c>
      <c r="L101" s="142">
        <v>0.66500000000000004</v>
      </c>
      <c r="M101" s="143">
        <v>0.6875</v>
      </c>
      <c r="N101" s="148">
        <v>1.07</v>
      </c>
      <c r="O101" s="145">
        <v>1.5625</v>
      </c>
      <c r="P101" s="145">
        <v>1</v>
      </c>
      <c r="Q101" s="140">
        <v>7.7</v>
      </c>
      <c r="R101" s="139">
        <v>35.9</v>
      </c>
      <c r="S101" s="147">
        <v>954</v>
      </c>
      <c r="T101" s="147">
        <v>130</v>
      </c>
      <c r="U101" s="147">
        <v>117</v>
      </c>
      <c r="V101" s="140">
        <v>6.96</v>
      </c>
      <c r="W101" s="147">
        <v>119</v>
      </c>
      <c r="X101" s="139">
        <v>35.5</v>
      </c>
      <c r="Y101" s="139">
        <v>23.2</v>
      </c>
      <c r="Z101" s="140">
        <v>2.46</v>
      </c>
      <c r="AA101" s="140">
        <v>2.39</v>
      </c>
      <c r="AB101" s="147">
        <v>7300</v>
      </c>
      <c r="AC101" s="139">
        <v>39.9</v>
      </c>
      <c r="AD101" s="139">
        <v>67.599999999999994</v>
      </c>
      <c r="AE101" s="139">
        <v>25.5</v>
      </c>
      <c r="AF101" s="139">
        <v>64.099999999999994</v>
      </c>
      <c r="AG101" s="140">
        <v>2.82</v>
      </c>
      <c r="AH101" s="139">
        <v>15.6</v>
      </c>
      <c r="AI101" s="139">
        <v>61.7</v>
      </c>
      <c r="AJ101" s="139">
        <v>71.900000000000006</v>
      </c>
      <c r="AK101" s="139">
        <v>42.8</v>
      </c>
      <c r="AL101" s="139">
        <v>53</v>
      </c>
      <c r="AM101" s="141">
        <v>13.25</v>
      </c>
      <c r="AN101" s="141">
        <v>5.5</v>
      </c>
    </row>
    <row r="102" spans="1:40" x14ac:dyDescent="0.3">
      <c r="A102" s="138" t="s">
        <v>775</v>
      </c>
      <c r="B102" s="138" t="s">
        <v>675</v>
      </c>
      <c r="C102" s="147">
        <v>305</v>
      </c>
      <c r="D102" s="139">
        <v>89.5</v>
      </c>
      <c r="E102" s="139">
        <v>16.3</v>
      </c>
      <c r="F102" s="141">
        <v>16.375</v>
      </c>
      <c r="G102" s="139">
        <v>13.2</v>
      </c>
      <c r="H102" s="141">
        <v>13.25</v>
      </c>
      <c r="I102" s="140">
        <v>1.63</v>
      </c>
      <c r="J102" s="141">
        <v>1.625</v>
      </c>
      <c r="K102" s="143">
        <v>0.8125</v>
      </c>
      <c r="L102" s="140">
        <v>2.71</v>
      </c>
      <c r="M102" s="143">
        <v>2.6875</v>
      </c>
      <c r="N102" s="148">
        <v>3.3</v>
      </c>
      <c r="O102" s="145">
        <v>3.625</v>
      </c>
      <c r="P102" s="145">
        <v>1.625</v>
      </c>
      <c r="Q102" s="140">
        <v>2.4500000000000002</v>
      </c>
      <c r="R102" s="140">
        <v>5.98</v>
      </c>
      <c r="S102" s="147">
        <v>3550</v>
      </c>
      <c r="T102" s="147">
        <v>537</v>
      </c>
      <c r="U102" s="147">
        <v>435</v>
      </c>
      <c r="V102" s="140">
        <v>6.29</v>
      </c>
      <c r="W102" s="147">
        <v>1050</v>
      </c>
      <c r="X102" s="147">
        <v>244</v>
      </c>
      <c r="Y102" s="147">
        <v>159</v>
      </c>
      <c r="Z102" s="140">
        <v>3.42</v>
      </c>
      <c r="AA102" s="147">
        <v>185</v>
      </c>
      <c r="AB102" s="147">
        <v>48600</v>
      </c>
      <c r="AC102" s="139">
        <v>44.8</v>
      </c>
      <c r="AD102" s="147">
        <v>401</v>
      </c>
      <c r="AE102" s="147">
        <v>107</v>
      </c>
      <c r="AF102" s="147">
        <v>267</v>
      </c>
      <c r="AG102" s="140">
        <v>4.05</v>
      </c>
      <c r="AH102" s="139">
        <v>13.6</v>
      </c>
      <c r="AI102" s="139">
        <v>67.900000000000006</v>
      </c>
      <c r="AJ102" s="139">
        <v>81.099999999999994</v>
      </c>
      <c r="AK102" s="139">
        <v>45.8</v>
      </c>
      <c r="AL102" s="139">
        <v>59</v>
      </c>
      <c r="AM102" s="141">
        <v>9.125</v>
      </c>
      <c r="AN102" s="141">
        <v>5.5</v>
      </c>
    </row>
    <row r="103" spans="1:40" x14ac:dyDescent="0.3">
      <c r="A103" s="138" t="s">
        <v>776</v>
      </c>
      <c r="B103" s="138" t="s">
        <v>677</v>
      </c>
      <c r="C103" s="139">
        <v>57</v>
      </c>
      <c r="D103" s="139">
        <v>16.8</v>
      </c>
      <c r="E103" s="139">
        <v>16.399999999999999</v>
      </c>
      <c r="F103" s="141">
        <v>16.375</v>
      </c>
      <c r="G103" s="140">
        <v>7.12</v>
      </c>
      <c r="H103" s="141">
        <v>7.125</v>
      </c>
      <c r="I103" s="142">
        <v>0.43</v>
      </c>
      <c r="J103" s="141">
        <v>0.4375</v>
      </c>
      <c r="K103" s="143">
        <v>0.25</v>
      </c>
      <c r="L103" s="142">
        <v>0.71499999999999997</v>
      </c>
      <c r="M103" s="143">
        <v>0.6875</v>
      </c>
      <c r="N103" s="148">
        <v>1.1200000000000001</v>
      </c>
      <c r="O103" s="145">
        <v>1.375</v>
      </c>
      <c r="P103" s="145">
        <v>0.875</v>
      </c>
      <c r="Q103" s="140">
        <v>4.9800000000000004</v>
      </c>
      <c r="R103" s="139">
        <v>33</v>
      </c>
      <c r="S103" s="147">
        <v>758</v>
      </c>
      <c r="T103" s="147">
        <v>105</v>
      </c>
      <c r="U103" s="139">
        <v>92.2</v>
      </c>
      <c r="V103" s="140">
        <v>6.72</v>
      </c>
      <c r="W103" s="139">
        <v>43.1</v>
      </c>
      <c r="X103" s="139">
        <v>18.899999999999999</v>
      </c>
      <c r="Y103" s="139">
        <v>12.1</v>
      </c>
      <c r="Z103" s="140">
        <v>1.6</v>
      </c>
      <c r="AA103" s="140">
        <v>2.2200000000000002</v>
      </c>
      <c r="AB103" s="147">
        <v>2660</v>
      </c>
      <c r="AC103" s="139">
        <v>27.9</v>
      </c>
      <c r="AD103" s="139">
        <v>35.5</v>
      </c>
      <c r="AE103" s="139">
        <v>18.8</v>
      </c>
      <c r="AF103" s="139">
        <v>52</v>
      </c>
      <c r="AG103" s="140">
        <v>1.92</v>
      </c>
      <c r="AH103" s="139">
        <v>15.7</v>
      </c>
      <c r="AI103" s="139">
        <v>52.6</v>
      </c>
      <c r="AJ103" s="139">
        <v>59.7</v>
      </c>
      <c r="AK103" s="139">
        <v>39.9</v>
      </c>
      <c r="AL103" s="139">
        <v>47</v>
      </c>
      <c r="AM103" s="141">
        <v>13.625</v>
      </c>
      <c r="AN103" s="141">
        <v>3.5</v>
      </c>
    </row>
    <row r="104" spans="1:40" x14ac:dyDescent="0.3">
      <c r="A104" s="138" t="s">
        <v>777</v>
      </c>
      <c r="B104" s="138" t="s">
        <v>677</v>
      </c>
      <c r="C104" s="147">
        <v>257</v>
      </c>
      <c r="D104" s="139">
        <v>75.599999999999994</v>
      </c>
      <c r="E104" s="139">
        <v>16.399999999999999</v>
      </c>
      <c r="F104" s="141">
        <v>16.375</v>
      </c>
      <c r="G104" s="139">
        <v>16</v>
      </c>
      <c r="H104" s="141">
        <v>16</v>
      </c>
      <c r="I104" s="140">
        <v>1.18</v>
      </c>
      <c r="J104" s="141">
        <v>1.1875</v>
      </c>
      <c r="K104" s="143">
        <v>0.625</v>
      </c>
      <c r="L104" s="140">
        <v>1.89</v>
      </c>
      <c r="M104" s="143">
        <v>1.875</v>
      </c>
      <c r="N104" s="148">
        <v>2.4900000000000002</v>
      </c>
      <c r="O104" s="145">
        <v>3.1875</v>
      </c>
      <c r="P104" s="145">
        <v>1.8125</v>
      </c>
      <c r="Q104" s="140">
        <v>4.2300000000000004</v>
      </c>
      <c r="R104" s="140">
        <v>9.7100000000000009</v>
      </c>
      <c r="S104" s="147">
        <v>3400</v>
      </c>
      <c r="T104" s="147">
        <v>487</v>
      </c>
      <c r="U104" s="147">
        <v>415</v>
      </c>
      <c r="V104" s="140">
        <v>6.71</v>
      </c>
      <c r="W104" s="147">
        <v>1290</v>
      </c>
      <c r="X104" s="147">
        <v>246</v>
      </c>
      <c r="Y104" s="147">
        <v>161</v>
      </c>
      <c r="Z104" s="140">
        <v>4.13</v>
      </c>
      <c r="AA104" s="139">
        <v>79.099999999999994</v>
      </c>
      <c r="AB104" s="147">
        <v>67800</v>
      </c>
      <c r="AC104" s="139">
        <v>58</v>
      </c>
      <c r="AD104" s="147">
        <v>439</v>
      </c>
      <c r="AE104" s="147">
        <v>102</v>
      </c>
      <c r="AF104" s="147">
        <v>243</v>
      </c>
      <c r="AG104" s="140">
        <v>4.75</v>
      </c>
      <c r="AH104" s="139">
        <v>14.5</v>
      </c>
      <c r="AI104" s="139">
        <v>77.400000000000006</v>
      </c>
      <c r="AJ104" s="139">
        <v>93.4</v>
      </c>
      <c r="AK104" s="139">
        <v>48.8</v>
      </c>
      <c r="AL104" s="139">
        <v>64.8</v>
      </c>
      <c r="AM104" s="141">
        <v>10</v>
      </c>
      <c r="AN104" s="141">
        <v>7.5</v>
      </c>
    </row>
    <row r="105" spans="1:40" x14ac:dyDescent="0.3">
      <c r="A105" s="138" t="s">
        <v>778</v>
      </c>
      <c r="B105" s="138" t="s">
        <v>677</v>
      </c>
      <c r="C105" s="139">
        <v>77</v>
      </c>
      <c r="D105" s="139">
        <v>22.6</v>
      </c>
      <c r="E105" s="139">
        <v>16.5</v>
      </c>
      <c r="F105" s="141">
        <v>16.5</v>
      </c>
      <c r="G105" s="139">
        <v>10.3</v>
      </c>
      <c r="H105" s="141">
        <v>10.25</v>
      </c>
      <c r="I105" s="142">
        <v>0.45500000000000002</v>
      </c>
      <c r="J105" s="141">
        <v>0.4375</v>
      </c>
      <c r="K105" s="143">
        <v>0.25</v>
      </c>
      <c r="L105" s="142">
        <v>0.76</v>
      </c>
      <c r="M105" s="143">
        <v>0.75</v>
      </c>
      <c r="N105" s="148">
        <v>1.1599999999999999</v>
      </c>
      <c r="O105" s="145">
        <v>1.625</v>
      </c>
      <c r="P105" s="145">
        <v>1.0625</v>
      </c>
      <c r="Q105" s="140">
        <v>6.77</v>
      </c>
      <c r="R105" s="139">
        <v>31.2</v>
      </c>
      <c r="S105" s="147">
        <v>1110</v>
      </c>
      <c r="T105" s="147">
        <v>150</v>
      </c>
      <c r="U105" s="147">
        <v>134</v>
      </c>
      <c r="V105" s="140">
        <v>7</v>
      </c>
      <c r="W105" s="147">
        <v>138</v>
      </c>
      <c r="X105" s="139">
        <v>41.1</v>
      </c>
      <c r="Y105" s="139">
        <v>26.9</v>
      </c>
      <c r="Z105" s="140">
        <v>2.4700000000000002</v>
      </c>
      <c r="AA105" s="140">
        <v>3.57</v>
      </c>
      <c r="AB105" s="147">
        <v>8590</v>
      </c>
      <c r="AC105" s="139">
        <v>40.5</v>
      </c>
      <c r="AD105" s="139">
        <v>79.3</v>
      </c>
      <c r="AE105" s="139">
        <v>29.4</v>
      </c>
      <c r="AF105" s="139">
        <v>74.400000000000006</v>
      </c>
      <c r="AG105" s="140">
        <v>2.85</v>
      </c>
      <c r="AH105" s="139">
        <v>15.7</v>
      </c>
      <c r="AI105" s="139">
        <v>62.3</v>
      </c>
      <c r="AJ105" s="139">
        <v>72.599999999999994</v>
      </c>
      <c r="AK105" s="139">
        <v>43.3</v>
      </c>
      <c r="AL105" s="139">
        <v>53.6</v>
      </c>
      <c r="AM105" s="141">
        <v>13.25</v>
      </c>
      <c r="AN105" s="141">
        <v>5.5</v>
      </c>
    </row>
    <row r="106" spans="1:40" x14ac:dyDescent="0.3">
      <c r="A106" s="138" t="s">
        <v>779</v>
      </c>
      <c r="B106" s="138" t="s">
        <v>675</v>
      </c>
      <c r="C106" s="147">
        <v>283</v>
      </c>
      <c r="D106" s="139">
        <v>83.3</v>
      </c>
      <c r="E106" s="139">
        <v>16.7</v>
      </c>
      <c r="F106" s="141">
        <v>16.75</v>
      </c>
      <c r="G106" s="139">
        <v>16.100000000000001</v>
      </c>
      <c r="H106" s="141">
        <v>16.125</v>
      </c>
      <c r="I106" s="140">
        <v>1.29</v>
      </c>
      <c r="J106" s="141">
        <v>1.3125</v>
      </c>
      <c r="K106" s="143">
        <v>0.6875</v>
      </c>
      <c r="L106" s="140">
        <v>2.0699999999999998</v>
      </c>
      <c r="M106" s="143">
        <v>2.0625</v>
      </c>
      <c r="N106" s="148">
        <v>2.67</v>
      </c>
      <c r="O106" s="145">
        <v>3.375</v>
      </c>
      <c r="P106" s="145">
        <v>1.875</v>
      </c>
      <c r="Q106" s="140">
        <v>3.89</v>
      </c>
      <c r="R106" s="140">
        <v>8.84</v>
      </c>
      <c r="S106" s="147">
        <v>3840</v>
      </c>
      <c r="T106" s="147">
        <v>542</v>
      </c>
      <c r="U106" s="147">
        <v>459</v>
      </c>
      <c r="V106" s="140">
        <v>6.79</v>
      </c>
      <c r="W106" s="147">
        <v>1440</v>
      </c>
      <c r="X106" s="147">
        <v>274</v>
      </c>
      <c r="Y106" s="147">
        <v>179</v>
      </c>
      <c r="Z106" s="140">
        <v>4.17</v>
      </c>
      <c r="AA106" s="147">
        <v>104</v>
      </c>
      <c r="AB106" s="147">
        <v>77700</v>
      </c>
      <c r="AC106" s="139">
        <v>58.9</v>
      </c>
      <c r="AD106" s="147">
        <v>491</v>
      </c>
      <c r="AE106" s="147">
        <v>112</v>
      </c>
      <c r="AF106" s="147">
        <v>269</v>
      </c>
      <c r="AG106" s="140">
        <v>4.8</v>
      </c>
      <c r="AH106" s="139">
        <v>14.6</v>
      </c>
      <c r="AI106" s="139">
        <v>78.099999999999994</v>
      </c>
      <c r="AJ106" s="139">
        <v>94.2</v>
      </c>
      <c r="AK106" s="139">
        <v>49.5</v>
      </c>
      <c r="AL106" s="139">
        <v>65.599999999999994</v>
      </c>
      <c r="AM106" s="141">
        <v>10</v>
      </c>
      <c r="AN106" s="141">
        <v>7.5</v>
      </c>
    </row>
    <row r="107" spans="1:40" x14ac:dyDescent="0.3">
      <c r="A107" s="138" t="s">
        <v>780</v>
      </c>
      <c r="B107" s="138" t="s">
        <v>677</v>
      </c>
      <c r="C107" s="139">
        <v>89</v>
      </c>
      <c r="D107" s="139">
        <v>26.2</v>
      </c>
      <c r="E107" s="139">
        <v>16.8</v>
      </c>
      <c r="F107" s="141">
        <v>16.75</v>
      </c>
      <c r="G107" s="139">
        <v>10.4</v>
      </c>
      <c r="H107" s="141">
        <v>10.375</v>
      </c>
      <c r="I107" s="142">
        <v>0.52500000000000002</v>
      </c>
      <c r="J107" s="141">
        <v>0.5</v>
      </c>
      <c r="K107" s="143">
        <v>0.25</v>
      </c>
      <c r="L107" s="142">
        <v>0.875</v>
      </c>
      <c r="M107" s="143">
        <v>0.875</v>
      </c>
      <c r="N107" s="148">
        <v>1.28</v>
      </c>
      <c r="O107" s="145">
        <v>1.75</v>
      </c>
      <c r="P107" s="145">
        <v>1.0625</v>
      </c>
      <c r="Q107" s="140">
        <v>5.92</v>
      </c>
      <c r="R107" s="139">
        <v>27</v>
      </c>
      <c r="S107" s="147">
        <v>1300</v>
      </c>
      <c r="T107" s="147">
        <v>175</v>
      </c>
      <c r="U107" s="147">
        <v>155</v>
      </c>
      <c r="V107" s="140">
        <v>7.05</v>
      </c>
      <c r="W107" s="147">
        <v>163</v>
      </c>
      <c r="X107" s="139">
        <v>48.1</v>
      </c>
      <c r="Y107" s="139">
        <v>31.4</v>
      </c>
      <c r="Z107" s="140">
        <v>2.4900000000000002</v>
      </c>
      <c r="AA107" s="140">
        <v>5.45</v>
      </c>
      <c r="AB107" s="147">
        <v>10200</v>
      </c>
      <c r="AC107" s="139">
        <v>41.4</v>
      </c>
      <c r="AD107" s="139">
        <v>94.2</v>
      </c>
      <c r="AE107" s="139">
        <v>34.4</v>
      </c>
      <c r="AF107" s="139">
        <v>87.3</v>
      </c>
      <c r="AG107" s="140">
        <v>2.88</v>
      </c>
      <c r="AH107" s="139">
        <v>15.9</v>
      </c>
      <c r="AI107" s="139">
        <v>63.1</v>
      </c>
      <c r="AJ107" s="139">
        <v>73.5</v>
      </c>
      <c r="AK107" s="139">
        <v>44</v>
      </c>
      <c r="AL107" s="139">
        <v>54.4</v>
      </c>
      <c r="AM107" s="141">
        <v>13.25</v>
      </c>
      <c r="AN107" s="141">
        <v>5.5</v>
      </c>
    </row>
    <row r="108" spans="1:40" x14ac:dyDescent="0.3">
      <c r="A108" s="138" t="s">
        <v>781</v>
      </c>
      <c r="B108" s="138" t="s">
        <v>675</v>
      </c>
      <c r="C108" s="147">
        <v>336</v>
      </c>
      <c r="D108" s="139">
        <v>98.9</v>
      </c>
      <c r="E108" s="139">
        <v>16.8</v>
      </c>
      <c r="F108" s="141">
        <v>16.875</v>
      </c>
      <c r="G108" s="139">
        <v>13.4</v>
      </c>
      <c r="H108" s="141">
        <v>13.375</v>
      </c>
      <c r="I108" s="140">
        <v>1.78</v>
      </c>
      <c r="J108" s="141">
        <v>1.75</v>
      </c>
      <c r="K108" s="143">
        <v>0.875</v>
      </c>
      <c r="L108" s="140">
        <v>2.96</v>
      </c>
      <c r="M108" s="143">
        <v>2.9375</v>
      </c>
      <c r="N108" s="148">
        <v>3.55</v>
      </c>
      <c r="O108" s="145">
        <v>3.875</v>
      </c>
      <c r="P108" s="145">
        <v>1.6875</v>
      </c>
      <c r="Q108" s="140">
        <v>2.2599999999999998</v>
      </c>
      <c r="R108" s="140">
        <v>5.47</v>
      </c>
      <c r="S108" s="147">
        <v>4060</v>
      </c>
      <c r="T108" s="147">
        <v>603</v>
      </c>
      <c r="U108" s="147">
        <v>483</v>
      </c>
      <c r="V108" s="140">
        <v>6.41</v>
      </c>
      <c r="W108" s="147">
        <v>1190</v>
      </c>
      <c r="X108" s="147">
        <v>274</v>
      </c>
      <c r="Y108" s="147">
        <v>177</v>
      </c>
      <c r="Z108" s="140">
        <v>3.47</v>
      </c>
      <c r="AA108" s="147">
        <v>243</v>
      </c>
      <c r="AB108" s="147">
        <v>57000</v>
      </c>
      <c r="AC108" s="139">
        <v>46.4</v>
      </c>
      <c r="AD108" s="147">
        <v>460</v>
      </c>
      <c r="AE108" s="147">
        <v>119</v>
      </c>
      <c r="AF108" s="147">
        <v>301</v>
      </c>
      <c r="AG108" s="140">
        <v>4.13</v>
      </c>
      <c r="AH108" s="139">
        <v>13.8</v>
      </c>
      <c r="AI108" s="139">
        <v>69.2</v>
      </c>
      <c r="AJ108" s="139">
        <v>82.6</v>
      </c>
      <c r="AK108" s="139">
        <v>47</v>
      </c>
      <c r="AL108" s="139">
        <v>60.4</v>
      </c>
      <c r="AM108" s="141">
        <v>9.125</v>
      </c>
      <c r="AN108" s="141">
        <v>5.5</v>
      </c>
    </row>
    <row r="109" spans="1:40" x14ac:dyDescent="0.3">
      <c r="A109" s="138" t="s">
        <v>782</v>
      </c>
      <c r="B109" s="138" t="s">
        <v>677</v>
      </c>
      <c r="C109" s="147">
        <v>100</v>
      </c>
      <c r="D109" s="139">
        <v>29.4</v>
      </c>
      <c r="E109" s="139">
        <v>17</v>
      </c>
      <c r="F109" s="141">
        <v>17</v>
      </c>
      <c r="G109" s="139">
        <v>10.4</v>
      </c>
      <c r="H109" s="141">
        <v>10.375</v>
      </c>
      <c r="I109" s="142">
        <v>0.58499999999999996</v>
      </c>
      <c r="J109" s="141">
        <v>0.5625</v>
      </c>
      <c r="K109" s="143">
        <v>0.3125</v>
      </c>
      <c r="L109" s="142">
        <v>0.98499999999999999</v>
      </c>
      <c r="M109" s="143">
        <v>1</v>
      </c>
      <c r="N109" s="148">
        <v>1.39</v>
      </c>
      <c r="O109" s="145">
        <v>1.875</v>
      </c>
      <c r="P109" s="145">
        <v>1.125</v>
      </c>
      <c r="Q109" s="140">
        <v>5.29</v>
      </c>
      <c r="R109" s="139">
        <v>24.3</v>
      </c>
      <c r="S109" s="147">
        <v>1490</v>
      </c>
      <c r="T109" s="147">
        <v>198</v>
      </c>
      <c r="U109" s="147">
        <v>175</v>
      </c>
      <c r="V109" s="140">
        <v>7.1</v>
      </c>
      <c r="W109" s="147">
        <v>186</v>
      </c>
      <c r="X109" s="139">
        <v>54.9</v>
      </c>
      <c r="Y109" s="139">
        <v>35.700000000000003</v>
      </c>
      <c r="Z109" s="140">
        <v>2.5099999999999998</v>
      </c>
      <c r="AA109" s="140">
        <v>7.73</v>
      </c>
      <c r="AB109" s="147">
        <v>11900</v>
      </c>
      <c r="AC109" s="139">
        <v>41.6</v>
      </c>
      <c r="AD109" s="147">
        <v>107</v>
      </c>
      <c r="AE109" s="139">
        <v>38.700000000000003</v>
      </c>
      <c r="AF109" s="139">
        <v>98.5</v>
      </c>
      <c r="AG109" s="140">
        <v>2.92</v>
      </c>
      <c r="AH109" s="139">
        <v>16</v>
      </c>
      <c r="AI109" s="139">
        <v>63.3</v>
      </c>
      <c r="AJ109" s="139">
        <v>73.7</v>
      </c>
      <c r="AK109" s="139">
        <v>44.4</v>
      </c>
      <c r="AL109" s="139">
        <v>54.8</v>
      </c>
      <c r="AM109" s="141">
        <v>13.25</v>
      </c>
      <c r="AN109" s="141">
        <v>5.5</v>
      </c>
    </row>
    <row r="110" spans="1:40" x14ac:dyDescent="0.3">
      <c r="A110" s="138" t="s">
        <v>783</v>
      </c>
      <c r="B110" s="138" t="s">
        <v>675</v>
      </c>
      <c r="C110" s="147">
        <v>311</v>
      </c>
      <c r="D110" s="139">
        <v>91.4</v>
      </c>
      <c r="E110" s="139">
        <v>17.100000000000001</v>
      </c>
      <c r="F110" s="141">
        <v>17.125</v>
      </c>
      <c r="G110" s="139">
        <v>16.2</v>
      </c>
      <c r="H110" s="141">
        <v>16.25</v>
      </c>
      <c r="I110" s="140">
        <v>1.41</v>
      </c>
      <c r="J110" s="141">
        <v>1.4375</v>
      </c>
      <c r="K110" s="143">
        <v>0.75</v>
      </c>
      <c r="L110" s="140">
        <v>2.2599999999999998</v>
      </c>
      <c r="M110" s="143">
        <v>2.25</v>
      </c>
      <c r="N110" s="148">
        <v>2.86</v>
      </c>
      <c r="O110" s="145">
        <v>3.5625</v>
      </c>
      <c r="P110" s="145">
        <v>1.9375</v>
      </c>
      <c r="Q110" s="140">
        <v>3.59</v>
      </c>
      <c r="R110" s="140">
        <v>8.09</v>
      </c>
      <c r="S110" s="147">
        <v>4330</v>
      </c>
      <c r="T110" s="147">
        <v>603</v>
      </c>
      <c r="U110" s="147">
        <v>506</v>
      </c>
      <c r="V110" s="140">
        <v>6.88</v>
      </c>
      <c r="W110" s="147">
        <v>1610</v>
      </c>
      <c r="X110" s="147">
        <v>304</v>
      </c>
      <c r="Y110" s="147">
        <v>199</v>
      </c>
      <c r="Z110" s="140">
        <v>4.2</v>
      </c>
      <c r="AA110" s="147">
        <v>136</v>
      </c>
      <c r="AB110" s="147">
        <v>89100</v>
      </c>
      <c r="AC110" s="139">
        <v>60.1</v>
      </c>
      <c r="AD110" s="147">
        <v>550</v>
      </c>
      <c r="AE110" s="147">
        <v>124</v>
      </c>
      <c r="AF110" s="147">
        <v>300</v>
      </c>
      <c r="AG110" s="140">
        <v>4.87</v>
      </c>
      <c r="AH110" s="139">
        <v>14.8</v>
      </c>
      <c r="AI110" s="139">
        <v>79</v>
      </c>
      <c r="AJ110" s="139">
        <v>95.2</v>
      </c>
      <c r="AK110" s="139">
        <v>50.4</v>
      </c>
      <c r="AL110" s="139">
        <v>66.599999999999994</v>
      </c>
      <c r="AM110" s="141">
        <v>10</v>
      </c>
      <c r="AN110" s="141">
        <v>7.5</v>
      </c>
    </row>
    <row r="111" spans="1:40" x14ac:dyDescent="0.3">
      <c r="A111" s="138" t="s">
        <v>784</v>
      </c>
      <c r="B111" s="138" t="s">
        <v>675</v>
      </c>
      <c r="C111" s="147">
        <v>342</v>
      </c>
      <c r="D111" s="147">
        <v>101</v>
      </c>
      <c r="E111" s="139">
        <v>17.5</v>
      </c>
      <c r="F111" s="141">
        <v>17.5</v>
      </c>
      <c r="G111" s="139">
        <v>16.399999999999999</v>
      </c>
      <c r="H111" s="141">
        <v>16.375</v>
      </c>
      <c r="I111" s="140">
        <v>1.54</v>
      </c>
      <c r="J111" s="141">
        <v>1.5625</v>
      </c>
      <c r="K111" s="143">
        <v>0.8125</v>
      </c>
      <c r="L111" s="140">
        <v>2.4700000000000002</v>
      </c>
      <c r="M111" s="143">
        <v>2.5</v>
      </c>
      <c r="N111" s="148">
        <v>3.07</v>
      </c>
      <c r="O111" s="145">
        <v>3.75</v>
      </c>
      <c r="P111" s="145">
        <v>2</v>
      </c>
      <c r="Q111" s="140">
        <v>3.31</v>
      </c>
      <c r="R111" s="140">
        <v>7.41</v>
      </c>
      <c r="S111" s="147">
        <v>4900</v>
      </c>
      <c r="T111" s="147">
        <v>672</v>
      </c>
      <c r="U111" s="147">
        <v>558</v>
      </c>
      <c r="V111" s="140">
        <v>6.98</v>
      </c>
      <c r="W111" s="147">
        <v>1810</v>
      </c>
      <c r="X111" s="147">
        <v>338</v>
      </c>
      <c r="Y111" s="147">
        <v>221</v>
      </c>
      <c r="Z111" s="140">
        <v>4.24</v>
      </c>
      <c r="AA111" s="147">
        <v>178</v>
      </c>
      <c r="AB111" s="147">
        <v>103000</v>
      </c>
      <c r="AC111" s="139">
        <v>61.6</v>
      </c>
      <c r="AD111" s="147">
        <v>624</v>
      </c>
      <c r="AE111" s="147">
        <v>138</v>
      </c>
      <c r="AF111" s="147">
        <v>335</v>
      </c>
      <c r="AG111" s="140">
        <v>4.95</v>
      </c>
      <c r="AH111" s="139">
        <v>15</v>
      </c>
      <c r="AI111" s="139">
        <v>80.099999999999994</v>
      </c>
      <c r="AJ111" s="139">
        <v>96.5</v>
      </c>
      <c r="AK111" s="139">
        <v>51.4</v>
      </c>
      <c r="AL111" s="139">
        <v>67.8</v>
      </c>
      <c r="AM111" s="141">
        <v>10</v>
      </c>
      <c r="AN111" s="141">
        <v>7.5</v>
      </c>
    </row>
    <row r="112" spans="1:40" x14ac:dyDescent="0.3">
      <c r="A112" s="138" t="s">
        <v>785</v>
      </c>
      <c r="B112" s="138" t="s">
        <v>677</v>
      </c>
      <c r="C112" s="139">
        <v>35</v>
      </c>
      <c r="D112" s="139">
        <v>10.3</v>
      </c>
      <c r="E112" s="139">
        <v>17.7</v>
      </c>
      <c r="F112" s="141">
        <v>17.75</v>
      </c>
      <c r="G112" s="140">
        <v>6</v>
      </c>
      <c r="H112" s="141">
        <v>6</v>
      </c>
      <c r="I112" s="142">
        <v>0.3</v>
      </c>
      <c r="J112" s="141">
        <v>0.3125</v>
      </c>
      <c r="K112" s="143">
        <v>0.1875</v>
      </c>
      <c r="L112" s="142">
        <v>0.42499999999999999</v>
      </c>
      <c r="M112" s="143">
        <v>0.4375</v>
      </c>
      <c r="N112" s="144">
        <v>0.82699999999999996</v>
      </c>
      <c r="O112" s="145">
        <v>1.125</v>
      </c>
      <c r="P112" s="145">
        <v>0.75</v>
      </c>
      <c r="Q112" s="140">
        <v>7.06</v>
      </c>
      <c r="R112" s="139">
        <v>53.5</v>
      </c>
      <c r="S112" s="147">
        <v>510</v>
      </c>
      <c r="T112" s="139">
        <v>66.5</v>
      </c>
      <c r="U112" s="139">
        <v>57.6</v>
      </c>
      <c r="V112" s="140">
        <v>7.04</v>
      </c>
      <c r="W112" s="139">
        <v>15.3</v>
      </c>
      <c r="X112" s="140">
        <v>8.06</v>
      </c>
      <c r="Y112" s="140">
        <v>5.12</v>
      </c>
      <c r="Z112" s="140">
        <v>1.22</v>
      </c>
      <c r="AA112" s="142">
        <v>0.50600000000000001</v>
      </c>
      <c r="AB112" s="147">
        <v>1140</v>
      </c>
      <c r="AC112" s="139">
        <v>25.9</v>
      </c>
      <c r="AD112" s="139">
        <v>16.5</v>
      </c>
      <c r="AE112" s="139">
        <v>10.5</v>
      </c>
      <c r="AF112" s="139">
        <v>32.700000000000003</v>
      </c>
      <c r="AG112" s="140">
        <v>1.51</v>
      </c>
      <c r="AH112" s="139">
        <v>17.3</v>
      </c>
      <c r="AI112" s="139">
        <v>52.1</v>
      </c>
      <c r="AJ112" s="139">
        <v>58.1</v>
      </c>
      <c r="AK112" s="139">
        <v>41.4</v>
      </c>
      <c r="AL112" s="139">
        <v>47.4</v>
      </c>
      <c r="AM112" s="141">
        <v>15.5</v>
      </c>
      <c r="AN112" s="141">
        <v>3.5</v>
      </c>
    </row>
    <row r="113" spans="1:40" x14ac:dyDescent="0.3">
      <c r="A113" s="138" t="s">
        <v>786</v>
      </c>
      <c r="B113" s="138" t="s">
        <v>677</v>
      </c>
      <c r="C113" s="139">
        <v>40</v>
      </c>
      <c r="D113" s="139">
        <v>11.8</v>
      </c>
      <c r="E113" s="139">
        <v>17.899999999999999</v>
      </c>
      <c r="F113" s="141">
        <v>17.875</v>
      </c>
      <c r="G113" s="140">
        <v>6.02</v>
      </c>
      <c r="H113" s="141">
        <v>6</v>
      </c>
      <c r="I113" s="142">
        <v>0.315</v>
      </c>
      <c r="J113" s="141">
        <v>0.3125</v>
      </c>
      <c r="K113" s="143">
        <v>0.1875</v>
      </c>
      <c r="L113" s="142">
        <v>0.52500000000000002</v>
      </c>
      <c r="M113" s="143">
        <v>0.5</v>
      </c>
      <c r="N113" s="144">
        <v>0.92700000000000005</v>
      </c>
      <c r="O113" s="145">
        <v>1.1875</v>
      </c>
      <c r="P113" s="145">
        <v>0.8125</v>
      </c>
      <c r="Q113" s="140">
        <v>5.73</v>
      </c>
      <c r="R113" s="139">
        <v>50.9</v>
      </c>
      <c r="S113" s="147">
        <v>612</v>
      </c>
      <c r="T113" s="139">
        <v>78.400000000000006</v>
      </c>
      <c r="U113" s="139">
        <v>68.400000000000006</v>
      </c>
      <c r="V113" s="140">
        <v>7.21</v>
      </c>
      <c r="W113" s="139">
        <v>19.100000000000001</v>
      </c>
      <c r="X113" s="139">
        <v>10</v>
      </c>
      <c r="Y113" s="140">
        <v>6.35</v>
      </c>
      <c r="Z113" s="140">
        <v>1.27</v>
      </c>
      <c r="AA113" s="142">
        <v>0.81</v>
      </c>
      <c r="AB113" s="147">
        <v>1440</v>
      </c>
      <c r="AC113" s="139">
        <v>26.1</v>
      </c>
      <c r="AD113" s="139">
        <v>20.7</v>
      </c>
      <c r="AE113" s="139">
        <v>13</v>
      </c>
      <c r="AF113" s="139">
        <v>38.6</v>
      </c>
      <c r="AG113" s="140">
        <v>1.56</v>
      </c>
      <c r="AH113" s="139">
        <v>17.399999999999999</v>
      </c>
      <c r="AI113" s="139">
        <v>52.6</v>
      </c>
      <c r="AJ113" s="139">
        <v>58.6</v>
      </c>
      <c r="AK113" s="139">
        <v>41.8</v>
      </c>
      <c r="AL113" s="139">
        <v>47.8</v>
      </c>
      <c r="AM113" s="141">
        <v>15.5</v>
      </c>
      <c r="AN113" s="141">
        <v>3.5</v>
      </c>
    </row>
    <row r="114" spans="1:40" x14ac:dyDescent="0.3">
      <c r="A114" s="138" t="s">
        <v>787</v>
      </c>
      <c r="B114" s="138" t="s">
        <v>675</v>
      </c>
      <c r="C114" s="147">
        <v>370</v>
      </c>
      <c r="D114" s="147">
        <v>109</v>
      </c>
      <c r="E114" s="139">
        <v>17.899999999999999</v>
      </c>
      <c r="F114" s="141">
        <v>17.875</v>
      </c>
      <c r="G114" s="139">
        <v>16.5</v>
      </c>
      <c r="H114" s="141">
        <v>16.5</v>
      </c>
      <c r="I114" s="140">
        <v>1.66</v>
      </c>
      <c r="J114" s="141">
        <v>1.6875</v>
      </c>
      <c r="K114" s="143">
        <v>0.8125</v>
      </c>
      <c r="L114" s="140">
        <v>2.66</v>
      </c>
      <c r="M114" s="143">
        <v>2.6875</v>
      </c>
      <c r="N114" s="148">
        <v>3.26</v>
      </c>
      <c r="O114" s="145">
        <v>3.9375</v>
      </c>
      <c r="P114" s="145">
        <v>2.0625</v>
      </c>
      <c r="Q114" s="140">
        <v>3.1</v>
      </c>
      <c r="R114" s="140">
        <v>6.89</v>
      </c>
      <c r="S114" s="147">
        <v>5440</v>
      </c>
      <c r="T114" s="147">
        <v>736</v>
      </c>
      <c r="U114" s="147">
        <v>607</v>
      </c>
      <c r="V114" s="140">
        <v>7.07</v>
      </c>
      <c r="W114" s="147">
        <v>1990</v>
      </c>
      <c r="X114" s="147">
        <v>370</v>
      </c>
      <c r="Y114" s="147">
        <v>241</v>
      </c>
      <c r="Z114" s="140">
        <v>4.2699999999999996</v>
      </c>
      <c r="AA114" s="147">
        <v>222</v>
      </c>
      <c r="AB114" s="147">
        <v>116000</v>
      </c>
      <c r="AC114" s="139">
        <v>62.9</v>
      </c>
      <c r="AD114" s="147">
        <v>690</v>
      </c>
      <c r="AE114" s="147">
        <v>150</v>
      </c>
      <c r="AF114" s="147">
        <v>367</v>
      </c>
      <c r="AG114" s="140">
        <v>5</v>
      </c>
      <c r="AH114" s="139">
        <v>15.2</v>
      </c>
      <c r="AI114" s="139">
        <v>81</v>
      </c>
      <c r="AJ114" s="139">
        <v>97.5</v>
      </c>
      <c r="AK114" s="139">
        <v>52.3</v>
      </c>
      <c r="AL114" s="139">
        <v>68.8</v>
      </c>
      <c r="AM114" s="141">
        <v>10</v>
      </c>
      <c r="AN114" s="141">
        <v>7.5</v>
      </c>
    </row>
    <row r="115" spans="1:40" x14ac:dyDescent="0.3">
      <c r="A115" s="138" t="s">
        <v>788</v>
      </c>
      <c r="B115" s="138" t="s">
        <v>677</v>
      </c>
      <c r="C115" s="139">
        <v>50</v>
      </c>
      <c r="D115" s="139">
        <v>14.7</v>
      </c>
      <c r="E115" s="139">
        <v>18</v>
      </c>
      <c r="F115" s="141">
        <v>18</v>
      </c>
      <c r="G115" s="140">
        <v>7.5</v>
      </c>
      <c r="H115" s="141">
        <v>7.5</v>
      </c>
      <c r="I115" s="142">
        <v>0.35499999999999998</v>
      </c>
      <c r="J115" s="141">
        <v>0.375</v>
      </c>
      <c r="K115" s="143">
        <v>0.1875</v>
      </c>
      <c r="L115" s="142">
        <v>0.56999999999999995</v>
      </c>
      <c r="M115" s="143">
        <v>0.5625</v>
      </c>
      <c r="N115" s="144">
        <v>0.97199999999999998</v>
      </c>
      <c r="O115" s="145">
        <v>1.25</v>
      </c>
      <c r="P115" s="145">
        <v>0.8125</v>
      </c>
      <c r="Q115" s="140">
        <v>6.57</v>
      </c>
      <c r="R115" s="139">
        <v>45.2</v>
      </c>
      <c r="S115" s="147">
        <v>800</v>
      </c>
      <c r="T115" s="147">
        <v>101</v>
      </c>
      <c r="U115" s="139">
        <v>88.9</v>
      </c>
      <c r="V115" s="140">
        <v>7.38</v>
      </c>
      <c r="W115" s="139">
        <v>40.1</v>
      </c>
      <c r="X115" s="139">
        <v>16.600000000000001</v>
      </c>
      <c r="Y115" s="139">
        <v>10.7</v>
      </c>
      <c r="Z115" s="140">
        <v>1.65</v>
      </c>
      <c r="AA115" s="140">
        <v>1.24</v>
      </c>
      <c r="AB115" s="147">
        <v>3040</v>
      </c>
      <c r="AC115" s="139">
        <v>32.700000000000003</v>
      </c>
      <c r="AD115" s="139">
        <v>34.9</v>
      </c>
      <c r="AE115" s="139">
        <v>17.7</v>
      </c>
      <c r="AF115" s="139">
        <v>49.9</v>
      </c>
      <c r="AG115" s="140">
        <v>1.98</v>
      </c>
      <c r="AH115" s="139">
        <v>17.399999999999999</v>
      </c>
      <c r="AI115" s="139">
        <v>57.1</v>
      </c>
      <c r="AJ115" s="139">
        <v>64.599999999999994</v>
      </c>
      <c r="AK115" s="139">
        <v>43.5</v>
      </c>
      <c r="AL115" s="139">
        <v>51</v>
      </c>
      <c r="AM115" s="141">
        <v>15.5</v>
      </c>
      <c r="AN115" s="141">
        <v>3.5</v>
      </c>
    </row>
    <row r="116" spans="1:40" x14ac:dyDescent="0.3">
      <c r="A116" s="138" t="s">
        <v>789</v>
      </c>
      <c r="B116" s="138" t="s">
        <v>677</v>
      </c>
      <c r="C116" s="139">
        <v>46</v>
      </c>
      <c r="D116" s="139">
        <v>13.5</v>
      </c>
      <c r="E116" s="139">
        <v>18.100000000000001</v>
      </c>
      <c r="F116" s="141">
        <v>18</v>
      </c>
      <c r="G116" s="140">
        <v>6.06</v>
      </c>
      <c r="H116" s="141">
        <v>6</v>
      </c>
      <c r="I116" s="142">
        <v>0.36</v>
      </c>
      <c r="J116" s="141">
        <v>0.375</v>
      </c>
      <c r="K116" s="143">
        <v>0.1875</v>
      </c>
      <c r="L116" s="142">
        <v>0.60499999999999998</v>
      </c>
      <c r="M116" s="143">
        <v>0.625</v>
      </c>
      <c r="N116" s="148">
        <v>1.01</v>
      </c>
      <c r="O116" s="145">
        <v>1.25</v>
      </c>
      <c r="P116" s="145">
        <v>0.8125</v>
      </c>
      <c r="Q116" s="140">
        <v>5.01</v>
      </c>
      <c r="R116" s="139">
        <v>44.6</v>
      </c>
      <c r="S116" s="147">
        <v>712</v>
      </c>
      <c r="T116" s="139">
        <v>90.7</v>
      </c>
      <c r="U116" s="139">
        <v>78.8</v>
      </c>
      <c r="V116" s="140">
        <v>7.25</v>
      </c>
      <c r="W116" s="139">
        <v>22.5</v>
      </c>
      <c r="X116" s="139">
        <v>11.7</v>
      </c>
      <c r="Y116" s="140">
        <v>7.43</v>
      </c>
      <c r="Z116" s="140">
        <v>1.29</v>
      </c>
      <c r="AA116" s="140">
        <v>1.22</v>
      </c>
      <c r="AB116" s="147">
        <v>1720</v>
      </c>
      <c r="AC116" s="139">
        <v>26.5</v>
      </c>
      <c r="AD116" s="139">
        <v>24.3</v>
      </c>
      <c r="AE116" s="139">
        <v>15.1</v>
      </c>
      <c r="AF116" s="139">
        <v>44.9</v>
      </c>
      <c r="AG116" s="140">
        <v>1.58</v>
      </c>
      <c r="AH116" s="139">
        <v>17.5</v>
      </c>
      <c r="AI116" s="139">
        <v>52.9</v>
      </c>
      <c r="AJ116" s="139">
        <v>59</v>
      </c>
      <c r="AK116" s="139">
        <v>42.3</v>
      </c>
      <c r="AL116" s="139">
        <v>48.3</v>
      </c>
      <c r="AM116" s="141">
        <v>15.5</v>
      </c>
      <c r="AN116" s="141">
        <v>3.5</v>
      </c>
    </row>
    <row r="117" spans="1:40" x14ac:dyDescent="0.3">
      <c r="A117" s="138" t="s">
        <v>790</v>
      </c>
      <c r="B117" s="138" t="s">
        <v>677</v>
      </c>
      <c r="C117" s="139">
        <v>55</v>
      </c>
      <c r="D117" s="139">
        <v>16.2</v>
      </c>
      <c r="E117" s="139">
        <v>18.100000000000001</v>
      </c>
      <c r="F117" s="141">
        <v>18.125</v>
      </c>
      <c r="G117" s="140">
        <v>7.53</v>
      </c>
      <c r="H117" s="141">
        <v>7.5</v>
      </c>
      <c r="I117" s="142">
        <v>0.39</v>
      </c>
      <c r="J117" s="141">
        <v>0.375</v>
      </c>
      <c r="K117" s="143">
        <v>0.1875</v>
      </c>
      <c r="L117" s="142">
        <v>0.63</v>
      </c>
      <c r="M117" s="143">
        <v>0.625</v>
      </c>
      <c r="N117" s="148">
        <v>1.03</v>
      </c>
      <c r="O117" s="145">
        <v>1.3125</v>
      </c>
      <c r="P117" s="145">
        <v>0.8125</v>
      </c>
      <c r="Q117" s="140">
        <v>5.98</v>
      </c>
      <c r="R117" s="139">
        <v>41.1</v>
      </c>
      <c r="S117" s="147">
        <v>890</v>
      </c>
      <c r="T117" s="147">
        <v>112</v>
      </c>
      <c r="U117" s="139">
        <v>98.3</v>
      </c>
      <c r="V117" s="140">
        <v>7.41</v>
      </c>
      <c r="W117" s="139">
        <v>44.9</v>
      </c>
      <c r="X117" s="139">
        <v>18.5</v>
      </c>
      <c r="Y117" s="139">
        <v>11.9</v>
      </c>
      <c r="Z117" s="140">
        <v>1.67</v>
      </c>
      <c r="AA117" s="140">
        <v>1.66</v>
      </c>
      <c r="AB117" s="147">
        <v>3430</v>
      </c>
      <c r="AC117" s="139">
        <v>32.9</v>
      </c>
      <c r="AD117" s="139">
        <v>39</v>
      </c>
      <c r="AE117" s="139">
        <v>19.600000000000001</v>
      </c>
      <c r="AF117" s="139">
        <v>55.3</v>
      </c>
      <c r="AG117" s="140">
        <v>2</v>
      </c>
      <c r="AH117" s="139">
        <v>17.5</v>
      </c>
      <c r="AI117" s="139">
        <v>57.3</v>
      </c>
      <c r="AJ117" s="139">
        <v>64.8</v>
      </c>
      <c r="AK117" s="139">
        <v>43.7</v>
      </c>
      <c r="AL117" s="139">
        <v>51.3</v>
      </c>
      <c r="AM117" s="141">
        <v>15.5</v>
      </c>
      <c r="AN117" s="141">
        <v>3.5</v>
      </c>
    </row>
    <row r="118" spans="1:40" x14ac:dyDescent="0.3">
      <c r="A118" s="138" t="s">
        <v>791</v>
      </c>
      <c r="B118" s="138" t="s">
        <v>677</v>
      </c>
      <c r="C118" s="139">
        <v>60</v>
      </c>
      <c r="D118" s="139">
        <v>17.600000000000001</v>
      </c>
      <c r="E118" s="139">
        <v>18.2</v>
      </c>
      <c r="F118" s="141">
        <v>18.25</v>
      </c>
      <c r="G118" s="140">
        <v>7.56</v>
      </c>
      <c r="H118" s="141">
        <v>7.5</v>
      </c>
      <c r="I118" s="142">
        <v>0.41499999999999998</v>
      </c>
      <c r="J118" s="141">
        <v>0.4375</v>
      </c>
      <c r="K118" s="143">
        <v>0.25</v>
      </c>
      <c r="L118" s="142">
        <v>0.69499999999999995</v>
      </c>
      <c r="M118" s="143">
        <v>0.6875</v>
      </c>
      <c r="N118" s="148">
        <v>1.1000000000000001</v>
      </c>
      <c r="O118" s="145">
        <v>1.375</v>
      </c>
      <c r="P118" s="145">
        <v>0.8125</v>
      </c>
      <c r="Q118" s="140">
        <v>5.44</v>
      </c>
      <c r="R118" s="139">
        <v>38.700000000000003</v>
      </c>
      <c r="S118" s="147">
        <v>984</v>
      </c>
      <c r="T118" s="147">
        <v>123</v>
      </c>
      <c r="U118" s="147">
        <v>108</v>
      </c>
      <c r="V118" s="140">
        <v>7.47</v>
      </c>
      <c r="W118" s="139">
        <v>50.1</v>
      </c>
      <c r="X118" s="139">
        <v>20.6</v>
      </c>
      <c r="Y118" s="139">
        <v>13.3</v>
      </c>
      <c r="Z118" s="140">
        <v>1.68</v>
      </c>
      <c r="AA118" s="140">
        <v>2.17</v>
      </c>
      <c r="AB118" s="147">
        <v>3850</v>
      </c>
      <c r="AC118" s="139">
        <v>33.1</v>
      </c>
      <c r="AD118" s="139">
        <v>43.5</v>
      </c>
      <c r="AE118" s="139">
        <v>21.7</v>
      </c>
      <c r="AF118" s="139">
        <v>60.6</v>
      </c>
      <c r="AG118" s="140">
        <v>2.02</v>
      </c>
      <c r="AH118" s="139">
        <v>17.5</v>
      </c>
      <c r="AI118" s="139">
        <v>57.5</v>
      </c>
      <c r="AJ118" s="139">
        <v>65.099999999999994</v>
      </c>
      <c r="AK118" s="139">
        <v>44</v>
      </c>
      <c r="AL118" s="139">
        <v>51.5</v>
      </c>
      <c r="AM118" s="141">
        <v>15.5</v>
      </c>
      <c r="AN118" s="141">
        <v>3.5</v>
      </c>
    </row>
    <row r="119" spans="1:40" x14ac:dyDescent="0.3">
      <c r="A119" s="138" t="s">
        <v>792</v>
      </c>
      <c r="B119" s="138" t="s">
        <v>677</v>
      </c>
      <c r="C119" s="139">
        <v>76</v>
      </c>
      <c r="D119" s="139">
        <v>22.3</v>
      </c>
      <c r="E119" s="139">
        <v>18.2</v>
      </c>
      <c r="F119" s="141">
        <v>18.25</v>
      </c>
      <c r="G119" s="139">
        <v>11</v>
      </c>
      <c r="H119" s="141">
        <v>11</v>
      </c>
      <c r="I119" s="142">
        <v>0.42499999999999999</v>
      </c>
      <c r="J119" s="141">
        <v>0.4375</v>
      </c>
      <c r="K119" s="143">
        <v>0.25</v>
      </c>
      <c r="L119" s="142">
        <v>0.68</v>
      </c>
      <c r="M119" s="143">
        <v>0.6875</v>
      </c>
      <c r="N119" s="148">
        <v>1.08</v>
      </c>
      <c r="O119" s="145">
        <v>1.5625</v>
      </c>
      <c r="P119" s="145">
        <v>1.0625</v>
      </c>
      <c r="Q119" s="140">
        <v>8.11</v>
      </c>
      <c r="R119" s="139">
        <v>37.799999999999997</v>
      </c>
      <c r="S119" s="147">
        <v>1330</v>
      </c>
      <c r="T119" s="147">
        <v>163</v>
      </c>
      <c r="U119" s="147">
        <v>146</v>
      </c>
      <c r="V119" s="140">
        <v>7.73</v>
      </c>
      <c r="W119" s="147">
        <v>152</v>
      </c>
      <c r="X119" s="139">
        <v>42.2</v>
      </c>
      <c r="Y119" s="139">
        <v>27.6</v>
      </c>
      <c r="Z119" s="140">
        <v>2.61</v>
      </c>
      <c r="AA119" s="140">
        <v>2.83</v>
      </c>
      <c r="AB119" s="147">
        <v>11700</v>
      </c>
      <c r="AC119" s="139">
        <v>48.2</v>
      </c>
      <c r="AD119" s="139">
        <v>90.1</v>
      </c>
      <c r="AE119" s="139">
        <v>31.5</v>
      </c>
      <c r="AF119" s="139">
        <v>80.599999999999994</v>
      </c>
      <c r="AG119" s="140">
        <v>3.02</v>
      </c>
      <c r="AH119" s="139">
        <v>17.5</v>
      </c>
      <c r="AI119" s="139">
        <v>67.900000000000006</v>
      </c>
      <c r="AJ119" s="139">
        <v>78.900000000000006</v>
      </c>
      <c r="AK119" s="139">
        <v>47.4</v>
      </c>
      <c r="AL119" s="139">
        <v>58.4</v>
      </c>
      <c r="AM119" s="141">
        <v>15.125</v>
      </c>
      <c r="AN119" s="141">
        <v>5.5</v>
      </c>
    </row>
    <row r="120" spans="1:40" x14ac:dyDescent="0.3">
      <c r="A120" s="138" t="s">
        <v>793</v>
      </c>
      <c r="B120" s="138" t="s">
        <v>675</v>
      </c>
      <c r="C120" s="147">
        <v>398</v>
      </c>
      <c r="D120" s="147">
        <v>117</v>
      </c>
      <c r="E120" s="139">
        <v>18.3</v>
      </c>
      <c r="F120" s="141">
        <v>18.25</v>
      </c>
      <c r="G120" s="139">
        <v>16.600000000000001</v>
      </c>
      <c r="H120" s="141">
        <v>16.625</v>
      </c>
      <c r="I120" s="140">
        <v>1.77</v>
      </c>
      <c r="J120" s="141">
        <v>1.75</v>
      </c>
      <c r="K120" s="143">
        <v>0.875</v>
      </c>
      <c r="L120" s="140">
        <v>2.85</v>
      </c>
      <c r="M120" s="143">
        <v>2.875</v>
      </c>
      <c r="N120" s="148">
        <v>3.44</v>
      </c>
      <c r="O120" s="145">
        <v>4.125</v>
      </c>
      <c r="P120" s="145">
        <v>2.125</v>
      </c>
      <c r="Q120" s="140">
        <v>2.92</v>
      </c>
      <c r="R120" s="140">
        <v>6.44</v>
      </c>
      <c r="S120" s="147">
        <v>6000</v>
      </c>
      <c r="T120" s="147">
        <v>801</v>
      </c>
      <c r="U120" s="147">
        <v>656</v>
      </c>
      <c r="V120" s="140">
        <v>7.16</v>
      </c>
      <c r="W120" s="147">
        <v>2170</v>
      </c>
      <c r="X120" s="147">
        <v>402</v>
      </c>
      <c r="Y120" s="147">
        <v>262</v>
      </c>
      <c r="Z120" s="140">
        <v>4.3099999999999996</v>
      </c>
      <c r="AA120" s="147">
        <v>273</v>
      </c>
      <c r="AB120" s="147">
        <v>129000</v>
      </c>
      <c r="AC120" s="139">
        <v>64.099999999999994</v>
      </c>
      <c r="AD120" s="147">
        <v>758</v>
      </c>
      <c r="AE120" s="147">
        <v>163</v>
      </c>
      <c r="AF120" s="147">
        <v>401</v>
      </c>
      <c r="AG120" s="140">
        <v>5.05</v>
      </c>
      <c r="AH120" s="139">
        <v>15.5</v>
      </c>
      <c r="AI120" s="139">
        <v>81.8</v>
      </c>
      <c r="AJ120" s="139">
        <v>98.4</v>
      </c>
      <c r="AK120" s="139">
        <v>53.2</v>
      </c>
      <c r="AL120" s="139">
        <v>69.8</v>
      </c>
      <c r="AM120" s="141">
        <v>10</v>
      </c>
      <c r="AN120" s="141">
        <v>7.5</v>
      </c>
    </row>
    <row r="121" spans="1:40" x14ac:dyDescent="0.3">
      <c r="A121" s="138" t="s">
        <v>794</v>
      </c>
      <c r="B121" s="138" t="s">
        <v>677</v>
      </c>
      <c r="C121" s="139">
        <v>65</v>
      </c>
      <c r="D121" s="139">
        <v>19.100000000000001</v>
      </c>
      <c r="E121" s="139">
        <v>18.399999999999999</v>
      </c>
      <c r="F121" s="141">
        <v>18.375</v>
      </c>
      <c r="G121" s="140">
        <v>7.59</v>
      </c>
      <c r="H121" s="141">
        <v>7.625</v>
      </c>
      <c r="I121" s="142">
        <v>0.45</v>
      </c>
      <c r="J121" s="141">
        <v>0.4375</v>
      </c>
      <c r="K121" s="143">
        <v>0.25</v>
      </c>
      <c r="L121" s="142">
        <v>0.75</v>
      </c>
      <c r="M121" s="143">
        <v>0.75</v>
      </c>
      <c r="N121" s="148">
        <v>1.1499999999999999</v>
      </c>
      <c r="O121" s="145">
        <v>1.4375</v>
      </c>
      <c r="P121" s="145">
        <v>0.875</v>
      </c>
      <c r="Q121" s="140">
        <v>5.0599999999999996</v>
      </c>
      <c r="R121" s="139">
        <v>35.700000000000003</v>
      </c>
      <c r="S121" s="147">
        <v>1070</v>
      </c>
      <c r="T121" s="147">
        <v>133</v>
      </c>
      <c r="U121" s="147">
        <v>117</v>
      </c>
      <c r="V121" s="140">
        <v>7.49</v>
      </c>
      <c r="W121" s="139">
        <v>54.8</v>
      </c>
      <c r="X121" s="139">
        <v>22.5</v>
      </c>
      <c r="Y121" s="139">
        <v>14.4</v>
      </c>
      <c r="Z121" s="140">
        <v>1.69</v>
      </c>
      <c r="AA121" s="140">
        <v>2.73</v>
      </c>
      <c r="AB121" s="147">
        <v>4240</v>
      </c>
      <c r="AC121" s="139">
        <v>33.5</v>
      </c>
      <c r="AD121" s="139">
        <v>47.7</v>
      </c>
      <c r="AE121" s="139">
        <v>23.6</v>
      </c>
      <c r="AF121" s="139">
        <v>66.3</v>
      </c>
      <c r="AG121" s="140">
        <v>2.0299999999999998</v>
      </c>
      <c r="AH121" s="139">
        <v>17.7</v>
      </c>
      <c r="AI121" s="139">
        <v>58</v>
      </c>
      <c r="AJ121" s="139">
        <v>65.599999999999994</v>
      </c>
      <c r="AK121" s="139">
        <v>44.4</v>
      </c>
      <c r="AL121" s="139">
        <v>52</v>
      </c>
      <c r="AM121" s="141">
        <v>15.5</v>
      </c>
      <c r="AN121" s="141">
        <v>3.5</v>
      </c>
    </row>
    <row r="122" spans="1:40" x14ac:dyDescent="0.3">
      <c r="A122" s="138" t="s">
        <v>795</v>
      </c>
      <c r="B122" s="138" t="s">
        <v>677</v>
      </c>
      <c r="C122" s="139">
        <v>86</v>
      </c>
      <c r="D122" s="139">
        <v>25.3</v>
      </c>
      <c r="E122" s="139">
        <v>18.399999999999999</v>
      </c>
      <c r="F122" s="141">
        <v>18.375</v>
      </c>
      <c r="G122" s="139">
        <v>11.1</v>
      </c>
      <c r="H122" s="141">
        <v>11.125</v>
      </c>
      <c r="I122" s="142">
        <v>0.48</v>
      </c>
      <c r="J122" s="141">
        <v>0.5</v>
      </c>
      <c r="K122" s="143">
        <v>0.25</v>
      </c>
      <c r="L122" s="142">
        <v>0.77</v>
      </c>
      <c r="M122" s="143">
        <v>0.75</v>
      </c>
      <c r="N122" s="148">
        <v>1.17</v>
      </c>
      <c r="O122" s="145">
        <v>1.625</v>
      </c>
      <c r="P122" s="145">
        <v>1.0625</v>
      </c>
      <c r="Q122" s="140">
        <v>7.2</v>
      </c>
      <c r="R122" s="139">
        <v>33.4</v>
      </c>
      <c r="S122" s="147">
        <v>1530</v>
      </c>
      <c r="T122" s="147">
        <v>186</v>
      </c>
      <c r="U122" s="147">
        <v>166</v>
      </c>
      <c r="V122" s="140">
        <v>7.77</v>
      </c>
      <c r="W122" s="147">
        <v>175</v>
      </c>
      <c r="X122" s="139">
        <v>48.4</v>
      </c>
      <c r="Y122" s="139">
        <v>31.6</v>
      </c>
      <c r="Z122" s="140">
        <v>2.63</v>
      </c>
      <c r="AA122" s="140">
        <v>4.0999999999999996</v>
      </c>
      <c r="AB122" s="147">
        <v>13600</v>
      </c>
      <c r="AC122" s="139">
        <v>48.9</v>
      </c>
      <c r="AD122" s="147">
        <v>105</v>
      </c>
      <c r="AE122" s="139">
        <v>36</v>
      </c>
      <c r="AF122" s="139">
        <v>92.4</v>
      </c>
      <c r="AG122" s="140">
        <v>3.05</v>
      </c>
      <c r="AH122" s="139">
        <v>17.600000000000001</v>
      </c>
      <c r="AI122" s="139">
        <v>68.400000000000006</v>
      </c>
      <c r="AJ122" s="139">
        <v>79.5</v>
      </c>
      <c r="AK122" s="139">
        <v>47.9</v>
      </c>
      <c r="AL122" s="139">
        <v>59</v>
      </c>
      <c r="AM122" s="141">
        <v>15.125</v>
      </c>
      <c r="AN122" s="141">
        <v>5.5</v>
      </c>
    </row>
    <row r="123" spans="1:40" x14ac:dyDescent="0.3">
      <c r="A123" s="138" t="s">
        <v>796</v>
      </c>
      <c r="B123" s="138" t="s">
        <v>677</v>
      </c>
      <c r="C123" s="139">
        <v>71</v>
      </c>
      <c r="D123" s="139">
        <v>20.9</v>
      </c>
      <c r="E123" s="139">
        <v>18.5</v>
      </c>
      <c r="F123" s="141">
        <v>18.5</v>
      </c>
      <c r="G123" s="140">
        <v>7.64</v>
      </c>
      <c r="H123" s="141">
        <v>7.625</v>
      </c>
      <c r="I123" s="142">
        <v>0.495</v>
      </c>
      <c r="J123" s="141">
        <v>0.5</v>
      </c>
      <c r="K123" s="143">
        <v>0.25</v>
      </c>
      <c r="L123" s="142">
        <v>0.81</v>
      </c>
      <c r="M123" s="143">
        <v>0.8125</v>
      </c>
      <c r="N123" s="148">
        <v>1.21</v>
      </c>
      <c r="O123" s="145">
        <v>1.5</v>
      </c>
      <c r="P123" s="145">
        <v>0.875</v>
      </c>
      <c r="Q123" s="140">
        <v>4.71</v>
      </c>
      <c r="R123" s="139">
        <v>32.4</v>
      </c>
      <c r="S123" s="147">
        <v>1170</v>
      </c>
      <c r="T123" s="147">
        <v>146</v>
      </c>
      <c r="U123" s="147">
        <v>127</v>
      </c>
      <c r="V123" s="140">
        <v>7.5</v>
      </c>
      <c r="W123" s="139">
        <v>60.3</v>
      </c>
      <c r="X123" s="139">
        <v>24.7</v>
      </c>
      <c r="Y123" s="139">
        <v>15.8</v>
      </c>
      <c r="Z123" s="140">
        <v>1.7</v>
      </c>
      <c r="AA123" s="140">
        <v>3.49</v>
      </c>
      <c r="AB123" s="147">
        <v>4700</v>
      </c>
      <c r="AC123" s="139">
        <v>33.799999999999997</v>
      </c>
      <c r="AD123" s="139">
        <v>52.3</v>
      </c>
      <c r="AE123" s="139">
        <v>25.6</v>
      </c>
      <c r="AF123" s="139">
        <v>72.400000000000006</v>
      </c>
      <c r="AG123" s="140">
        <v>2.0499999999999998</v>
      </c>
      <c r="AH123" s="139">
        <v>17.7</v>
      </c>
      <c r="AI123" s="139">
        <v>58.3</v>
      </c>
      <c r="AJ123" s="139">
        <v>65.900000000000006</v>
      </c>
      <c r="AK123" s="139">
        <v>44.6</v>
      </c>
      <c r="AL123" s="139">
        <v>52.3</v>
      </c>
      <c r="AM123" s="141">
        <v>15.5</v>
      </c>
      <c r="AN123" s="141">
        <v>3.5</v>
      </c>
    </row>
    <row r="124" spans="1:40" x14ac:dyDescent="0.3">
      <c r="A124" s="138" t="s">
        <v>797</v>
      </c>
      <c r="B124" s="138" t="s">
        <v>677</v>
      </c>
      <c r="C124" s="139">
        <v>97</v>
      </c>
      <c r="D124" s="139">
        <v>28.5</v>
      </c>
      <c r="E124" s="139">
        <v>18.600000000000001</v>
      </c>
      <c r="F124" s="141">
        <v>18.625</v>
      </c>
      <c r="G124" s="139">
        <v>11.1</v>
      </c>
      <c r="H124" s="141">
        <v>11.125</v>
      </c>
      <c r="I124" s="142">
        <v>0.53500000000000003</v>
      </c>
      <c r="J124" s="141">
        <v>0.5625</v>
      </c>
      <c r="K124" s="143">
        <v>0.3125</v>
      </c>
      <c r="L124" s="142">
        <v>0.87</v>
      </c>
      <c r="M124" s="143">
        <v>0.875</v>
      </c>
      <c r="N124" s="148">
        <v>1.27</v>
      </c>
      <c r="O124" s="145">
        <v>1.75</v>
      </c>
      <c r="P124" s="145">
        <v>1.125</v>
      </c>
      <c r="Q124" s="140">
        <v>6.41</v>
      </c>
      <c r="R124" s="139">
        <v>30</v>
      </c>
      <c r="S124" s="147">
        <v>1750</v>
      </c>
      <c r="T124" s="147">
        <v>211</v>
      </c>
      <c r="U124" s="147">
        <v>188</v>
      </c>
      <c r="V124" s="140">
        <v>7.82</v>
      </c>
      <c r="W124" s="147">
        <v>201</v>
      </c>
      <c r="X124" s="139">
        <v>55.3</v>
      </c>
      <c r="Y124" s="139">
        <v>36.1</v>
      </c>
      <c r="Z124" s="140">
        <v>2.65</v>
      </c>
      <c r="AA124" s="140">
        <v>5.86</v>
      </c>
      <c r="AB124" s="147">
        <v>15800</v>
      </c>
      <c r="AC124" s="139">
        <v>49.2</v>
      </c>
      <c r="AD124" s="147">
        <v>119</v>
      </c>
      <c r="AE124" s="139">
        <v>40.700000000000003</v>
      </c>
      <c r="AF124" s="147">
        <v>105</v>
      </c>
      <c r="AG124" s="140">
        <v>3.08</v>
      </c>
      <c r="AH124" s="139">
        <v>17.7</v>
      </c>
      <c r="AI124" s="139">
        <v>68.7</v>
      </c>
      <c r="AJ124" s="139">
        <v>79.8</v>
      </c>
      <c r="AK124" s="139">
        <v>48.3</v>
      </c>
      <c r="AL124" s="139">
        <v>59.4</v>
      </c>
      <c r="AM124" s="141">
        <v>15.125</v>
      </c>
      <c r="AN124" s="141">
        <v>5.5</v>
      </c>
    </row>
    <row r="125" spans="1:40" x14ac:dyDescent="0.3">
      <c r="A125" s="138" t="s">
        <v>799</v>
      </c>
      <c r="B125" s="138" t="s">
        <v>675</v>
      </c>
      <c r="C125" s="147">
        <v>426</v>
      </c>
      <c r="D125" s="147">
        <v>125</v>
      </c>
      <c r="E125" s="139">
        <v>18.7</v>
      </c>
      <c r="F125" s="141">
        <v>18.625</v>
      </c>
      <c r="G125" s="139">
        <v>16.7</v>
      </c>
      <c r="H125" s="141">
        <v>16.75</v>
      </c>
      <c r="I125" s="140">
        <v>1.88</v>
      </c>
      <c r="J125" s="141">
        <v>1.875</v>
      </c>
      <c r="K125" s="143">
        <v>0.9375</v>
      </c>
      <c r="L125" s="140">
        <v>3.04</v>
      </c>
      <c r="M125" s="143">
        <v>3.0625</v>
      </c>
      <c r="N125" s="148">
        <v>3.63</v>
      </c>
      <c r="O125" s="145">
        <v>4.3125</v>
      </c>
      <c r="P125" s="145">
        <v>2.125</v>
      </c>
      <c r="Q125" s="140">
        <v>2.75</v>
      </c>
      <c r="R125" s="140">
        <v>6.08</v>
      </c>
      <c r="S125" s="147">
        <v>6600</v>
      </c>
      <c r="T125" s="147">
        <v>869</v>
      </c>
      <c r="U125" s="147">
        <v>706</v>
      </c>
      <c r="V125" s="140">
        <v>7.26</v>
      </c>
      <c r="W125" s="147">
        <v>2360</v>
      </c>
      <c r="X125" s="147">
        <v>434</v>
      </c>
      <c r="Y125" s="147">
        <v>283</v>
      </c>
      <c r="Z125" s="140">
        <v>4.34</v>
      </c>
      <c r="AA125" s="147">
        <v>331</v>
      </c>
      <c r="AB125" s="147">
        <v>144000</v>
      </c>
      <c r="AC125" s="139">
        <v>65.400000000000006</v>
      </c>
      <c r="AD125" s="147">
        <v>830</v>
      </c>
      <c r="AE125" s="147">
        <v>176</v>
      </c>
      <c r="AF125" s="147">
        <v>435</v>
      </c>
      <c r="AG125" s="140">
        <v>5.1100000000000003</v>
      </c>
      <c r="AH125" s="139">
        <v>15.7</v>
      </c>
      <c r="AI125" s="139">
        <v>82.7</v>
      </c>
      <c r="AJ125" s="139">
        <v>99.4</v>
      </c>
      <c r="AK125" s="139">
        <v>54.1</v>
      </c>
      <c r="AL125" s="139">
        <v>70.8</v>
      </c>
      <c r="AM125" s="141">
        <v>10</v>
      </c>
      <c r="AN125" s="141">
        <v>7.5</v>
      </c>
    </row>
    <row r="126" spans="1:40" x14ac:dyDescent="0.3">
      <c r="A126" s="138" t="s">
        <v>798</v>
      </c>
      <c r="B126" s="138" t="s">
        <v>677</v>
      </c>
      <c r="C126" s="147">
        <v>106</v>
      </c>
      <c r="D126" s="139">
        <v>31.1</v>
      </c>
      <c r="E126" s="139">
        <v>18.7</v>
      </c>
      <c r="F126" s="141">
        <v>18.75</v>
      </c>
      <c r="G126" s="139">
        <v>11.2</v>
      </c>
      <c r="H126" s="141">
        <v>11.25</v>
      </c>
      <c r="I126" s="142">
        <v>0.59</v>
      </c>
      <c r="J126" s="141">
        <v>0.5625</v>
      </c>
      <c r="K126" s="143">
        <v>0.3125</v>
      </c>
      <c r="L126" s="142">
        <v>0.94</v>
      </c>
      <c r="M126" s="143">
        <v>0.9375</v>
      </c>
      <c r="N126" s="148">
        <v>1.34</v>
      </c>
      <c r="O126" s="145">
        <v>1.8125</v>
      </c>
      <c r="P126" s="145">
        <v>1.125</v>
      </c>
      <c r="Q126" s="140">
        <v>5.96</v>
      </c>
      <c r="R126" s="139">
        <v>27.2</v>
      </c>
      <c r="S126" s="147">
        <v>1910</v>
      </c>
      <c r="T126" s="147">
        <v>230</v>
      </c>
      <c r="U126" s="147">
        <v>204</v>
      </c>
      <c r="V126" s="140">
        <v>7.84</v>
      </c>
      <c r="W126" s="147">
        <v>220</v>
      </c>
      <c r="X126" s="139">
        <v>60.5</v>
      </c>
      <c r="Y126" s="139">
        <v>39.4</v>
      </c>
      <c r="Z126" s="140">
        <v>2.66</v>
      </c>
      <c r="AA126" s="140">
        <v>7.48</v>
      </c>
      <c r="AB126" s="147">
        <v>17400</v>
      </c>
      <c r="AC126" s="139">
        <v>49.7</v>
      </c>
      <c r="AD126" s="147">
        <v>131</v>
      </c>
      <c r="AE126" s="139">
        <v>44.3</v>
      </c>
      <c r="AF126" s="147">
        <v>114</v>
      </c>
      <c r="AG126" s="140">
        <v>3.1</v>
      </c>
      <c r="AH126" s="139">
        <v>17.8</v>
      </c>
      <c r="AI126" s="139">
        <v>69.099999999999994</v>
      </c>
      <c r="AJ126" s="139">
        <v>80.3</v>
      </c>
      <c r="AK126" s="139">
        <v>48.6</v>
      </c>
      <c r="AL126" s="139">
        <v>59.8</v>
      </c>
      <c r="AM126" s="141">
        <v>15.125</v>
      </c>
      <c r="AN126" s="141">
        <v>5.5</v>
      </c>
    </row>
    <row r="127" spans="1:40" x14ac:dyDescent="0.3">
      <c r="A127" s="138" t="s">
        <v>800</v>
      </c>
      <c r="B127" s="138" t="s">
        <v>677</v>
      </c>
      <c r="C127" s="147">
        <v>119</v>
      </c>
      <c r="D127" s="139">
        <v>35.1</v>
      </c>
      <c r="E127" s="139">
        <v>19</v>
      </c>
      <c r="F127" s="141">
        <v>19</v>
      </c>
      <c r="G127" s="139">
        <v>11.3</v>
      </c>
      <c r="H127" s="141">
        <v>11.25</v>
      </c>
      <c r="I127" s="142">
        <v>0.65500000000000003</v>
      </c>
      <c r="J127" s="141">
        <v>0.625</v>
      </c>
      <c r="K127" s="143">
        <v>0.3125</v>
      </c>
      <c r="L127" s="140">
        <v>1.06</v>
      </c>
      <c r="M127" s="143">
        <v>1.0625</v>
      </c>
      <c r="N127" s="148">
        <v>1.46</v>
      </c>
      <c r="O127" s="145">
        <v>1.9375</v>
      </c>
      <c r="P127" s="145">
        <v>1.1875</v>
      </c>
      <c r="Q127" s="140">
        <v>5.31</v>
      </c>
      <c r="R127" s="139">
        <v>24.5</v>
      </c>
      <c r="S127" s="147">
        <v>2190</v>
      </c>
      <c r="T127" s="147">
        <v>262</v>
      </c>
      <c r="U127" s="147">
        <v>231</v>
      </c>
      <c r="V127" s="140">
        <v>7.9</v>
      </c>
      <c r="W127" s="147">
        <v>253</v>
      </c>
      <c r="X127" s="139">
        <v>69.099999999999994</v>
      </c>
      <c r="Y127" s="139">
        <v>44.9</v>
      </c>
      <c r="Z127" s="140">
        <v>2.69</v>
      </c>
      <c r="AA127" s="139">
        <v>10.6</v>
      </c>
      <c r="AB127" s="147">
        <v>20300</v>
      </c>
      <c r="AC127" s="139">
        <v>50.7</v>
      </c>
      <c r="AD127" s="147">
        <v>152</v>
      </c>
      <c r="AE127" s="139">
        <v>50.6</v>
      </c>
      <c r="AF127" s="147">
        <v>131</v>
      </c>
      <c r="AG127" s="140">
        <v>3.13</v>
      </c>
      <c r="AH127" s="139">
        <v>17.899999999999999</v>
      </c>
      <c r="AI127" s="139">
        <v>69.900000000000006</v>
      </c>
      <c r="AJ127" s="139">
        <v>81.2</v>
      </c>
      <c r="AK127" s="139">
        <v>49.3</v>
      </c>
      <c r="AL127" s="139">
        <v>60.6</v>
      </c>
      <c r="AM127" s="141">
        <v>15.125</v>
      </c>
      <c r="AN127" s="141">
        <v>5.5</v>
      </c>
    </row>
    <row r="128" spans="1:40" x14ac:dyDescent="0.3">
      <c r="A128" s="138" t="s">
        <v>801</v>
      </c>
      <c r="B128" s="138" t="s">
        <v>675</v>
      </c>
      <c r="C128" s="147">
        <v>455</v>
      </c>
      <c r="D128" s="147">
        <v>134</v>
      </c>
      <c r="E128" s="139">
        <v>19</v>
      </c>
      <c r="F128" s="141">
        <v>19</v>
      </c>
      <c r="G128" s="139">
        <v>16.8</v>
      </c>
      <c r="H128" s="141">
        <v>16.875</v>
      </c>
      <c r="I128" s="140">
        <v>2.02</v>
      </c>
      <c r="J128" s="141">
        <v>2</v>
      </c>
      <c r="K128" s="143">
        <v>1</v>
      </c>
      <c r="L128" s="140">
        <v>3.21</v>
      </c>
      <c r="M128" s="143">
        <v>3.1875</v>
      </c>
      <c r="N128" s="148">
        <v>3.81</v>
      </c>
      <c r="O128" s="145">
        <v>4.5</v>
      </c>
      <c r="P128" s="145">
        <v>2.25</v>
      </c>
      <c r="Q128" s="140">
        <v>2.62</v>
      </c>
      <c r="R128" s="140">
        <v>5.66</v>
      </c>
      <c r="S128" s="147">
        <v>7190</v>
      </c>
      <c r="T128" s="147">
        <v>936</v>
      </c>
      <c r="U128" s="147">
        <v>756</v>
      </c>
      <c r="V128" s="140">
        <v>7.33</v>
      </c>
      <c r="W128" s="147">
        <v>2560</v>
      </c>
      <c r="X128" s="147">
        <v>468</v>
      </c>
      <c r="Y128" s="147">
        <v>304</v>
      </c>
      <c r="Z128" s="140">
        <v>4.38</v>
      </c>
      <c r="AA128" s="147">
        <v>395</v>
      </c>
      <c r="AB128" s="147">
        <v>160000</v>
      </c>
      <c r="AC128" s="139">
        <v>66.3</v>
      </c>
      <c r="AD128" s="147">
        <v>894</v>
      </c>
      <c r="AE128" s="147">
        <v>187</v>
      </c>
      <c r="AF128" s="147">
        <v>466</v>
      </c>
      <c r="AG128" s="140">
        <v>5.17</v>
      </c>
      <c r="AH128" s="139">
        <v>15.8</v>
      </c>
      <c r="AI128" s="139">
        <v>83.2</v>
      </c>
      <c r="AJ128" s="147">
        <v>100</v>
      </c>
      <c r="AK128" s="139">
        <v>54.8</v>
      </c>
      <c r="AL128" s="139">
        <v>71.599999999999994</v>
      </c>
      <c r="AM128" s="141">
        <v>10</v>
      </c>
      <c r="AN128" s="141">
        <v>7.5</v>
      </c>
    </row>
    <row r="129" spans="1:40" x14ac:dyDescent="0.3">
      <c r="A129" s="138" t="s">
        <v>802</v>
      </c>
      <c r="B129" s="138" t="s">
        <v>677</v>
      </c>
      <c r="C129" s="147">
        <v>130</v>
      </c>
      <c r="D129" s="139">
        <v>38.299999999999997</v>
      </c>
      <c r="E129" s="139">
        <v>19.3</v>
      </c>
      <c r="F129" s="141">
        <v>19.25</v>
      </c>
      <c r="G129" s="139">
        <v>11.2</v>
      </c>
      <c r="H129" s="141">
        <v>11.125</v>
      </c>
      <c r="I129" s="142">
        <v>0.67</v>
      </c>
      <c r="J129" s="141">
        <v>0.6875</v>
      </c>
      <c r="K129" s="143">
        <v>0.375</v>
      </c>
      <c r="L129" s="140">
        <v>1.2</v>
      </c>
      <c r="M129" s="143">
        <v>1.1875</v>
      </c>
      <c r="N129" s="148">
        <v>1.6</v>
      </c>
      <c r="O129" s="145">
        <v>2.0625</v>
      </c>
      <c r="P129" s="145">
        <v>1.1875</v>
      </c>
      <c r="Q129" s="140">
        <v>4.6500000000000004</v>
      </c>
      <c r="R129" s="139">
        <v>23.9</v>
      </c>
      <c r="S129" s="147">
        <v>2460</v>
      </c>
      <c r="T129" s="147">
        <v>290</v>
      </c>
      <c r="U129" s="147">
        <v>256</v>
      </c>
      <c r="V129" s="140">
        <v>8.0299999999999994</v>
      </c>
      <c r="W129" s="147">
        <v>278</v>
      </c>
      <c r="X129" s="139">
        <v>76.7</v>
      </c>
      <c r="Y129" s="139">
        <v>49.9</v>
      </c>
      <c r="Z129" s="140">
        <v>2.7</v>
      </c>
      <c r="AA129" s="139">
        <v>14.5</v>
      </c>
      <c r="AB129" s="147">
        <v>22700</v>
      </c>
      <c r="AC129" s="139">
        <v>50.7</v>
      </c>
      <c r="AD129" s="147">
        <v>170</v>
      </c>
      <c r="AE129" s="139">
        <v>57.2</v>
      </c>
      <c r="AF129" s="147">
        <v>146</v>
      </c>
      <c r="AG129" s="140">
        <v>3.13</v>
      </c>
      <c r="AH129" s="139">
        <v>18.100000000000001</v>
      </c>
      <c r="AI129" s="139">
        <v>70.2</v>
      </c>
      <c r="AJ129" s="139">
        <v>81.400000000000006</v>
      </c>
      <c r="AK129" s="139">
        <v>49.8</v>
      </c>
      <c r="AL129" s="139">
        <v>61</v>
      </c>
      <c r="AM129" s="141">
        <v>15.125</v>
      </c>
      <c r="AN129" s="141">
        <v>5.5</v>
      </c>
    </row>
    <row r="130" spans="1:40" x14ac:dyDescent="0.3">
      <c r="A130" s="138" t="s">
        <v>803</v>
      </c>
      <c r="B130" s="138" t="s">
        <v>677</v>
      </c>
      <c r="C130" s="147">
        <v>143</v>
      </c>
      <c r="D130" s="139">
        <v>42</v>
      </c>
      <c r="E130" s="139">
        <v>19.5</v>
      </c>
      <c r="F130" s="141">
        <v>19.5</v>
      </c>
      <c r="G130" s="139">
        <v>11.2</v>
      </c>
      <c r="H130" s="141">
        <v>11.25</v>
      </c>
      <c r="I130" s="142">
        <v>0.73</v>
      </c>
      <c r="J130" s="141">
        <v>0.75</v>
      </c>
      <c r="K130" s="143">
        <v>0.375</v>
      </c>
      <c r="L130" s="140">
        <v>1.32</v>
      </c>
      <c r="M130" s="143">
        <v>1.3125</v>
      </c>
      <c r="N130" s="148">
        <v>1.72</v>
      </c>
      <c r="O130" s="145">
        <v>2.1875</v>
      </c>
      <c r="P130" s="145">
        <v>1.1875</v>
      </c>
      <c r="Q130" s="140">
        <v>4.25</v>
      </c>
      <c r="R130" s="139">
        <v>22</v>
      </c>
      <c r="S130" s="147">
        <v>2750</v>
      </c>
      <c r="T130" s="147">
        <v>322</v>
      </c>
      <c r="U130" s="147">
        <v>282</v>
      </c>
      <c r="V130" s="140">
        <v>8.09</v>
      </c>
      <c r="W130" s="147">
        <v>311</v>
      </c>
      <c r="X130" s="139">
        <v>85.4</v>
      </c>
      <c r="Y130" s="139">
        <v>55.5</v>
      </c>
      <c r="Z130" s="140">
        <v>2.72</v>
      </c>
      <c r="AA130" s="139">
        <v>19.2</v>
      </c>
      <c r="AB130" s="147">
        <v>25700</v>
      </c>
      <c r="AC130" s="139">
        <v>50.9</v>
      </c>
      <c r="AD130" s="147">
        <v>188</v>
      </c>
      <c r="AE130" s="139">
        <v>62.8</v>
      </c>
      <c r="AF130" s="147">
        <v>160</v>
      </c>
      <c r="AG130" s="140">
        <v>3.17</v>
      </c>
      <c r="AH130" s="139">
        <v>18.2</v>
      </c>
      <c r="AI130" s="139">
        <v>70.400000000000006</v>
      </c>
      <c r="AJ130" s="139">
        <v>81.599999999999994</v>
      </c>
      <c r="AK130" s="139">
        <v>50.2</v>
      </c>
      <c r="AL130" s="139">
        <v>61.4</v>
      </c>
      <c r="AM130" s="141">
        <v>15.125</v>
      </c>
      <c r="AN130" s="141">
        <v>5.5</v>
      </c>
    </row>
    <row r="131" spans="1:40" x14ac:dyDescent="0.3">
      <c r="A131" s="138" t="s">
        <v>804</v>
      </c>
      <c r="B131" s="138" t="s">
        <v>675</v>
      </c>
      <c r="C131" s="147">
        <v>500</v>
      </c>
      <c r="D131" s="147">
        <v>147</v>
      </c>
      <c r="E131" s="139">
        <v>19.600000000000001</v>
      </c>
      <c r="F131" s="141">
        <v>19.625</v>
      </c>
      <c r="G131" s="139">
        <v>17</v>
      </c>
      <c r="H131" s="141">
        <v>17</v>
      </c>
      <c r="I131" s="140">
        <v>2.19</v>
      </c>
      <c r="J131" s="141">
        <v>2.1875</v>
      </c>
      <c r="K131" s="143">
        <v>1.125</v>
      </c>
      <c r="L131" s="140">
        <v>3.5</v>
      </c>
      <c r="M131" s="143">
        <v>3.5</v>
      </c>
      <c r="N131" s="148">
        <v>4.0999999999999996</v>
      </c>
      <c r="O131" s="145">
        <v>4.8125</v>
      </c>
      <c r="P131" s="145">
        <v>2.3125</v>
      </c>
      <c r="Q131" s="140">
        <v>2.4300000000000002</v>
      </c>
      <c r="R131" s="140">
        <v>5.21</v>
      </c>
      <c r="S131" s="147">
        <v>8210</v>
      </c>
      <c r="T131" s="147">
        <v>1050</v>
      </c>
      <c r="U131" s="147">
        <v>838</v>
      </c>
      <c r="V131" s="140">
        <v>7.48</v>
      </c>
      <c r="W131" s="147">
        <v>2880</v>
      </c>
      <c r="X131" s="147">
        <v>522</v>
      </c>
      <c r="Y131" s="147">
        <v>339</v>
      </c>
      <c r="Z131" s="140">
        <v>4.43</v>
      </c>
      <c r="AA131" s="147">
        <v>514</v>
      </c>
      <c r="AB131" s="147">
        <v>187000</v>
      </c>
      <c r="AC131" s="139">
        <v>68.400000000000006</v>
      </c>
      <c r="AD131" s="147">
        <v>1020</v>
      </c>
      <c r="AE131" s="147">
        <v>209</v>
      </c>
      <c r="AF131" s="147">
        <v>522</v>
      </c>
      <c r="AG131" s="140">
        <v>5.26</v>
      </c>
      <c r="AH131" s="139">
        <v>16.100000000000001</v>
      </c>
      <c r="AI131" s="139">
        <v>85</v>
      </c>
      <c r="AJ131" s="147">
        <v>102</v>
      </c>
      <c r="AK131" s="139">
        <v>56.2</v>
      </c>
      <c r="AL131" s="139">
        <v>73.2</v>
      </c>
      <c r="AM131" s="141">
        <v>10</v>
      </c>
      <c r="AN131" s="141">
        <v>7.5</v>
      </c>
    </row>
    <row r="132" spans="1:40" x14ac:dyDescent="0.3">
      <c r="A132" s="138" t="s">
        <v>805</v>
      </c>
      <c r="B132" s="138" t="s">
        <v>677</v>
      </c>
      <c r="C132" s="147">
        <v>158</v>
      </c>
      <c r="D132" s="139">
        <v>46.3</v>
      </c>
      <c r="E132" s="139">
        <v>19.7</v>
      </c>
      <c r="F132" s="141">
        <v>19.75</v>
      </c>
      <c r="G132" s="139">
        <v>11.3</v>
      </c>
      <c r="H132" s="141">
        <v>11.25</v>
      </c>
      <c r="I132" s="142">
        <v>0.81</v>
      </c>
      <c r="J132" s="141">
        <v>0.8125</v>
      </c>
      <c r="K132" s="143">
        <v>0.4375</v>
      </c>
      <c r="L132" s="140">
        <v>1.44</v>
      </c>
      <c r="M132" s="143">
        <v>1.4375</v>
      </c>
      <c r="N132" s="148">
        <v>1.84</v>
      </c>
      <c r="O132" s="145">
        <v>2.375</v>
      </c>
      <c r="P132" s="145">
        <v>1.25</v>
      </c>
      <c r="Q132" s="140">
        <v>3.92</v>
      </c>
      <c r="R132" s="139">
        <v>19.8</v>
      </c>
      <c r="S132" s="147">
        <v>3060</v>
      </c>
      <c r="T132" s="147">
        <v>356</v>
      </c>
      <c r="U132" s="147">
        <v>310</v>
      </c>
      <c r="V132" s="140">
        <v>8.1199999999999992</v>
      </c>
      <c r="W132" s="147">
        <v>347</v>
      </c>
      <c r="X132" s="139">
        <v>94.8</v>
      </c>
      <c r="Y132" s="139">
        <v>61.4</v>
      </c>
      <c r="Z132" s="140">
        <v>2.74</v>
      </c>
      <c r="AA132" s="139">
        <v>25.2</v>
      </c>
      <c r="AB132" s="147">
        <v>29000</v>
      </c>
      <c r="AC132" s="139">
        <v>51.6</v>
      </c>
      <c r="AD132" s="147">
        <v>210</v>
      </c>
      <c r="AE132" s="139">
        <v>69</v>
      </c>
      <c r="AF132" s="147">
        <v>177</v>
      </c>
      <c r="AG132" s="140">
        <v>3.2</v>
      </c>
      <c r="AH132" s="139">
        <v>18.3</v>
      </c>
      <c r="AI132" s="139">
        <v>71</v>
      </c>
      <c r="AJ132" s="139">
        <v>82.3</v>
      </c>
      <c r="AK132" s="139">
        <v>50.7</v>
      </c>
      <c r="AL132" s="139">
        <v>62</v>
      </c>
      <c r="AM132" s="141">
        <v>15.125</v>
      </c>
      <c r="AN132" s="141">
        <v>5.5</v>
      </c>
    </row>
    <row r="133" spans="1:40" x14ac:dyDescent="0.3">
      <c r="A133" s="138" t="s">
        <v>806</v>
      </c>
      <c r="B133" s="138" t="s">
        <v>677</v>
      </c>
      <c r="C133" s="147">
        <v>175</v>
      </c>
      <c r="D133" s="139">
        <v>51.4</v>
      </c>
      <c r="E133" s="139">
        <v>20</v>
      </c>
      <c r="F133" s="141">
        <v>20</v>
      </c>
      <c r="G133" s="139">
        <v>11.4</v>
      </c>
      <c r="H133" s="141">
        <v>11.375</v>
      </c>
      <c r="I133" s="142">
        <v>0.89</v>
      </c>
      <c r="J133" s="141">
        <v>0.875</v>
      </c>
      <c r="K133" s="143">
        <v>0.4375</v>
      </c>
      <c r="L133" s="140">
        <v>1.59</v>
      </c>
      <c r="M133" s="143">
        <v>1.5625</v>
      </c>
      <c r="N133" s="148">
        <v>1.99</v>
      </c>
      <c r="O133" s="145">
        <v>2.4375</v>
      </c>
      <c r="P133" s="145">
        <v>1.25</v>
      </c>
      <c r="Q133" s="140">
        <v>3.58</v>
      </c>
      <c r="R133" s="139">
        <v>18</v>
      </c>
      <c r="S133" s="147">
        <v>3450</v>
      </c>
      <c r="T133" s="147">
        <v>398</v>
      </c>
      <c r="U133" s="147">
        <v>344</v>
      </c>
      <c r="V133" s="140">
        <v>8.1999999999999993</v>
      </c>
      <c r="W133" s="147">
        <v>391</v>
      </c>
      <c r="X133" s="147">
        <v>106</v>
      </c>
      <c r="Y133" s="139">
        <v>68.8</v>
      </c>
      <c r="Z133" s="140">
        <v>2.76</v>
      </c>
      <c r="AA133" s="139">
        <v>33.799999999999997</v>
      </c>
      <c r="AB133" s="147">
        <v>33300</v>
      </c>
      <c r="AC133" s="139">
        <v>52.5</v>
      </c>
      <c r="AD133" s="147">
        <v>238</v>
      </c>
      <c r="AE133" s="139">
        <v>76.900000000000006</v>
      </c>
      <c r="AF133" s="147">
        <v>198</v>
      </c>
      <c r="AG133" s="140">
        <v>3.24</v>
      </c>
      <c r="AH133" s="139">
        <v>18.399999999999999</v>
      </c>
      <c r="AI133" s="139">
        <v>71.7</v>
      </c>
      <c r="AJ133" s="139">
        <v>83.1</v>
      </c>
      <c r="AK133" s="139">
        <v>51.4</v>
      </c>
      <c r="AL133" s="139">
        <v>62.8</v>
      </c>
      <c r="AM133" s="141">
        <v>15.125</v>
      </c>
      <c r="AN133" s="141">
        <v>5.5</v>
      </c>
    </row>
    <row r="134" spans="1:40" x14ac:dyDescent="0.3">
      <c r="A134" s="138" t="s">
        <v>807</v>
      </c>
      <c r="B134" s="138" t="s">
        <v>675</v>
      </c>
      <c r="C134" s="147">
        <v>550</v>
      </c>
      <c r="D134" s="147">
        <v>162</v>
      </c>
      <c r="E134" s="139">
        <v>20.2</v>
      </c>
      <c r="F134" s="141">
        <v>20.25</v>
      </c>
      <c r="G134" s="139">
        <v>17.2</v>
      </c>
      <c r="H134" s="141">
        <v>17.25</v>
      </c>
      <c r="I134" s="140">
        <v>2.38</v>
      </c>
      <c r="J134" s="141">
        <v>2.375</v>
      </c>
      <c r="K134" s="143">
        <v>1.1875</v>
      </c>
      <c r="L134" s="140">
        <v>3.82</v>
      </c>
      <c r="M134" s="143">
        <v>3.8125</v>
      </c>
      <c r="N134" s="148">
        <v>4.42</v>
      </c>
      <c r="O134" s="145">
        <v>5.125</v>
      </c>
      <c r="P134" s="145">
        <v>2.375</v>
      </c>
      <c r="Q134" s="140">
        <v>2.25</v>
      </c>
      <c r="R134" s="140">
        <v>4.79</v>
      </c>
      <c r="S134" s="147">
        <v>9430</v>
      </c>
      <c r="T134" s="147">
        <v>1180</v>
      </c>
      <c r="U134" s="147">
        <v>931</v>
      </c>
      <c r="V134" s="140">
        <v>7.63</v>
      </c>
      <c r="W134" s="147">
        <v>3250</v>
      </c>
      <c r="X134" s="147">
        <v>583</v>
      </c>
      <c r="Y134" s="147">
        <v>378</v>
      </c>
      <c r="Z134" s="140">
        <v>4.49</v>
      </c>
      <c r="AA134" s="147">
        <v>669</v>
      </c>
      <c r="AB134" s="147">
        <v>219000</v>
      </c>
      <c r="AC134" s="139">
        <v>70.400000000000006</v>
      </c>
      <c r="AD134" s="147">
        <v>1160</v>
      </c>
      <c r="AE134" s="147">
        <v>232</v>
      </c>
      <c r="AF134" s="147">
        <v>585</v>
      </c>
      <c r="AG134" s="140">
        <v>5.35</v>
      </c>
      <c r="AH134" s="139">
        <v>16.399999999999999</v>
      </c>
      <c r="AI134" s="139">
        <v>85.8</v>
      </c>
      <c r="AJ134" s="147">
        <v>103</v>
      </c>
      <c r="AK134" s="139">
        <v>57.6</v>
      </c>
      <c r="AL134" s="139">
        <v>74.8</v>
      </c>
      <c r="AM134" s="141">
        <v>10</v>
      </c>
      <c r="AN134" s="141">
        <v>7.5</v>
      </c>
    </row>
    <row r="135" spans="1:40" x14ac:dyDescent="0.3">
      <c r="A135" s="138" t="s">
        <v>808</v>
      </c>
      <c r="B135" s="138" t="s">
        <v>677</v>
      </c>
      <c r="C135" s="147">
        <v>192</v>
      </c>
      <c r="D135" s="139">
        <v>56.2</v>
      </c>
      <c r="E135" s="139">
        <v>20.399999999999999</v>
      </c>
      <c r="F135" s="141">
        <v>20.375</v>
      </c>
      <c r="G135" s="139">
        <v>11.5</v>
      </c>
      <c r="H135" s="141">
        <v>11.5</v>
      </c>
      <c r="I135" s="142">
        <v>0.96</v>
      </c>
      <c r="J135" s="141">
        <v>0.9375</v>
      </c>
      <c r="K135" s="143">
        <v>0.5</v>
      </c>
      <c r="L135" s="140">
        <v>1.75</v>
      </c>
      <c r="M135" s="143">
        <v>1.75</v>
      </c>
      <c r="N135" s="148">
        <v>2.15</v>
      </c>
      <c r="O135" s="145">
        <v>2.625</v>
      </c>
      <c r="P135" s="145">
        <v>1.3125</v>
      </c>
      <c r="Q135" s="140">
        <v>3.27</v>
      </c>
      <c r="R135" s="139">
        <v>16.7</v>
      </c>
      <c r="S135" s="147">
        <v>3870</v>
      </c>
      <c r="T135" s="147">
        <v>442</v>
      </c>
      <c r="U135" s="147">
        <v>380</v>
      </c>
      <c r="V135" s="140">
        <v>8.2799999999999994</v>
      </c>
      <c r="W135" s="147">
        <v>440</v>
      </c>
      <c r="X135" s="147">
        <v>119</v>
      </c>
      <c r="Y135" s="139">
        <v>76.8</v>
      </c>
      <c r="Z135" s="140">
        <v>2.79</v>
      </c>
      <c r="AA135" s="139">
        <v>44.7</v>
      </c>
      <c r="AB135" s="147">
        <v>38000</v>
      </c>
      <c r="AC135" s="139">
        <v>53.6</v>
      </c>
      <c r="AD135" s="147">
        <v>270</v>
      </c>
      <c r="AE135" s="139">
        <v>86</v>
      </c>
      <c r="AF135" s="147">
        <v>222</v>
      </c>
      <c r="AG135" s="140">
        <v>3.28</v>
      </c>
      <c r="AH135" s="139">
        <v>18.7</v>
      </c>
      <c r="AI135" s="139">
        <v>72.7</v>
      </c>
      <c r="AJ135" s="139">
        <v>84.2</v>
      </c>
      <c r="AK135" s="139">
        <v>52.3</v>
      </c>
      <c r="AL135" s="139">
        <v>63.8</v>
      </c>
      <c r="AM135" s="141">
        <v>15.125</v>
      </c>
      <c r="AN135" s="141">
        <v>5.5</v>
      </c>
    </row>
    <row r="136" spans="1:40" x14ac:dyDescent="0.3">
      <c r="A136" s="138" t="s">
        <v>809</v>
      </c>
      <c r="B136" s="138" t="s">
        <v>677</v>
      </c>
      <c r="C136" s="139">
        <v>48</v>
      </c>
      <c r="D136" s="139">
        <v>14.1</v>
      </c>
      <c r="E136" s="139">
        <v>20.6</v>
      </c>
      <c r="F136" s="141">
        <v>20.625</v>
      </c>
      <c r="G136" s="140">
        <v>8.14</v>
      </c>
      <c r="H136" s="141">
        <v>8.125</v>
      </c>
      <c r="I136" s="142">
        <v>0.35</v>
      </c>
      <c r="J136" s="141">
        <v>0.375</v>
      </c>
      <c r="K136" s="143">
        <v>0.1875</v>
      </c>
      <c r="L136" s="142">
        <v>0.43</v>
      </c>
      <c r="M136" s="143">
        <v>0.4375</v>
      </c>
      <c r="N136" s="144">
        <v>0.93</v>
      </c>
      <c r="O136" s="145">
        <v>1.125</v>
      </c>
      <c r="P136" s="145">
        <v>0.8125</v>
      </c>
      <c r="Q136" s="140">
        <v>9.4700000000000006</v>
      </c>
      <c r="R136" s="139">
        <v>53.6</v>
      </c>
      <c r="S136" s="147">
        <v>959</v>
      </c>
      <c r="T136" s="147">
        <v>107</v>
      </c>
      <c r="U136" s="139">
        <v>93</v>
      </c>
      <c r="V136" s="140">
        <v>8.24</v>
      </c>
      <c r="W136" s="139">
        <v>38.700000000000003</v>
      </c>
      <c r="X136" s="139">
        <v>14.9</v>
      </c>
      <c r="Y136" s="140">
        <v>9.52</v>
      </c>
      <c r="Z136" s="140">
        <v>1.66</v>
      </c>
      <c r="AA136" s="142">
        <v>0.80300000000000005</v>
      </c>
      <c r="AB136" s="147">
        <v>3950</v>
      </c>
      <c r="AC136" s="139">
        <v>41</v>
      </c>
      <c r="AD136" s="139">
        <v>35.9</v>
      </c>
      <c r="AE136" s="139">
        <v>16.899999999999999</v>
      </c>
      <c r="AF136" s="139">
        <v>52.3</v>
      </c>
      <c r="AG136" s="140">
        <v>2.0499999999999998</v>
      </c>
      <c r="AH136" s="139">
        <v>20.2</v>
      </c>
      <c r="AI136" s="139">
        <v>64.099999999999994</v>
      </c>
      <c r="AJ136" s="139">
        <v>72.2</v>
      </c>
      <c r="AK136" s="139">
        <v>49.3</v>
      </c>
      <c r="AL136" s="139">
        <v>57.5</v>
      </c>
      <c r="AM136" s="141">
        <v>18.375</v>
      </c>
      <c r="AN136" s="141">
        <v>5.5</v>
      </c>
    </row>
    <row r="137" spans="1:40" x14ac:dyDescent="0.3">
      <c r="A137" s="138" t="s">
        <v>810</v>
      </c>
      <c r="B137" s="138" t="s">
        <v>677</v>
      </c>
      <c r="C137" s="139">
        <v>44</v>
      </c>
      <c r="D137" s="139">
        <v>13</v>
      </c>
      <c r="E137" s="139">
        <v>20.7</v>
      </c>
      <c r="F137" s="141">
        <v>20.625</v>
      </c>
      <c r="G137" s="140">
        <v>6.5</v>
      </c>
      <c r="H137" s="141">
        <v>6.5</v>
      </c>
      <c r="I137" s="142">
        <v>0.35</v>
      </c>
      <c r="J137" s="141">
        <v>0.375</v>
      </c>
      <c r="K137" s="143">
        <v>0.1875</v>
      </c>
      <c r="L137" s="142">
        <v>0.45</v>
      </c>
      <c r="M137" s="143">
        <v>0.4375</v>
      </c>
      <c r="N137" s="144">
        <v>0.95</v>
      </c>
      <c r="O137" s="145">
        <v>1.125</v>
      </c>
      <c r="P137" s="145">
        <v>0.8125</v>
      </c>
      <c r="Q137" s="140">
        <v>7.22</v>
      </c>
      <c r="R137" s="139">
        <v>53.6</v>
      </c>
      <c r="S137" s="147">
        <v>843</v>
      </c>
      <c r="T137" s="139">
        <v>95.4</v>
      </c>
      <c r="U137" s="139">
        <v>81.599999999999994</v>
      </c>
      <c r="V137" s="140">
        <v>8.06</v>
      </c>
      <c r="W137" s="139">
        <v>20.7</v>
      </c>
      <c r="X137" s="139">
        <v>10.199999999999999</v>
      </c>
      <c r="Y137" s="140">
        <v>6.37</v>
      </c>
      <c r="Z137" s="140">
        <v>1.26</v>
      </c>
      <c r="AA137" s="142">
        <v>0.77</v>
      </c>
      <c r="AB137" s="147">
        <v>2110</v>
      </c>
      <c r="AC137" s="139">
        <v>32.9</v>
      </c>
      <c r="AD137" s="139">
        <v>24.1</v>
      </c>
      <c r="AE137" s="139">
        <v>14</v>
      </c>
      <c r="AF137" s="139">
        <v>46.8</v>
      </c>
      <c r="AG137" s="140">
        <v>1.6</v>
      </c>
      <c r="AH137" s="139">
        <v>20.3</v>
      </c>
      <c r="AI137" s="139">
        <v>59.3</v>
      </c>
      <c r="AJ137" s="139">
        <v>65.8</v>
      </c>
      <c r="AK137" s="139">
        <v>47.9</v>
      </c>
      <c r="AL137" s="139">
        <v>54.4</v>
      </c>
      <c r="AM137" s="141">
        <v>18.375</v>
      </c>
      <c r="AN137" s="141">
        <v>3.5</v>
      </c>
    </row>
    <row r="138" spans="1:40" x14ac:dyDescent="0.3">
      <c r="A138" s="138" t="s">
        <v>811</v>
      </c>
      <c r="B138" s="138" t="s">
        <v>677</v>
      </c>
      <c r="C138" s="147">
        <v>211</v>
      </c>
      <c r="D138" s="139">
        <v>62.3</v>
      </c>
      <c r="E138" s="139">
        <v>20.7</v>
      </c>
      <c r="F138" s="141">
        <v>20.625</v>
      </c>
      <c r="G138" s="139">
        <v>11.6</v>
      </c>
      <c r="H138" s="141">
        <v>11.5</v>
      </c>
      <c r="I138" s="140">
        <v>1.06</v>
      </c>
      <c r="J138" s="141">
        <v>1.0625</v>
      </c>
      <c r="K138" s="143">
        <v>0.5625</v>
      </c>
      <c r="L138" s="140">
        <v>1.91</v>
      </c>
      <c r="M138" s="143">
        <v>1.9375</v>
      </c>
      <c r="N138" s="148">
        <v>2.31</v>
      </c>
      <c r="O138" s="145">
        <v>2.8125</v>
      </c>
      <c r="P138" s="145">
        <v>1.375</v>
      </c>
      <c r="Q138" s="140">
        <v>3.02</v>
      </c>
      <c r="R138" s="139">
        <v>15.1</v>
      </c>
      <c r="S138" s="147">
        <v>4330</v>
      </c>
      <c r="T138" s="147">
        <v>490</v>
      </c>
      <c r="U138" s="147">
        <v>419</v>
      </c>
      <c r="V138" s="140">
        <v>8.35</v>
      </c>
      <c r="W138" s="147">
        <v>493</v>
      </c>
      <c r="X138" s="147">
        <v>132</v>
      </c>
      <c r="Y138" s="139">
        <v>85.3</v>
      </c>
      <c r="Z138" s="140">
        <v>2.82</v>
      </c>
      <c r="AA138" s="139">
        <v>58.6</v>
      </c>
      <c r="AB138" s="147">
        <v>43400</v>
      </c>
      <c r="AC138" s="139">
        <v>54.5</v>
      </c>
      <c r="AD138" s="147">
        <v>302</v>
      </c>
      <c r="AE138" s="139">
        <v>94.6</v>
      </c>
      <c r="AF138" s="147">
        <v>246</v>
      </c>
      <c r="AG138" s="140">
        <v>3.32</v>
      </c>
      <c r="AH138" s="139">
        <v>18.8</v>
      </c>
      <c r="AI138" s="139">
        <v>73.400000000000006</v>
      </c>
      <c r="AJ138" s="139">
        <v>85</v>
      </c>
      <c r="AK138" s="139">
        <v>53</v>
      </c>
      <c r="AL138" s="139">
        <v>64.599999999999994</v>
      </c>
      <c r="AM138" s="141">
        <v>15.125</v>
      </c>
      <c r="AN138" s="141">
        <v>5.5</v>
      </c>
    </row>
    <row r="139" spans="1:40" x14ac:dyDescent="0.3">
      <c r="A139" s="138" t="s">
        <v>813</v>
      </c>
      <c r="B139" s="138" t="s">
        <v>677</v>
      </c>
      <c r="C139" s="139">
        <v>55</v>
      </c>
      <c r="D139" s="139">
        <v>16.2</v>
      </c>
      <c r="E139" s="139">
        <v>20.8</v>
      </c>
      <c r="F139" s="141">
        <v>20.75</v>
      </c>
      <c r="G139" s="140">
        <v>8.2200000000000006</v>
      </c>
      <c r="H139" s="141">
        <v>8.25</v>
      </c>
      <c r="I139" s="142">
        <v>0.375</v>
      </c>
      <c r="J139" s="141">
        <v>0.375</v>
      </c>
      <c r="K139" s="143">
        <v>0.1875</v>
      </c>
      <c r="L139" s="142">
        <v>0.52200000000000002</v>
      </c>
      <c r="M139" s="143">
        <v>0.5</v>
      </c>
      <c r="N139" s="148">
        <v>1.02</v>
      </c>
      <c r="O139" s="145">
        <v>1.1875</v>
      </c>
      <c r="P139" s="145">
        <v>0.8125</v>
      </c>
      <c r="Q139" s="140">
        <v>7.87</v>
      </c>
      <c r="R139" s="139">
        <v>50</v>
      </c>
      <c r="S139" s="147">
        <v>1140</v>
      </c>
      <c r="T139" s="147">
        <v>126</v>
      </c>
      <c r="U139" s="147">
        <v>110</v>
      </c>
      <c r="V139" s="140">
        <v>8.4</v>
      </c>
      <c r="W139" s="139">
        <v>48.4</v>
      </c>
      <c r="X139" s="139">
        <v>18.399999999999999</v>
      </c>
      <c r="Y139" s="139">
        <v>11.8</v>
      </c>
      <c r="Z139" s="140">
        <v>1.73</v>
      </c>
      <c r="AA139" s="140">
        <v>1.24</v>
      </c>
      <c r="AB139" s="147">
        <v>4980</v>
      </c>
      <c r="AC139" s="139">
        <v>41.7</v>
      </c>
      <c r="AD139" s="139">
        <v>44.7</v>
      </c>
      <c r="AE139" s="139">
        <v>20.8</v>
      </c>
      <c r="AF139" s="139">
        <v>61.8</v>
      </c>
      <c r="AG139" s="140">
        <v>2.11</v>
      </c>
      <c r="AH139" s="139">
        <v>20.3</v>
      </c>
      <c r="AI139" s="139">
        <v>64.7</v>
      </c>
      <c r="AJ139" s="139">
        <v>72.900000000000006</v>
      </c>
      <c r="AK139" s="139">
        <v>49.8</v>
      </c>
      <c r="AL139" s="139">
        <v>58</v>
      </c>
      <c r="AM139" s="141">
        <v>18.375</v>
      </c>
      <c r="AN139" s="141">
        <v>5.5</v>
      </c>
    </row>
    <row r="140" spans="1:40" x14ac:dyDescent="0.3">
      <c r="A140" s="138" t="s">
        <v>812</v>
      </c>
      <c r="B140" s="138" t="s">
        <v>677</v>
      </c>
      <c r="C140" s="139">
        <v>50</v>
      </c>
      <c r="D140" s="139">
        <v>14.7</v>
      </c>
      <c r="E140" s="139">
        <v>20.8</v>
      </c>
      <c r="F140" s="141">
        <v>20.875</v>
      </c>
      <c r="G140" s="140">
        <v>6.53</v>
      </c>
      <c r="H140" s="141">
        <v>6.5</v>
      </c>
      <c r="I140" s="142">
        <v>0.38</v>
      </c>
      <c r="J140" s="141">
        <v>0.375</v>
      </c>
      <c r="K140" s="143">
        <v>0.1875</v>
      </c>
      <c r="L140" s="142">
        <v>0.53500000000000003</v>
      </c>
      <c r="M140" s="143">
        <v>0.5625</v>
      </c>
      <c r="N140" s="148">
        <v>1.04</v>
      </c>
      <c r="O140" s="145">
        <v>1.25</v>
      </c>
      <c r="P140" s="145">
        <v>0.8125</v>
      </c>
      <c r="Q140" s="140">
        <v>6.1</v>
      </c>
      <c r="R140" s="139">
        <v>49.4</v>
      </c>
      <c r="S140" s="147">
        <v>984</v>
      </c>
      <c r="T140" s="147">
        <v>110</v>
      </c>
      <c r="U140" s="139">
        <v>94.5</v>
      </c>
      <c r="V140" s="140">
        <v>8.18</v>
      </c>
      <c r="W140" s="139">
        <v>24.9</v>
      </c>
      <c r="X140" s="139">
        <v>12.2</v>
      </c>
      <c r="Y140" s="140">
        <v>7.64</v>
      </c>
      <c r="Z140" s="140">
        <v>1.3</v>
      </c>
      <c r="AA140" s="140">
        <v>1.1399999999999999</v>
      </c>
      <c r="AB140" s="147">
        <v>2570</v>
      </c>
      <c r="AC140" s="139">
        <v>33.1</v>
      </c>
      <c r="AD140" s="139">
        <v>28.9</v>
      </c>
      <c r="AE140" s="139">
        <v>16.7</v>
      </c>
      <c r="AF140" s="139">
        <v>53.9</v>
      </c>
      <c r="AG140" s="140">
        <v>1.64</v>
      </c>
      <c r="AH140" s="139">
        <v>20.3</v>
      </c>
      <c r="AI140" s="139">
        <v>59.6</v>
      </c>
      <c r="AJ140" s="139">
        <v>66.099999999999994</v>
      </c>
      <c r="AK140" s="139">
        <v>48.1</v>
      </c>
      <c r="AL140" s="139">
        <v>54.7</v>
      </c>
      <c r="AM140" s="141">
        <v>18.375</v>
      </c>
      <c r="AN140" s="141">
        <v>3.5</v>
      </c>
    </row>
    <row r="141" spans="1:40" x14ac:dyDescent="0.3">
      <c r="A141" s="138" t="s">
        <v>814</v>
      </c>
      <c r="B141" s="138" t="s">
        <v>675</v>
      </c>
      <c r="C141" s="147">
        <v>605</v>
      </c>
      <c r="D141" s="147">
        <v>178</v>
      </c>
      <c r="E141" s="139">
        <v>20.9</v>
      </c>
      <c r="F141" s="141">
        <v>20.875</v>
      </c>
      <c r="G141" s="139">
        <v>17.399999999999999</v>
      </c>
      <c r="H141" s="141">
        <v>17.375</v>
      </c>
      <c r="I141" s="140">
        <v>2.6</v>
      </c>
      <c r="J141" s="141">
        <v>2.625</v>
      </c>
      <c r="K141" s="143">
        <v>1.3125</v>
      </c>
      <c r="L141" s="140">
        <v>4.16</v>
      </c>
      <c r="M141" s="143">
        <v>4.1875</v>
      </c>
      <c r="N141" s="148">
        <v>4.76</v>
      </c>
      <c r="O141" s="145">
        <v>5.4375</v>
      </c>
      <c r="P141" s="145">
        <v>2.5</v>
      </c>
      <c r="Q141" s="140">
        <v>2.09</v>
      </c>
      <c r="R141" s="140">
        <v>4.3899999999999997</v>
      </c>
      <c r="S141" s="147">
        <v>10800</v>
      </c>
      <c r="T141" s="147">
        <v>1320</v>
      </c>
      <c r="U141" s="147">
        <v>1040</v>
      </c>
      <c r="V141" s="140">
        <v>7.8</v>
      </c>
      <c r="W141" s="147">
        <v>3680</v>
      </c>
      <c r="X141" s="147">
        <v>652</v>
      </c>
      <c r="Y141" s="147">
        <v>423</v>
      </c>
      <c r="Z141" s="140">
        <v>4.55</v>
      </c>
      <c r="AA141" s="147">
        <v>869</v>
      </c>
      <c r="AB141" s="147">
        <v>258000</v>
      </c>
      <c r="AC141" s="139">
        <v>72.8</v>
      </c>
      <c r="AD141" s="147">
        <v>1320</v>
      </c>
      <c r="AE141" s="147">
        <v>258</v>
      </c>
      <c r="AF141" s="147">
        <v>657</v>
      </c>
      <c r="AG141" s="140">
        <v>5.44</v>
      </c>
      <c r="AH141" s="139">
        <v>16.7</v>
      </c>
      <c r="AI141" s="139">
        <v>87.6</v>
      </c>
      <c r="AJ141" s="147">
        <v>105</v>
      </c>
      <c r="AK141" s="139">
        <v>59.2</v>
      </c>
      <c r="AL141" s="139">
        <v>76.599999999999994</v>
      </c>
      <c r="AM141" s="141">
        <v>10</v>
      </c>
      <c r="AN141" s="141">
        <v>7.5</v>
      </c>
    </row>
    <row r="142" spans="1:40" x14ac:dyDescent="0.3">
      <c r="A142" s="138" t="s">
        <v>815</v>
      </c>
      <c r="B142" s="138" t="s">
        <v>677</v>
      </c>
      <c r="C142" s="139">
        <v>62</v>
      </c>
      <c r="D142" s="139">
        <v>18.3</v>
      </c>
      <c r="E142" s="139">
        <v>21</v>
      </c>
      <c r="F142" s="141">
        <v>21</v>
      </c>
      <c r="G142" s="140">
        <v>8.24</v>
      </c>
      <c r="H142" s="141">
        <v>8.25</v>
      </c>
      <c r="I142" s="142">
        <v>0.4</v>
      </c>
      <c r="J142" s="141">
        <v>0.375</v>
      </c>
      <c r="K142" s="143">
        <v>0.1875</v>
      </c>
      <c r="L142" s="142">
        <v>0.61499999999999999</v>
      </c>
      <c r="M142" s="143">
        <v>0.625</v>
      </c>
      <c r="N142" s="148">
        <v>1.1200000000000001</v>
      </c>
      <c r="O142" s="145">
        <v>1.3125</v>
      </c>
      <c r="P142" s="145">
        <v>0.8125</v>
      </c>
      <c r="Q142" s="140">
        <v>6.7</v>
      </c>
      <c r="R142" s="139">
        <v>46.9</v>
      </c>
      <c r="S142" s="147">
        <v>1330</v>
      </c>
      <c r="T142" s="147">
        <v>144</v>
      </c>
      <c r="U142" s="147">
        <v>127</v>
      </c>
      <c r="V142" s="140">
        <v>8.5399999999999991</v>
      </c>
      <c r="W142" s="139">
        <v>57.5</v>
      </c>
      <c r="X142" s="139">
        <v>21.7</v>
      </c>
      <c r="Y142" s="139">
        <v>14</v>
      </c>
      <c r="Z142" s="140">
        <v>1.77</v>
      </c>
      <c r="AA142" s="140">
        <v>1.83</v>
      </c>
      <c r="AB142" s="147">
        <v>5960</v>
      </c>
      <c r="AC142" s="139">
        <v>42</v>
      </c>
      <c r="AD142" s="139">
        <v>53.2</v>
      </c>
      <c r="AE142" s="139">
        <v>24.6</v>
      </c>
      <c r="AF142" s="139">
        <v>71.2</v>
      </c>
      <c r="AG142" s="140">
        <v>2.15</v>
      </c>
      <c r="AH142" s="139">
        <v>20.399999999999999</v>
      </c>
      <c r="AI142" s="139">
        <v>65.099999999999994</v>
      </c>
      <c r="AJ142" s="139">
        <v>73.3</v>
      </c>
      <c r="AK142" s="139">
        <v>50.2</v>
      </c>
      <c r="AL142" s="139">
        <v>58.5</v>
      </c>
      <c r="AM142" s="141">
        <v>18.375</v>
      </c>
      <c r="AN142" s="141">
        <v>5.5</v>
      </c>
    </row>
    <row r="143" spans="1:40" x14ac:dyDescent="0.3">
      <c r="A143" s="138" t="s">
        <v>816</v>
      </c>
      <c r="B143" s="138" t="s">
        <v>677</v>
      </c>
      <c r="C143" s="139">
        <v>57</v>
      </c>
      <c r="D143" s="139">
        <v>16.7</v>
      </c>
      <c r="E143" s="139">
        <v>21.1</v>
      </c>
      <c r="F143" s="141">
        <v>21</v>
      </c>
      <c r="G143" s="140">
        <v>6.56</v>
      </c>
      <c r="H143" s="141">
        <v>6.5</v>
      </c>
      <c r="I143" s="142">
        <v>0.40500000000000003</v>
      </c>
      <c r="J143" s="141">
        <v>0.375</v>
      </c>
      <c r="K143" s="143">
        <v>0.1875</v>
      </c>
      <c r="L143" s="142">
        <v>0.65</v>
      </c>
      <c r="M143" s="143">
        <v>0.625</v>
      </c>
      <c r="N143" s="148">
        <v>1.1499999999999999</v>
      </c>
      <c r="O143" s="145">
        <v>1.3125</v>
      </c>
      <c r="P143" s="145">
        <v>0.8125</v>
      </c>
      <c r="Q143" s="140">
        <v>5.04</v>
      </c>
      <c r="R143" s="139">
        <v>46.3</v>
      </c>
      <c r="S143" s="147">
        <v>1170</v>
      </c>
      <c r="T143" s="147">
        <v>129</v>
      </c>
      <c r="U143" s="147">
        <v>111</v>
      </c>
      <c r="V143" s="140">
        <v>8.36</v>
      </c>
      <c r="W143" s="139">
        <v>30.6</v>
      </c>
      <c r="X143" s="139">
        <v>14.8</v>
      </c>
      <c r="Y143" s="140">
        <v>9.35</v>
      </c>
      <c r="Z143" s="140">
        <v>1.35</v>
      </c>
      <c r="AA143" s="140">
        <v>1.77</v>
      </c>
      <c r="AB143" s="147">
        <v>3190</v>
      </c>
      <c r="AC143" s="139">
        <v>33.5</v>
      </c>
      <c r="AD143" s="139">
        <v>35.799999999999997</v>
      </c>
      <c r="AE143" s="139">
        <v>20.5</v>
      </c>
      <c r="AF143" s="139">
        <v>63.4</v>
      </c>
      <c r="AG143" s="140">
        <v>1.68</v>
      </c>
      <c r="AH143" s="139">
        <v>20.5</v>
      </c>
      <c r="AI143" s="139">
        <v>60.2</v>
      </c>
      <c r="AJ143" s="139">
        <v>66.8</v>
      </c>
      <c r="AK143" s="139">
        <v>48.8</v>
      </c>
      <c r="AL143" s="139">
        <v>55.3</v>
      </c>
      <c r="AM143" s="141">
        <v>18.375</v>
      </c>
      <c r="AN143" s="141">
        <v>3.5</v>
      </c>
    </row>
    <row r="144" spans="1:40" x14ac:dyDescent="0.3">
      <c r="A144" s="138" t="s">
        <v>818</v>
      </c>
      <c r="B144" s="138" t="s">
        <v>675</v>
      </c>
      <c r="C144" s="147">
        <v>234</v>
      </c>
      <c r="D144" s="139">
        <v>68.599999999999994</v>
      </c>
      <c r="E144" s="139">
        <v>21.1</v>
      </c>
      <c r="F144" s="141">
        <v>21</v>
      </c>
      <c r="G144" s="139">
        <v>11.7</v>
      </c>
      <c r="H144" s="141">
        <v>11.625</v>
      </c>
      <c r="I144" s="140">
        <v>1.1599999999999999</v>
      </c>
      <c r="J144" s="141">
        <v>1.1875</v>
      </c>
      <c r="K144" s="143">
        <v>0.625</v>
      </c>
      <c r="L144" s="140">
        <v>2.11</v>
      </c>
      <c r="M144" s="143">
        <v>2.125</v>
      </c>
      <c r="N144" s="148">
        <v>2.5099999999999998</v>
      </c>
      <c r="O144" s="145">
        <v>3</v>
      </c>
      <c r="P144" s="145">
        <v>1.375</v>
      </c>
      <c r="Q144" s="140">
        <v>2.76</v>
      </c>
      <c r="R144" s="139">
        <v>13.8</v>
      </c>
      <c r="S144" s="147">
        <v>4900</v>
      </c>
      <c r="T144" s="147">
        <v>549</v>
      </c>
      <c r="U144" s="147">
        <v>466</v>
      </c>
      <c r="V144" s="140">
        <v>8.44</v>
      </c>
      <c r="W144" s="147">
        <v>558</v>
      </c>
      <c r="X144" s="147">
        <v>149</v>
      </c>
      <c r="Y144" s="139">
        <v>95.8</v>
      </c>
      <c r="Z144" s="140">
        <v>2.85</v>
      </c>
      <c r="AA144" s="139">
        <v>78.7</v>
      </c>
      <c r="AB144" s="147">
        <v>50100</v>
      </c>
      <c r="AC144" s="139">
        <v>55.5</v>
      </c>
      <c r="AD144" s="147">
        <v>343</v>
      </c>
      <c r="AE144" s="147">
        <v>106</v>
      </c>
      <c r="AF144" s="147">
        <v>276</v>
      </c>
      <c r="AG144" s="140">
        <v>3.37</v>
      </c>
      <c r="AH144" s="139">
        <v>19</v>
      </c>
      <c r="AI144" s="139">
        <v>74.3</v>
      </c>
      <c r="AJ144" s="139">
        <v>86</v>
      </c>
      <c r="AK144" s="139">
        <v>53.9</v>
      </c>
      <c r="AL144" s="139">
        <v>65.599999999999994</v>
      </c>
      <c r="AM144" s="141">
        <v>15.125</v>
      </c>
      <c r="AN144" s="141">
        <v>5.5</v>
      </c>
    </row>
    <row r="145" spans="1:40" x14ac:dyDescent="0.3">
      <c r="A145" s="138" t="s">
        <v>817</v>
      </c>
      <c r="B145" s="138" t="s">
        <v>677</v>
      </c>
      <c r="C145" s="139">
        <v>68</v>
      </c>
      <c r="D145" s="139">
        <v>20</v>
      </c>
      <c r="E145" s="139">
        <v>21.1</v>
      </c>
      <c r="F145" s="141">
        <v>21.125</v>
      </c>
      <c r="G145" s="140">
        <v>8.27</v>
      </c>
      <c r="H145" s="141">
        <v>8.25</v>
      </c>
      <c r="I145" s="142">
        <v>0.43</v>
      </c>
      <c r="J145" s="141">
        <v>0.4375</v>
      </c>
      <c r="K145" s="143">
        <v>0.25</v>
      </c>
      <c r="L145" s="142">
        <v>0.68500000000000005</v>
      </c>
      <c r="M145" s="143">
        <v>0.6875</v>
      </c>
      <c r="N145" s="148">
        <v>1.19</v>
      </c>
      <c r="O145" s="145">
        <v>1.375</v>
      </c>
      <c r="P145" s="145">
        <v>0.875</v>
      </c>
      <c r="Q145" s="140">
        <v>6.04</v>
      </c>
      <c r="R145" s="139">
        <v>43.6</v>
      </c>
      <c r="S145" s="147">
        <v>1480</v>
      </c>
      <c r="T145" s="147">
        <v>160</v>
      </c>
      <c r="U145" s="147">
        <v>140</v>
      </c>
      <c r="V145" s="140">
        <v>8.6</v>
      </c>
      <c r="W145" s="139">
        <v>64.7</v>
      </c>
      <c r="X145" s="139">
        <v>24.4</v>
      </c>
      <c r="Y145" s="139">
        <v>15.7</v>
      </c>
      <c r="Z145" s="140">
        <v>1.8</v>
      </c>
      <c r="AA145" s="140">
        <v>2.4500000000000002</v>
      </c>
      <c r="AB145" s="147">
        <v>6760</v>
      </c>
      <c r="AC145" s="139">
        <v>42.2</v>
      </c>
      <c r="AD145" s="139">
        <v>59.8</v>
      </c>
      <c r="AE145" s="139">
        <v>27.4</v>
      </c>
      <c r="AF145" s="139">
        <v>78.7</v>
      </c>
      <c r="AG145" s="140">
        <v>2.17</v>
      </c>
      <c r="AH145" s="139">
        <v>20.399999999999999</v>
      </c>
      <c r="AI145" s="139">
        <v>65.3</v>
      </c>
      <c r="AJ145" s="139">
        <v>73.599999999999994</v>
      </c>
      <c r="AK145" s="139">
        <v>50.5</v>
      </c>
      <c r="AL145" s="139">
        <v>58.7</v>
      </c>
      <c r="AM145" s="141">
        <v>18.375</v>
      </c>
      <c r="AN145" s="141">
        <v>5.5</v>
      </c>
    </row>
    <row r="146" spans="1:40" x14ac:dyDescent="0.3">
      <c r="A146" s="138" t="s">
        <v>819</v>
      </c>
      <c r="B146" s="138" t="s">
        <v>677</v>
      </c>
      <c r="C146" s="139">
        <v>73</v>
      </c>
      <c r="D146" s="139">
        <v>21.5</v>
      </c>
      <c r="E146" s="139">
        <v>21.2</v>
      </c>
      <c r="F146" s="141">
        <v>21.25</v>
      </c>
      <c r="G146" s="140">
        <v>8.3000000000000007</v>
      </c>
      <c r="H146" s="141">
        <v>8.25</v>
      </c>
      <c r="I146" s="142">
        <v>0.45500000000000002</v>
      </c>
      <c r="J146" s="141">
        <v>0.4375</v>
      </c>
      <c r="K146" s="143">
        <v>0.25</v>
      </c>
      <c r="L146" s="142">
        <v>0.74</v>
      </c>
      <c r="M146" s="143">
        <v>0.75</v>
      </c>
      <c r="N146" s="148">
        <v>1.24</v>
      </c>
      <c r="O146" s="145">
        <v>1.4375</v>
      </c>
      <c r="P146" s="145">
        <v>0.875</v>
      </c>
      <c r="Q146" s="140">
        <v>5.6</v>
      </c>
      <c r="R146" s="139">
        <v>41.2</v>
      </c>
      <c r="S146" s="147">
        <v>1600</v>
      </c>
      <c r="T146" s="147">
        <v>172</v>
      </c>
      <c r="U146" s="147">
        <v>151</v>
      </c>
      <c r="V146" s="140">
        <v>8.64</v>
      </c>
      <c r="W146" s="139">
        <v>70.599999999999994</v>
      </c>
      <c r="X146" s="139">
        <v>26.6</v>
      </c>
      <c r="Y146" s="139">
        <v>17</v>
      </c>
      <c r="Z146" s="140">
        <v>1.81</v>
      </c>
      <c r="AA146" s="140">
        <v>3.02</v>
      </c>
      <c r="AB146" s="147">
        <v>7410</v>
      </c>
      <c r="AC146" s="139">
        <v>42.5</v>
      </c>
      <c r="AD146" s="139">
        <v>65.2</v>
      </c>
      <c r="AE146" s="139">
        <v>29.7</v>
      </c>
      <c r="AF146" s="139">
        <v>85</v>
      </c>
      <c r="AG146" s="140">
        <v>2.19</v>
      </c>
      <c r="AH146" s="139">
        <v>20.5</v>
      </c>
      <c r="AI146" s="139">
        <v>65.5</v>
      </c>
      <c r="AJ146" s="139">
        <v>73.8</v>
      </c>
      <c r="AK146" s="139">
        <v>50.7</v>
      </c>
      <c r="AL146" s="139">
        <v>59</v>
      </c>
      <c r="AM146" s="141">
        <v>18.375</v>
      </c>
      <c r="AN146" s="141">
        <v>5.5</v>
      </c>
    </row>
    <row r="147" spans="1:40" x14ac:dyDescent="0.3">
      <c r="A147" s="138" t="s">
        <v>820</v>
      </c>
      <c r="B147" s="138" t="s">
        <v>677</v>
      </c>
      <c r="C147" s="139">
        <v>83</v>
      </c>
      <c r="D147" s="139">
        <v>24.4</v>
      </c>
      <c r="E147" s="139">
        <v>21.4</v>
      </c>
      <c r="F147" s="141">
        <v>21.375</v>
      </c>
      <c r="G147" s="140">
        <v>8.36</v>
      </c>
      <c r="H147" s="141">
        <v>8.375</v>
      </c>
      <c r="I147" s="142">
        <v>0.51500000000000001</v>
      </c>
      <c r="J147" s="141">
        <v>0.5</v>
      </c>
      <c r="K147" s="143">
        <v>0.25</v>
      </c>
      <c r="L147" s="142">
        <v>0.83499999999999996</v>
      </c>
      <c r="M147" s="143">
        <v>0.8125</v>
      </c>
      <c r="N147" s="148">
        <v>1.34</v>
      </c>
      <c r="O147" s="145">
        <v>1.5</v>
      </c>
      <c r="P147" s="145">
        <v>0.875</v>
      </c>
      <c r="Q147" s="140">
        <v>5</v>
      </c>
      <c r="R147" s="139">
        <v>36.4</v>
      </c>
      <c r="S147" s="147">
        <v>1830</v>
      </c>
      <c r="T147" s="147">
        <v>196</v>
      </c>
      <c r="U147" s="147">
        <v>171</v>
      </c>
      <c r="V147" s="140">
        <v>8.67</v>
      </c>
      <c r="W147" s="139">
        <v>81.400000000000006</v>
      </c>
      <c r="X147" s="139">
        <v>30.5</v>
      </c>
      <c r="Y147" s="139">
        <v>19.5</v>
      </c>
      <c r="Z147" s="140">
        <v>1.83</v>
      </c>
      <c r="AA147" s="140">
        <v>4.34</v>
      </c>
      <c r="AB147" s="147">
        <v>8630</v>
      </c>
      <c r="AC147" s="139">
        <v>43</v>
      </c>
      <c r="AD147" s="139">
        <v>75</v>
      </c>
      <c r="AE147" s="139">
        <v>33.700000000000003</v>
      </c>
      <c r="AF147" s="139">
        <v>96.8</v>
      </c>
      <c r="AG147" s="140">
        <v>2.21</v>
      </c>
      <c r="AH147" s="139">
        <v>20.6</v>
      </c>
      <c r="AI147" s="139">
        <v>66</v>
      </c>
      <c r="AJ147" s="139">
        <v>74.400000000000006</v>
      </c>
      <c r="AK147" s="139">
        <v>51.2</v>
      </c>
      <c r="AL147" s="139">
        <v>59.5</v>
      </c>
      <c r="AM147" s="141">
        <v>18.375</v>
      </c>
      <c r="AN147" s="141">
        <v>5.5</v>
      </c>
    </row>
    <row r="148" spans="1:40" x14ac:dyDescent="0.3">
      <c r="A148" s="138" t="s">
        <v>821</v>
      </c>
      <c r="B148" s="138" t="s">
        <v>677</v>
      </c>
      <c r="C148" s="147">
        <v>101</v>
      </c>
      <c r="D148" s="139">
        <v>29.8</v>
      </c>
      <c r="E148" s="139">
        <v>21.4</v>
      </c>
      <c r="F148" s="141">
        <v>21.375</v>
      </c>
      <c r="G148" s="139">
        <v>12.3</v>
      </c>
      <c r="H148" s="141">
        <v>12.25</v>
      </c>
      <c r="I148" s="142">
        <v>0.5</v>
      </c>
      <c r="J148" s="141">
        <v>0.5</v>
      </c>
      <c r="K148" s="143">
        <v>0.25</v>
      </c>
      <c r="L148" s="142">
        <v>0.8</v>
      </c>
      <c r="M148" s="143">
        <v>0.8125</v>
      </c>
      <c r="N148" s="148">
        <v>1.3</v>
      </c>
      <c r="O148" s="145">
        <v>2.0625</v>
      </c>
      <c r="P148" s="145">
        <v>1.4375</v>
      </c>
      <c r="Q148" s="140">
        <v>7.68</v>
      </c>
      <c r="R148" s="139">
        <v>37.5</v>
      </c>
      <c r="S148" s="147">
        <v>2420</v>
      </c>
      <c r="T148" s="147">
        <v>253</v>
      </c>
      <c r="U148" s="147">
        <v>227</v>
      </c>
      <c r="V148" s="140">
        <v>9.02</v>
      </c>
      <c r="W148" s="147">
        <v>248</v>
      </c>
      <c r="X148" s="139">
        <v>61.7</v>
      </c>
      <c r="Y148" s="139">
        <v>40.299999999999997</v>
      </c>
      <c r="Z148" s="140">
        <v>2.89</v>
      </c>
      <c r="AA148" s="140">
        <v>5.21</v>
      </c>
      <c r="AB148" s="147">
        <v>26200</v>
      </c>
      <c r="AC148" s="139">
        <v>63.3</v>
      </c>
      <c r="AD148" s="147">
        <v>156</v>
      </c>
      <c r="AE148" s="139">
        <v>48.6</v>
      </c>
      <c r="AF148" s="147">
        <v>126</v>
      </c>
      <c r="AG148" s="140">
        <v>3.35</v>
      </c>
      <c r="AH148" s="139">
        <v>20.6</v>
      </c>
      <c r="AI148" s="139">
        <v>77.8</v>
      </c>
      <c r="AJ148" s="139">
        <v>90.1</v>
      </c>
      <c r="AK148" s="139">
        <v>55.1</v>
      </c>
      <c r="AL148" s="139">
        <v>67.400000000000006</v>
      </c>
      <c r="AM148" s="141">
        <v>17.25</v>
      </c>
      <c r="AN148" s="141">
        <v>5.5</v>
      </c>
    </row>
    <row r="149" spans="1:40" x14ac:dyDescent="0.3">
      <c r="A149" s="138" t="s">
        <v>822</v>
      </c>
      <c r="B149" s="138" t="s">
        <v>677</v>
      </c>
      <c r="C149" s="147">
        <v>111</v>
      </c>
      <c r="D149" s="139">
        <v>32.6</v>
      </c>
      <c r="E149" s="139">
        <v>21.5</v>
      </c>
      <c r="F149" s="141">
        <v>21.5</v>
      </c>
      <c r="G149" s="139">
        <v>12.3</v>
      </c>
      <c r="H149" s="141">
        <v>12.375</v>
      </c>
      <c r="I149" s="142">
        <v>0.55000000000000004</v>
      </c>
      <c r="J149" s="141">
        <v>0.5625</v>
      </c>
      <c r="K149" s="143">
        <v>0.3125</v>
      </c>
      <c r="L149" s="142">
        <v>0.875</v>
      </c>
      <c r="M149" s="143">
        <v>0.875</v>
      </c>
      <c r="N149" s="148">
        <v>1.38</v>
      </c>
      <c r="O149" s="145">
        <v>2.125</v>
      </c>
      <c r="P149" s="145">
        <v>1.5</v>
      </c>
      <c r="Q149" s="140">
        <v>7.05</v>
      </c>
      <c r="R149" s="139">
        <v>34.1</v>
      </c>
      <c r="S149" s="147">
        <v>2670</v>
      </c>
      <c r="T149" s="147">
        <v>279</v>
      </c>
      <c r="U149" s="147">
        <v>249</v>
      </c>
      <c r="V149" s="140">
        <v>9.0500000000000007</v>
      </c>
      <c r="W149" s="147">
        <v>274</v>
      </c>
      <c r="X149" s="139">
        <v>68.2</v>
      </c>
      <c r="Y149" s="139">
        <v>44.5</v>
      </c>
      <c r="Z149" s="140">
        <v>2.9</v>
      </c>
      <c r="AA149" s="140">
        <v>6.83</v>
      </c>
      <c r="AB149" s="147">
        <v>29200</v>
      </c>
      <c r="AC149" s="139">
        <v>63.4</v>
      </c>
      <c r="AD149" s="147">
        <v>171</v>
      </c>
      <c r="AE149" s="139">
        <v>53</v>
      </c>
      <c r="AF149" s="147">
        <v>138</v>
      </c>
      <c r="AG149" s="140">
        <v>3.37</v>
      </c>
      <c r="AH149" s="139">
        <v>20.6</v>
      </c>
      <c r="AI149" s="139">
        <v>77.900000000000006</v>
      </c>
      <c r="AJ149" s="139">
        <v>90.2</v>
      </c>
      <c r="AK149" s="139">
        <v>55.3</v>
      </c>
      <c r="AL149" s="139">
        <v>67.599999999999994</v>
      </c>
      <c r="AM149" s="141">
        <v>17.25</v>
      </c>
      <c r="AN149" s="141">
        <v>5.5</v>
      </c>
    </row>
    <row r="150" spans="1:40" x14ac:dyDescent="0.3">
      <c r="A150" s="138" t="s">
        <v>823</v>
      </c>
      <c r="B150" s="138" t="s">
        <v>675</v>
      </c>
      <c r="C150" s="147">
        <v>258</v>
      </c>
      <c r="D150" s="139">
        <v>76</v>
      </c>
      <c r="E150" s="139">
        <v>21.5</v>
      </c>
      <c r="F150" s="141">
        <v>21.5</v>
      </c>
      <c r="G150" s="139">
        <v>11.8</v>
      </c>
      <c r="H150" s="141">
        <v>11.75</v>
      </c>
      <c r="I150" s="140">
        <v>1.28</v>
      </c>
      <c r="J150" s="141">
        <v>1.25</v>
      </c>
      <c r="K150" s="143">
        <v>0.625</v>
      </c>
      <c r="L150" s="140">
        <v>2.2999999999999998</v>
      </c>
      <c r="M150" s="143">
        <v>2.3125</v>
      </c>
      <c r="N150" s="148">
        <v>2.7</v>
      </c>
      <c r="O150" s="145">
        <v>3.1875</v>
      </c>
      <c r="P150" s="145">
        <v>1.4375</v>
      </c>
      <c r="Q150" s="140">
        <v>2.56</v>
      </c>
      <c r="R150" s="139">
        <v>12.5</v>
      </c>
      <c r="S150" s="147">
        <v>5510</v>
      </c>
      <c r="T150" s="147">
        <v>611</v>
      </c>
      <c r="U150" s="147">
        <v>514</v>
      </c>
      <c r="V150" s="140">
        <v>8.5299999999999994</v>
      </c>
      <c r="W150" s="147">
        <v>628</v>
      </c>
      <c r="X150" s="147">
        <v>166</v>
      </c>
      <c r="Y150" s="147">
        <v>107</v>
      </c>
      <c r="Z150" s="140">
        <v>2.88</v>
      </c>
      <c r="AA150" s="147">
        <v>103</v>
      </c>
      <c r="AB150" s="147">
        <v>57600</v>
      </c>
      <c r="AC150" s="139">
        <v>56.6</v>
      </c>
      <c r="AD150" s="147">
        <v>384</v>
      </c>
      <c r="AE150" s="147">
        <v>116</v>
      </c>
      <c r="AF150" s="147">
        <v>306</v>
      </c>
      <c r="AG150" s="140">
        <v>3.42</v>
      </c>
      <c r="AH150" s="139">
        <v>19.2</v>
      </c>
      <c r="AI150" s="139">
        <v>75.099999999999994</v>
      </c>
      <c r="AJ150" s="139">
        <v>86.9</v>
      </c>
      <c r="AK150" s="139">
        <v>54.8</v>
      </c>
      <c r="AL150" s="139">
        <v>66.599999999999994</v>
      </c>
      <c r="AM150" s="141">
        <v>15.125</v>
      </c>
      <c r="AN150" s="141">
        <v>5.5</v>
      </c>
    </row>
    <row r="151" spans="1:40" x14ac:dyDescent="0.3">
      <c r="A151" s="138" t="s">
        <v>824</v>
      </c>
      <c r="B151" s="138" t="s">
        <v>677</v>
      </c>
      <c r="C151" s="139">
        <v>93</v>
      </c>
      <c r="D151" s="139">
        <v>27.3</v>
      </c>
      <c r="E151" s="139">
        <v>21.6</v>
      </c>
      <c r="F151" s="141">
        <v>21.625</v>
      </c>
      <c r="G151" s="140">
        <v>8.42</v>
      </c>
      <c r="H151" s="141">
        <v>8.375</v>
      </c>
      <c r="I151" s="142">
        <v>0.57999999999999996</v>
      </c>
      <c r="J151" s="141">
        <v>0.5625</v>
      </c>
      <c r="K151" s="143">
        <v>0.3125</v>
      </c>
      <c r="L151" s="142">
        <v>0.93</v>
      </c>
      <c r="M151" s="143">
        <v>0.9375</v>
      </c>
      <c r="N151" s="148">
        <v>1.43</v>
      </c>
      <c r="O151" s="145">
        <v>1.625</v>
      </c>
      <c r="P151" s="145">
        <v>0.9375</v>
      </c>
      <c r="Q151" s="140">
        <v>4.53</v>
      </c>
      <c r="R151" s="139">
        <v>32.299999999999997</v>
      </c>
      <c r="S151" s="147">
        <v>2070</v>
      </c>
      <c r="T151" s="147">
        <v>221</v>
      </c>
      <c r="U151" s="147">
        <v>192</v>
      </c>
      <c r="V151" s="140">
        <v>8.6999999999999993</v>
      </c>
      <c r="W151" s="139">
        <v>92.9</v>
      </c>
      <c r="X151" s="139">
        <v>34.700000000000003</v>
      </c>
      <c r="Y151" s="139">
        <v>22.1</v>
      </c>
      <c r="Z151" s="140">
        <v>1.84</v>
      </c>
      <c r="AA151" s="140">
        <v>6.03</v>
      </c>
      <c r="AB151" s="147">
        <v>9940</v>
      </c>
      <c r="AC151" s="139">
        <v>43.5</v>
      </c>
      <c r="AD151" s="139">
        <v>85.2</v>
      </c>
      <c r="AE151" s="139">
        <v>37.700000000000003</v>
      </c>
      <c r="AF151" s="147">
        <v>109</v>
      </c>
      <c r="AG151" s="140">
        <v>2.2400000000000002</v>
      </c>
      <c r="AH151" s="139">
        <v>20.7</v>
      </c>
      <c r="AI151" s="139">
        <v>66.5</v>
      </c>
      <c r="AJ151" s="139">
        <v>74.900000000000006</v>
      </c>
      <c r="AK151" s="139">
        <v>51.6</v>
      </c>
      <c r="AL151" s="139">
        <v>60</v>
      </c>
      <c r="AM151" s="141">
        <v>18.375</v>
      </c>
      <c r="AN151" s="141">
        <v>5.5</v>
      </c>
    </row>
    <row r="152" spans="1:40" x14ac:dyDescent="0.3">
      <c r="A152" s="138" t="s">
        <v>825</v>
      </c>
      <c r="B152" s="138" t="s">
        <v>675</v>
      </c>
      <c r="C152" s="147">
        <v>665</v>
      </c>
      <c r="D152" s="147">
        <v>196</v>
      </c>
      <c r="E152" s="139">
        <v>21.6</v>
      </c>
      <c r="F152" s="141">
        <v>21.625</v>
      </c>
      <c r="G152" s="139">
        <v>17.7</v>
      </c>
      <c r="H152" s="141">
        <v>17.625</v>
      </c>
      <c r="I152" s="140">
        <v>2.83</v>
      </c>
      <c r="J152" s="141">
        <v>2.8125</v>
      </c>
      <c r="K152" s="143">
        <v>1.4375</v>
      </c>
      <c r="L152" s="140">
        <v>4.5199999999999996</v>
      </c>
      <c r="M152" s="143">
        <v>4.5</v>
      </c>
      <c r="N152" s="148">
        <v>5.12</v>
      </c>
      <c r="O152" s="145">
        <v>5.8125</v>
      </c>
      <c r="P152" s="145">
        <v>2.625</v>
      </c>
      <c r="Q152" s="140">
        <v>1.95</v>
      </c>
      <c r="R152" s="140">
        <v>4.03</v>
      </c>
      <c r="S152" s="147">
        <v>12400</v>
      </c>
      <c r="T152" s="147">
        <v>1480</v>
      </c>
      <c r="U152" s="147">
        <v>1150</v>
      </c>
      <c r="V152" s="140">
        <v>7.98</v>
      </c>
      <c r="W152" s="147">
        <v>4170</v>
      </c>
      <c r="X152" s="147">
        <v>730</v>
      </c>
      <c r="Y152" s="147">
        <v>472</v>
      </c>
      <c r="Z152" s="140">
        <v>4.62</v>
      </c>
      <c r="AA152" s="147">
        <v>1120</v>
      </c>
      <c r="AB152" s="147">
        <v>305000</v>
      </c>
      <c r="AC152" s="139">
        <v>75.599999999999994</v>
      </c>
      <c r="AD152" s="147">
        <v>1510</v>
      </c>
      <c r="AE152" s="147">
        <v>287</v>
      </c>
      <c r="AF152" s="147">
        <v>739</v>
      </c>
      <c r="AG152" s="140">
        <v>5.57</v>
      </c>
      <c r="AH152" s="139">
        <v>17.100000000000001</v>
      </c>
      <c r="AI152" s="139">
        <v>89.3</v>
      </c>
      <c r="AJ152" s="147">
        <v>107</v>
      </c>
      <c r="AK152" s="139">
        <v>60.9</v>
      </c>
      <c r="AL152" s="139">
        <v>78.599999999999994</v>
      </c>
      <c r="AM152" s="141">
        <v>10</v>
      </c>
      <c r="AN152" s="141">
        <v>7.5</v>
      </c>
    </row>
    <row r="153" spans="1:40" x14ac:dyDescent="0.3">
      <c r="A153" s="138" t="s">
        <v>826</v>
      </c>
      <c r="B153" s="138" t="s">
        <v>677</v>
      </c>
      <c r="C153" s="147">
        <v>122</v>
      </c>
      <c r="D153" s="139">
        <v>35.9</v>
      </c>
      <c r="E153" s="139">
        <v>21.7</v>
      </c>
      <c r="F153" s="141">
        <v>21.625</v>
      </c>
      <c r="G153" s="139">
        <v>12.4</v>
      </c>
      <c r="H153" s="141">
        <v>12.375</v>
      </c>
      <c r="I153" s="142">
        <v>0.6</v>
      </c>
      <c r="J153" s="141">
        <v>0.625</v>
      </c>
      <c r="K153" s="143">
        <v>0.3125</v>
      </c>
      <c r="L153" s="142">
        <v>0.96</v>
      </c>
      <c r="M153" s="143">
        <v>0.9375</v>
      </c>
      <c r="N153" s="148">
        <v>1.46</v>
      </c>
      <c r="O153" s="145">
        <v>2.25</v>
      </c>
      <c r="P153" s="145">
        <v>1.5</v>
      </c>
      <c r="Q153" s="140">
        <v>6.45</v>
      </c>
      <c r="R153" s="139">
        <v>31.3</v>
      </c>
      <c r="S153" s="147">
        <v>2960</v>
      </c>
      <c r="T153" s="147">
        <v>307</v>
      </c>
      <c r="U153" s="147">
        <v>273</v>
      </c>
      <c r="V153" s="140">
        <v>9.09</v>
      </c>
      <c r="W153" s="147">
        <v>305</v>
      </c>
      <c r="X153" s="139">
        <v>75.599999999999994</v>
      </c>
      <c r="Y153" s="139">
        <v>49.2</v>
      </c>
      <c r="Z153" s="140">
        <v>2.92</v>
      </c>
      <c r="AA153" s="140">
        <v>8.98</v>
      </c>
      <c r="AB153" s="147">
        <v>32700</v>
      </c>
      <c r="AC153" s="139">
        <v>64.3</v>
      </c>
      <c r="AD153" s="147">
        <v>191</v>
      </c>
      <c r="AE153" s="139">
        <v>58.7</v>
      </c>
      <c r="AF153" s="147">
        <v>153</v>
      </c>
      <c r="AG153" s="140">
        <v>3.4</v>
      </c>
      <c r="AH153" s="139">
        <v>20.7</v>
      </c>
      <c r="AI153" s="139">
        <v>78.5</v>
      </c>
      <c r="AJ153" s="139">
        <v>90.9</v>
      </c>
      <c r="AK153" s="139">
        <v>55.8</v>
      </c>
      <c r="AL153" s="139">
        <v>68.2</v>
      </c>
      <c r="AM153" s="141">
        <v>17.25</v>
      </c>
      <c r="AN153" s="141">
        <v>5.5</v>
      </c>
    </row>
    <row r="154" spans="1:40" x14ac:dyDescent="0.3">
      <c r="A154" s="138" t="s">
        <v>827</v>
      </c>
      <c r="B154" s="138" t="s">
        <v>677</v>
      </c>
      <c r="C154" s="147">
        <v>132</v>
      </c>
      <c r="D154" s="139">
        <v>38.799999999999997</v>
      </c>
      <c r="E154" s="139">
        <v>21.8</v>
      </c>
      <c r="F154" s="141">
        <v>21.875</v>
      </c>
      <c r="G154" s="139">
        <v>12.4</v>
      </c>
      <c r="H154" s="141">
        <v>12.5</v>
      </c>
      <c r="I154" s="142">
        <v>0.65</v>
      </c>
      <c r="J154" s="141">
        <v>0.625</v>
      </c>
      <c r="K154" s="143">
        <v>0.3125</v>
      </c>
      <c r="L154" s="140">
        <v>1.04</v>
      </c>
      <c r="M154" s="143">
        <v>1.0625</v>
      </c>
      <c r="N154" s="148">
        <v>1.54</v>
      </c>
      <c r="O154" s="145">
        <v>2.25</v>
      </c>
      <c r="P154" s="145">
        <v>1.5625</v>
      </c>
      <c r="Q154" s="140">
        <v>6.01</v>
      </c>
      <c r="R154" s="139">
        <v>28.9</v>
      </c>
      <c r="S154" s="147">
        <v>3220</v>
      </c>
      <c r="T154" s="147">
        <v>333</v>
      </c>
      <c r="U154" s="147">
        <v>295</v>
      </c>
      <c r="V154" s="140">
        <v>9.1199999999999992</v>
      </c>
      <c r="W154" s="147">
        <v>333</v>
      </c>
      <c r="X154" s="139">
        <v>82.3</v>
      </c>
      <c r="Y154" s="139">
        <v>53.5</v>
      </c>
      <c r="Z154" s="140">
        <v>2.93</v>
      </c>
      <c r="AA154" s="139">
        <v>11.3</v>
      </c>
      <c r="AB154" s="147">
        <v>36000</v>
      </c>
      <c r="AC154" s="139">
        <v>64.400000000000006</v>
      </c>
      <c r="AD154" s="147">
        <v>206</v>
      </c>
      <c r="AE154" s="139">
        <v>62.8</v>
      </c>
      <c r="AF154" s="147">
        <v>164</v>
      </c>
      <c r="AG154" s="140">
        <v>3.43</v>
      </c>
      <c r="AH154" s="139">
        <v>20.8</v>
      </c>
      <c r="AI154" s="139">
        <v>78.599999999999994</v>
      </c>
      <c r="AJ154" s="139">
        <v>91</v>
      </c>
      <c r="AK154" s="139">
        <v>56</v>
      </c>
      <c r="AL154" s="139">
        <v>68.400000000000006</v>
      </c>
      <c r="AM154" s="141">
        <v>17.25</v>
      </c>
      <c r="AN154" s="141">
        <v>5.5</v>
      </c>
    </row>
    <row r="155" spans="1:40" x14ac:dyDescent="0.3">
      <c r="A155" s="138" t="s">
        <v>828</v>
      </c>
      <c r="B155" s="138" t="s">
        <v>675</v>
      </c>
      <c r="C155" s="147">
        <v>283</v>
      </c>
      <c r="D155" s="139">
        <v>83.3</v>
      </c>
      <c r="E155" s="139">
        <v>21.9</v>
      </c>
      <c r="F155" s="141">
        <v>21.875</v>
      </c>
      <c r="G155" s="139">
        <v>11.9</v>
      </c>
      <c r="H155" s="141">
        <v>11.875</v>
      </c>
      <c r="I155" s="140">
        <v>1.4</v>
      </c>
      <c r="J155" s="141">
        <v>1.375</v>
      </c>
      <c r="K155" s="143">
        <v>0.6875</v>
      </c>
      <c r="L155" s="140">
        <v>2.5</v>
      </c>
      <c r="M155" s="143">
        <v>2.5</v>
      </c>
      <c r="N155" s="148">
        <v>3</v>
      </c>
      <c r="O155" s="145">
        <v>3.375</v>
      </c>
      <c r="P155" s="145">
        <v>1.5</v>
      </c>
      <c r="Q155" s="140">
        <v>2.38</v>
      </c>
      <c r="R155" s="139">
        <v>11.3</v>
      </c>
      <c r="S155" s="147">
        <v>6170</v>
      </c>
      <c r="T155" s="147">
        <v>676</v>
      </c>
      <c r="U155" s="147">
        <v>565</v>
      </c>
      <c r="V155" s="140">
        <v>8.61</v>
      </c>
      <c r="W155" s="147">
        <v>704</v>
      </c>
      <c r="X155" s="147">
        <v>185</v>
      </c>
      <c r="Y155" s="147">
        <v>118</v>
      </c>
      <c r="Z155" s="140">
        <v>2.91</v>
      </c>
      <c r="AA155" s="147">
        <v>134</v>
      </c>
      <c r="AB155" s="147">
        <v>65900</v>
      </c>
      <c r="AC155" s="139">
        <v>57.7</v>
      </c>
      <c r="AD155" s="147">
        <v>429</v>
      </c>
      <c r="AE155" s="147">
        <v>127</v>
      </c>
      <c r="AF155" s="147">
        <v>339</v>
      </c>
      <c r="AG155" s="140">
        <v>3.47</v>
      </c>
      <c r="AH155" s="139">
        <v>19.399999999999999</v>
      </c>
      <c r="AI155" s="139">
        <v>75.8</v>
      </c>
      <c r="AJ155" s="139">
        <v>87.7</v>
      </c>
      <c r="AK155" s="139">
        <v>55.7</v>
      </c>
      <c r="AL155" s="139">
        <v>67.599999999999994</v>
      </c>
      <c r="AM155" s="141">
        <v>15.125</v>
      </c>
      <c r="AN155" s="141">
        <v>5.5</v>
      </c>
    </row>
    <row r="156" spans="1:40" x14ac:dyDescent="0.3">
      <c r="A156" s="138" t="s">
        <v>829</v>
      </c>
      <c r="B156" s="138" t="s">
        <v>677</v>
      </c>
      <c r="C156" s="147">
        <v>147</v>
      </c>
      <c r="D156" s="139">
        <v>43.2</v>
      </c>
      <c r="E156" s="139">
        <v>22.1</v>
      </c>
      <c r="F156" s="141">
        <v>22</v>
      </c>
      <c r="G156" s="139">
        <v>12.5</v>
      </c>
      <c r="H156" s="141">
        <v>12.5</v>
      </c>
      <c r="I156" s="142">
        <v>0.72</v>
      </c>
      <c r="J156" s="141">
        <v>0.75</v>
      </c>
      <c r="K156" s="143">
        <v>0.375</v>
      </c>
      <c r="L156" s="140">
        <v>1.1499999999999999</v>
      </c>
      <c r="M156" s="143">
        <v>1.125</v>
      </c>
      <c r="N156" s="148">
        <v>1.65</v>
      </c>
      <c r="O156" s="145">
        <v>2.4375</v>
      </c>
      <c r="P156" s="145">
        <v>1.5625</v>
      </c>
      <c r="Q156" s="140">
        <v>5.44</v>
      </c>
      <c r="R156" s="139">
        <v>26.1</v>
      </c>
      <c r="S156" s="147">
        <v>3630</v>
      </c>
      <c r="T156" s="147">
        <v>373</v>
      </c>
      <c r="U156" s="147">
        <v>329</v>
      </c>
      <c r="V156" s="140">
        <v>9.17</v>
      </c>
      <c r="W156" s="147">
        <v>376</v>
      </c>
      <c r="X156" s="139">
        <v>92.6</v>
      </c>
      <c r="Y156" s="139">
        <v>60.1</v>
      </c>
      <c r="Z156" s="140">
        <v>2.95</v>
      </c>
      <c r="AA156" s="139">
        <v>15.4</v>
      </c>
      <c r="AB156" s="147">
        <v>41100</v>
      </c>
      <c r="AC156" s="139">
        <v>65.5</v>
      </c>
      <c r="AD156" s="147">
        <v>235</v>
      </c>
      <c r="AE156" s="139">
        <v>71</v>
      </c>
      <c r="AF156" s="147">
        <v>186</v>
      </c>
      <c r="AG156" s="140">
        <v>3.46</v>
      </c>
      <c r="AH156" s="139">
        <v>21</v>
      </c>
      <c r="AI156" s="139">
        <v>79.400000000000006</v>
      </c>
      <c r="AJ156" s="139">
        <v>91.9</v>
      </c>
      <c r="AK156" s="139">
        <v>56.7</v>
      </c>
      <c r="AL156" s="139">
        <v>69.2</v>
      </c>
      <c r="AM156" s="141">
        <v>17.25</v>
      </c>
      <c r="AN156" s="141">
        <v>5.5</v>
      </c>
    </row>
    <row r="157" spans="1:40" x14ac:dyDescent="0.3">
      <c r="A157" s="138" t="s">
        <v>830</v>
      </c>
      <c r="B157" s="138" t="s">
        <v>675</v>
      </c>
      <c r="C157" s="147">
        <v>311</v>
      </c>
      <c r="D157" s="139">
        <v>91.6</v>
      </c>
      <c r="E157" s="139">
        <v>22.3</v>
      </c>
      <c r="F157" s="141">
        <v>22.375</v>
      </c>
      <c r="G157" s="139">
        <v>12</v>
      </c>
      <c r="H157" s="141">
        <v>12</v>
      </c>
      <c r="I157" s="140">
        <v>1.52</v>
      </c>
      <c r="J157" s="141">
        <v>1.5</v>
      </c>
      <c r="K157" s="143">
        <v>0.75</v>
      </c>
      <c r="L157" s="140">
        <v>2.74</v>
      </c>
      <c r="M157" s="143">
        <v>2.75</v>
      </c>
      <c r="N157" s="148">
        <v>3.24</v>
      </c>
      <c r="O157" s="145">
        <v>3.5625</v>
      </c>
      <c r="P157" s="145">
        <v>1.5625</v>
      </c>
      <c r="Q157" s="140">
        <v>2.19</v>
      </c>
      <c r="R157" s="139">
        <v>10.4</v>
      </c>
      <c r="S157" s="147">
        <v>6970</v>
      </c>
      <c r="T157" s="147">
        <v>754</v>
      </c>
      <c r="U157" s="147">
        <v>624</v>
      </c>
      <c r="V157" s="140">
        <v>8.7200000000000006</v>
      </c>
      <c r="W157" s="147">
        <v>795</v>
      </c>
      <c r="X157" s="147">
        <v>207</v>
      </c>
      <c r="Y157" s="147">
        <v>132</v>
      </c>
      <c r="Z157" s="140">
        <v>2.95</v>
      </c>
      <c r="AA157" s="147">
        <v>176</v>
      </c>
      <c r="AB157" s="147">
        <v>76200</v>
      </c>
      <c r="AC157" s="139">
        <v>58.7</v>
      </c>
      <c r="AD157" s="147">
        <v>482</v>
      </c>
      <c r="AE157" s="147">
        <v>140</v>
      </c>
      <c r="AF157" s="147">
        <v>375</v>
      </c>
      <c r="AG157" s="140">
        <v>3.53</v>
      </c>
      <c r="AH157" s="139">
        <v>19.600000000000001</v>
      </c>
      <c r="AI157" s="139">
        <v>76.7</v>
      </c>
      <c r="AJ157" s="139">
        <v>88.7</v>
      </c>
      <c r="AK157" s="139">
        <v>56.6</v>
      </c>
      <c r="AL157" s="139">
        <v>68.599999999999994</v>
      </c>
      <c r="AM157" s="141">
        <v>15.125</v>
      </c>
      <c r="AN157" s="141">
        <v>5.5</v>
      </c>
    </row>
    <row r="158" spans="1:40" x14ac:dyDescent="0.3">
      <c r="A158" s="138" t="s">
        <v>831</v>
      </c>
      <c r="B158" s="138" t="s">
        <v>675</v>
      </c>
      <c r="C158" s="147">
        <v>730</v>
      </c>
      <c r="D158" s="147">
        <v>215</v>
      </c>
      <c r="E158" s="139">
        <v>22.4</v>
      </c>
      <c r="F158" s="141">
        <v>22.375</v>
      </c>
      <c r="G158" s="139">
        <v>17.899999999999999</v>
      </c>
      <c r="H158" s="141">
        <v>17.875</v>
      </c>
      <c r="I158" s="140">
        <v>3.07</v>
      </c>
      <c r="J158" s="141">
        <v>3.0625</v>
      </c>
      <c r="K158" s="143">
        <v>1.5625</v>
      </c>
      <c r="L158" s="140">
        <v>4.91</v>
      </c>
      <c r="M158" s="143">
        <v>4.9375</v>
      </c>
      <c r="N158" s="148">
        <v>5.51</v>
      </c>
      <c r="O158" s="145">
        <v>6.1875</v>
      </c>
      <c r="P158" s="145">
        <v>2.75</v>
      </c>
      <c r="Q158" s="140">
        <v>1.82</v>
      </c>
      <c r="R158" s="140">
        <v>3.71</v>
      </c>
      <c r="S158" s="147">
        <v>14300</v>
      </c>
      <c r="T158" s="147">
        <v>1660</v>
      </c>
      <c r="U158" s="147">
        <v>1280</v>
      </c>
      <c r="V158" s="140">
        <v>8.17</v>
      </c>
      <c r="W158" s="147">
        <v>4720</v>
      </c>
      <c r="X158" s="147">
        <v>816</v>
      </c>
      <c r="Y158" s="147">
        <v>527</v>
      </c>
      <c r="Z158" s="140">
        <v>4.6900000000000004</v>
      </c>
      <c r="AA158" s="147">
        <v>1450</v>
      </c>
      <c r="AB158" s="147">
        <v>362000</v>
      </c>
      <c r="AC158" s="139">
        <v>78.3</v>
      </c>
      <c r="AD158" s="147">
        <v>1720</v>
      </c>
      <c r="AE158" s="147">
        <v>318</v>
      </c>
      <c r="AF158" s="147">
        <v>829</v>
      </c>
      <c r="AG158" s="140">
        <v>5.68</v>
      </c>
      <c r="AH158" s="139">
        <v>17.5</v>
      </c>
      <c r="AI158" s="139">
        <v>91.1</v>
      </c>
      <c r="AJ158" s="147">
        <v>109</v>
      </c>
      <c r="AK158" s="139">
        <v>62.7</v>
      </c>
      <c r="AL158" s="139">
        <v>80.599999999999994</v>
      </c>
      <c r="AM158" s="141">
        <v>10</v>
      </c>
      <c r="AN158" s="141">
        <v>7.5</v>
      </c>
    </row>
    <row r="159" spans="1:40" x14ac:dyDescent="0.3">
      <c r="A159" s="138" t="s">
        <v>832</v>
      </c>
      <c r="B159" s="138" t="s">
        <v>677</v>
      </c>
      <c r="C159" s="147">
        <v>166</v>
      </c>
      <c r="D159" s="139">
        <v>48.8</v>
      </c>
      <c r="E159" s="139">
        <v>22.5</v>
      </c>
      <c r="F159" s="141">
        <v>22.5</v>
      </c>
      <c r="G159" s="139">
        <v>12.4</v>
      </c>
      <c r="H159" s="141">
        <v>12.375</v>
      </c>
      <c r="I159" s="142">
        <v>0.75</v>
      </c>
      <c r="J159" s="141">
        <v>0.75</v>
      </c>
      <c r="K159" s="143">
        <v>0.375</v>
      </c>
      <c r="L159" s="140">
        <v>1.36</v>
      </c>
      <c r="M159" s="143">
        <v>1.375</v>
      </c>
      <c r="N159" s="148">
        <v>1.86</v>
      </c>
      <c r="O159" s="145">
        <v>2.625</v>
      </c>
      <c r="P159" s="145">
        <v>1.5625</v>
      </c>
      <c r="Q159" s="140">
        <v>4.57</v>
      </c>
      <c r="R159" s="139">
        <v>25</v>
      </c>
      <c r="S159" s="147">
        <v>4280</v>
      </c>
      <c r="T159" s="147">
        <v>432</v>
      </c>
      <c r="U159" s="147">
        <v>380</v>
      </c>
      <c r="V159" s="140">
        <v>9.36</v>
      </c>
      <c r="W159" s="147">
        <v>435</v>
      </c>
      <c r="X159" s="147">
        <v>108</v>
      </c>
      <c r="Y159" s="139">
        <v>70</v>
      </c>
      <c r="Z159" s="140">
        <v>2.99</v>
      </c>
      <c r="AA159" s="139">
        <v>23.6</v>
      </c>
      <c r="AB159" s="147">
        <v>48500</v>
      </c>
      <c r="AC159" s="139">
        <v>65.5</v>
      </c>
      <c r="AD159" s="147">
        <v>276</v>
      </c>
      <c r="AE159" s="139">
        <v>83.7</v>
      </c>
      <c r="AF159" s="147">
        <v>215</v>
      </c>
      <c r="AG159" s="140">
        <v>3.48</v>
      </c>
      <c r="AH159" s="139">
        <v>21.1</v>
      </c>
      <c r="AI159" s="139">
        <v>79.8</v>
      </c>
      <c r="AJ159" s="139">
        <v>92.2</v>
      </c>
      <c r="AK159" s="139">
        <v>57.4</v>
      </c>
      <c r="AL159" s="139">
        <v>69.8</v>
      </c>
      <c r="AM159" s="141">
        <v>17.25</v>
      </c>
      <c r="AN159" s="141">
        <v>5.5</v>
      </c>
    </row>
    <row r="160" spans="1:40" x14ac:dyDescent="0.3">
      <c r="A160" s="138" t="s">
        <v>833</v>
      </c>
      <c r="B160" s="138" t="s">
        <v>677</v>
      </c>
      <c r="C160" s="147">
        <v>182</v>
      </c>
      <c r="D160" s="139">
        <v>53.6</v>
      </c>
      <c r="E160" s="139">
        <v>22.7</v>
      </c>
      <c r="F160" s="141">
        <v>22.75</v>
      </c>
      <c r="G160" s="139">
        <v>12.5</v>
      </c>
      <c r="H160" s="141">
        <v>12.5</v>
      </c>
      <c r="I160" s="142">
        <v>0.83</v>
      </c>
      <c r="J160" s="141">
        <v>0.8125</v>
      </c>
      <c r="K160" s="143">
        <v>0.4375</v>
      </c>
      <c r="L160" s="140">
        <v>1.48</v>
      </c>
      <c r="M160" s="143">
        <v>1.5</v>
      </c>
      <c r="N160" s="148">
        <v>1.98</v>
      </c>
      <c r="O160" s="145">
        <v>2.75</v>
      </c>
      <c r="P160" s="145">
        <v>1.625</v>
      </c>
      <c r="Q160" s="140">
        <v>4.22</v>
      </c>
      <c r="R160" s="139">
        <v>22.6</v>
      </c>
      <c r="S160" s="147">
        <v>4730</v>
      </c>
      <c r="T160" s="147">
        <v>476</v>
      </c>
      <c r="U160" s="147">
        <v>417</v>
      </c>
      <c r="V160" s="140">
        <v>9.4</v>
      </c>
      <c r="W160" s="147">
        <v>483</v>
      </c>
      <c r="X160" s="147">
        <v>119</v>
      </c>
      <c r="Y160" s="139">
        <v>77.2</v>
      </c>
      <c r="Z160" s="140">
        <v>3</v>
      </c>
      <c r="AA160" s="139">
        <v>30.7</v>
      </c>
      <c r="AB160" s="147">
        <v>54400</v>
      </c>
      <c r="AC160" s="139">
        <v>66.3</v>
      </c>
      <c r="AD160" s="147">
        <v>307</v>
      </c>
      <c r="AE160" s="139">
        <v>91.6</v>
      </c>
      <c r="AF160" s="147">
        <v>237</v>
      </c>
      <c r="AG160" s="140">
        <v>3.51</v>
      </c>
      <c r="AH160" s="139">
        <v>21.2</v>
      </c>
      <c r="AI160" s="139">
        <v>80.400000000000006</v>
      </c>
      <c r="AJ160" s="139">
        <v>92.9</v>
      </c>
      <c r="AK160" s="139">
        <v>57.9</v>
      </c>
      <c r="AL160" s="139">
        <v>70.400000000000006</v>
      </c>
      <c r="AM160" s="141">
        <v>17.25</v>
      </c>
      <c r="AN160" s="141">
        <v>5.5</v>
      </c>
    </row>
    <row r="161" spans="1:40" x14ac:dyDescent="0.3">
      <c r="A161" s="138" t="s">
        <v>834</v>
      </c>
      <c r="B161" s="138" t="s">
        <v>675</v>
      </c>
      <c r="C161" s="147">
        <v>808</v>
      </c>
      <c r="D161" s="147">
        <v>238</v>
      </c>
      <c r="E161" s="139">
        <v>22.8</v>
      </c>
      <c r="F161" s="141">
        <v>22.75</v>
      </c>
      <c r="G161" s="139">
        <v>18.600000000000001</v>
      </c>
      <c r="H161" s="141">
        <v>18.625</v>
      </c>
      <c r="I161" s="140">
        <v>3.74</v>
      </c>
      <c r="J161" s="141">
        <v>3.75</v>
      </c>
      <c r="K161" s="143">
        <v>1.875</v>
      </c>
      <c r="L161" s="140">
        <v>5.12</v>
      </c>
      <c r="M161" s="143">
        <v>5.125</v>
      </c>
      <c r="N161" s="148">
        <v>5.71</v>
      </c>
      <c r="O161" s="145">
        <v>5.75</v>
      </c>
      <c r="P161" s="145">
        <v>2.5</v>
      </c>
      <c r="Q161" s="140">
        <v>1.82</v>
      </c>
      <c r="R161" s="140">
        <v>3.04</v>
      </c>
      <c r="S161" s="147">
        <v>15900</v>
      </c>
      <c r="T161" s="147">
        <v>1830</v>
      </c>
      <c r="U161" s="147">
        <v>1390</v>
      </c>
      <c r="V161" s="140">
        <v>8.17</v>
      </c>
      <c r="W161" s="147">
        <v>5550</v>
      </c>
      <c r="X161" s="147">
        <v>930</v>
      </c>
      <c r="Y161" s="147">
        <v>597</v>
      </c>
      <c r="Z161" s="140">
        <v>4.83</v>
      </c>
      <c r="AA161" s="147">
        <v>1840</v>
      </c>
      <c r="AB161" s="147">
        <v>434000</v>
      </c>
      <c r="AC161" s="139">
        <v>82.2</v>
      </c>
      <c r="AD161" s="147">
        <v>1960</v>
      </c>
      <c r="AE161" s="147">
        <v>336</v>
      </c>
      <c r="AF161" s="147">
        <v>916</v>
      </c>
      <c r="AG161" s="140">
        <v>5.94</v>
      </c>
      <c r="AH161" s="139">
        <v>17.7</v>
      </c>
      <c r="AI161" s="139">
        <v>93.4</v>
      </c>
      <c r="AJ161" s="147">
        <v>112</v>
      </c>
      <c r="AK161" s="139">
        <v>64.2</v>
      </c>
      <c r="AL161" s="139">
        <v>82.800000000000011</v>
      </c>
      <c r="AM161" s="141">
        <v>11.25</v>
      </c>
      <c r="AN161" s="141">
        <v>8.5</v>
      </c>
    </row>
    <row r="162" spans="1:40" x14ac:dyDescent="0.3">
      <c r="A162" s="138" t="s">
        <v>835</v>
      </c>
      <c r="B162" s="138" t="s">
        <v>677</v>
      </c>
      <c r="C162" s="147">
        <v>201</v>
      </c>
      <c r="D162" s="139">
        <v>59.3</v>
      </c>
      <c r="E162" s="139">
        <v>23</v>
      </c>
      <c r="F162" s="141">
        <v>23</v>
      </c>
      <c r="G162" s="139">
        <v>12.6</v>
      </c>
      <c r="H162" s="141">
        <v>12.625</v>
      </c>
      <c r="I162" s="142">
        <v>0.91</v>
      </c>
      <c r="J162" s="141">
        <v>0.9375</v>
      </c>
      <c r="K162" s="143">
        <v>0.5</v>
      </c>
      <c r="L162" s="140">
        <v>1.63</v>
      </c>
      <c r="M162" s="143">
        <v>1.625</v>
      </c>
      <c r="N162" s="148">
        <v>2.13</v>
      </c>
      <c r="O162" s="145">
        <v>2.875</v>
      </c>
      <c r="P162" s="145">
        <v>1.6875</v>
      </c>
      <c r="Q162" s="140">
        <v>3.86</v>
      </c>
      <c r="R162" s="139">
        <v>20.6</v>
      </c>
      <c r="S162" s="147">
        <v>5310</v>
      </c>
      <c r="T162" s="147">
        <v>530</v>
      </c>
      <c r="U162" s="147">
        <v>461</v>
      </c>
      <c r="V162" s="140">
        <v>9.4700000000000006</v>
      </c>
      <c r="W162" s="147">
        <v>542</v>
      </c>
      <c r="X162" s="147">
        <v>133</v>
      </c>
      <c r="Y162" s="139">
        <v>86.1</v>
      </c>
      <c r="Z162" s="140">
        <v>3.02</v>
      </c>
      <c r="AA162" s="139">
        <v>40.9</v>
      </c>
      <c r="AB162" s="147">
        <v>62000</v>
      </c>
      <c r="AC162" s="139">
        <v>67.3</v>
      </c>
      <c r="AD162" s="147">
        <v>346</v>
      </c>
      <c r="AE162" s="147">
        <v>102</v>
      </c>
      <c r="AF162" s="147">
        <v>264</v>
      </c>
      <c r="AG162" s="140">
        <v>3.55</v>
      </c>
      <c r="AH162" s="139">
        <v>21.4</v>
      </c>
      <c r="AI162" s="139">
        <v>81.099999999999994</v>
      </c>
      <c r="AJ162" s="139">
        <v>93.7</v>
      </c>
      <c r="AK162" s="139">
        <v>58.6</v>
      </c>
      <c r="AL162" s="139">
        <v>71.2</v>
      </c>
      <c r="AM162" s="141">
        <v>17.25</v>
      </c>
      <c r="AN162" s="141">
        <v>5.5</v>
      </c>
    </row>
    <row r="163" spans="1:40" x14ac:dyDescent="0.3">
      <c r="A163" s="138" t="s">
        <v>836</v>
      </c>
      <c r="B163" s="138" t="s">
        <v>677</v>
      </c>
      <c r="C163" s="147">
        <v>223</v>
      </c>
      <c r="D163" s="139">
        <v>66.5</v>
      </c>
      <c r="E163" s="139">
        <v>23.4</v>
      </c>
      <c r="F163" s="141">
        <v>23.375</v>
      </c>
      <c r="G163" s="139">
        <v>12.7</v>
      </c>
      <c r="H163" s="141">
        <v>12.625</v>
      </c>
      <c r="I163" s="140">
        <v>1</v>
      </c>
      <c r="J163" s="141">
        <v>1</v>
      </c>
      <c r="K163" s="143">
        <v>0.5</v>
      </c>
      <c r="L163" s="140">
        <v>1.79</v>
      </c>
      <c r="M163" s="143">
        <v>1.8125</v>
      </c>
      <c r="N163" s="148">
        <v>2.9699999999999998</v>
      </c>
      <c r="O163" s="145">
        <v>3.0625</v>
      </c>
      <c r="P163" s="145">
        <v>1.6875</v>
      </c>
      <c r="Q163" s="140">
        <v>3.55</v>
      </c>
      <c r="R163" s="139">
        <v>17.5</v>
      </c>
      <c r="S163" s="147">
        <v>6080</v>
      </c>
      <c r="T163" s="147">
        <v>601</v>
      </c>
      <c r="U163" s="147">
        <v>520</v>
      </c>
      <c r="V163" s="140">
        <v>9.56</v>
      </c>
      <c r="W163" s="147">
        <v>614</v>
      </c>
      <c r="X163" s="147">
        <v>150</v>
      </c>
      <c r="Y163" s="139">
        <v>96.7</v>
      </c>
      <c r="Z163" s="140">
        <v>3.04</v>
      </c>
      <c r="AA163" s="139">
        <v>59.5</v>
      </c>
      <c r="AB163" s="147">
        <v>71700</v>
      </c>
      <c r="AC163" s="139">
        <v>68.599999999999994</v>
      </c>
      <c r="AD163" s="147">
        <v>390</v>
      </c>
      <c r="AE163" s="147">
        <v>113</v>
      </c>
      <c r="AF163" s="147">
        <v>295</v>
      </c>
      <c r="AG163" s="140">
        <v>3.57</v>
      </c>
      <c r="AH163" s="139">
        <v>21.6</v>
      </c>
      <c r="AI163" s="139">
        <v>80.900000000000006</v>
      </c>
      <c r="AJ163" s="139">
        <v>93.6</v>
      </c>
      <c r="AK163" s="139">
        <v>59.5</v>
      </c>
      <c r="AL163" s="139">
        <v>72.2</v>
      </c>
      <c r="AM163" s="141">
        <v>17.25</v>
      </c>
      <c r="AN163" s="141">
        <v>5.5</v>
      </c>
    </row>
    <row r="164" spans="1:40" x14ac:dyDescent="0.3">
      <c r="A164" s="138" t="s">
        <v>837</v>
      </c>
      <c r="B164" s="138" t="s">
        <v>677</v>
      </c>
      <c r="C164" s="139">
        <v>55</v>
      </c>
      <c r="D164" s="139">
        <v>16.2</v>
      </c>
      <c r="E164" s="139">
        <v>23.6</v>
      </c>
      <c r="F164" s="141">
        <v>23.625</v>
      </c>
      <c r="G164" s="140">
        <v>7.01</v>
      </c>
      <c r="H164" s="141">
        <v>7</v>
      </c>
      <c r="I164" s="142">
        <v>0.39500000000000002</v>
      </c>
      <c r="J164" s="141">
        <v>0.375</v>
      </c>
      <c r="K164" s="143">
        <v>0.1875</v>
      </c>
      <c r="L164" s="142">
        <v>0.505</v>
      </c>
      <c r="M164" s="143">
        <v>0.5</v>
      </c>
      <c r="N164" s="148">
        <v>1.01</v>
      </c>
      <c r="O164" s="145">
        <v>1.4375</v>
      </c>
      <c r="P164" s="145">
        <v>1</v>
      </c>
      <c r="Q164" s="140">
        <v>6.94</v>
      </c>
      <c r="R164" s="139">
        <v>54.6</v>
      </c>
      <c r="S164" s="147">
        <v>1350</v>
      </c>
      <c r="T164" s="147">
        <v>134</v>
      </c>
      <c r="U164" s="147">
        <v>114</v>
      </c>
      <c r="V164" s="140">
        <v>9.11</v>
      </c>
      <c r="W164" s="139">
        <v>29.1</v>
      </c>
      <c r="X164" s="139">
        <v>13.3</v>
      </c>
      <c r="Y164" s="140">
        <v>8.3000000000000007</v>
      </c>
      <c r="Z164" s="140">
        <v>1.34</v>
      </c>
      <c r="AA164" s="140">
        <v>1.18</v>
      </c>
      <c r="AB164" s="147">
        <v>3870</v>
      </c>
      <c r="AC164" s="139">
        <v>40.5</v>
      </c>
      <c r="AD164" s="139">
        <v>35.799999999999997</v>
      </c>
      <c r="AE164" s="139">
        <v>19.3</v>
      </c>
      <c r="AF164" s="139">
        <v>66.099999999999994</v>
      </c>
      <c r="AG164" s="140">
        <v>1.72</v>
      </c>
      <c r="AH164" s="139">
        <v>23.1</v>
      </c>
      <c r="AI164" s="139">
        <v>66.599999999999994</v>
      </c>
      <c r="AJ164" s="139">
        <v>73.599999999999994</v>
      </c>
      <c r="AK164" s="139">
        <v>54.2</v>
      </c>
      <c r="AL164" s="139">
        <v>61.2</v>
      </c>
      <c r="AM164" s="141">
        <v>20.75</v>
      </c>
      <c r="AN164" s="141">
        <v>3.5</v>
      </c>
    </row>
    <row r="165" spans="1:40" x14ac:dyDescent="0.3">
      <c r="A165" s="138" t="s">
        <v>838</v>
      </c>
      <c r="B165" s="138" t="s">
        <v>675</v>
      </c>
      <c r="C165" s="147">
        <v>873</v>
      </c>
      <c r="D165" s="147">
        <v>257</v>
      </c>
      <c r="E165" s="139">
        <v>23.6</v>
      </c>
      <c r="F165" s="141">
        <v>23.625</v>
      </c>
      <c r="G165" s="139">
        <v>18.8</v>
      </c>
      <c r="H165" s="141">
        <v>18.75</v>
      </c>
      <c r="I165" s="140">
        <v>3.94</v>
      </c>
      <c r="J165" s="141">
        <v>3.9375</v>
      </c>
      <c r="K165" s="143">
        <v>2</v>
      </c>
      <c r="L165" s="140">
        <v>5.51</v>
      </c>
      <c r="M165" s="143">
        <v>5.5</v>
      </c>
      <c r="N165" s="148">
        <v>6.1</v>
      </c>
      <c r="O165" s="145">
        <v>6.1875</v>
      </c>
      <c r="P165" s="145">
        <v>2.5625</v>
      </c>
      <c r="Q165" s="140">
        <v>1.71</v>
      </c>
      <c r="R165" s="140">
        <v>2.89</v>
      </c>
      <c r="S165" s="147">
        <v>18100</v>
      </c>
      <c r="T165" s="147">
        <v>2030</v>
      </c>
      <c r="U165" s="147">
        <v>1530</v>
      </c>
      <c r="V165" s="140">
        <v>8.39</v>
      </c>
      <c r="W165" s="147">
        <v>6170</v>
      </c>
      <c r="X165" s="147">
        <v>1020</v>
      </c>
      <c r="Y165" s="147">
        <v>656</v>
      </c>
      <c r="Z165" s="140">
        <v>4.9000000000000004</v>
      </c>
      <c r="AA165" s="147">
        <v>2270</v>
      </c>
      <c r="AB165" s="147">
        <v>505000</v>
      </c>
      <c r="AC165" s="139">
        <v>85</v>
      </c>
      <c r="AD165" s="147">
        <v>2200</v>
      </c>
      <c r="AE165" s="147">
        <v>370</v>
      </c>
      <c r="AF165" s="147">
        <v>1010</v>
      </c>
      <c r="AG165" s="140">
        <v>6.04</v>
      </c>
      <c r="AH165" s="139">
        <v>18.100000000000001</v>
      </c>
      <c r="AI165" s="139">
        <v>95.2</v>
      </c>
      <c r="AJ165" s="147">
        <v>114</v>
      </c>
      <c r="AK165" s="139">
        <v>66</v>
      </c>
      <c r="AL165" s="139">
        <v>84.800000000000011</v>
      </c>
      <c r="AM165" s="141">
        <v>11.25</v>
      </c>
      <c r="AN165" s="141">
        <v>8.5</v>
      </c>
    </row>
    <row r="166" spans="1:40" x14ac:dyDescent="0.3">
      <c r="A166" s="138" t="s">
        <v>839</v>
      </c>
      <c r="B166" s="138" t="s">
        <v>677</v>
      </c>
      <c r="C166" s="139">
        <v>62</v>
      </c>
      <c r="D166" s="139">
        <v>18.2</v>
      </c>
      <c r="E166" s="139">
        <v>23.7</v>
      </c>
      <c r="F166" s="141">
        <v>23.75</v>
      </c>
      <c r="G166" s="140">
        <v>7.04</v>
      </c>
      <c r="H166" s="141">
        <v>7</v>
      </c>
      <c r="I166" s="142">
        <v>0.43</v>
      </c>
      <c r="J166" s="141">
        <v>0.4375</v>
      </c>
      <c r="K166" s="143">
        <v>0.25</v>
      </c>
      <c r="L166" s="142">
        <v>0.59</v>
      </c>
      <c r="M166" s="143">
        <v>0.5625</v>
      </c>
      <c r="N166" s="148">
        <v>1.0900000000000001</v>
      </c>
      <c r="O166" s="145">
        <v>1.5</v>
      </c>
      <c r="P166" s="145">
        <v>1.0625</v>
      </c>
      <c r="Q166" s="140">
        <v>5.97</v>
      </c>
      <c r="R166" s="139">
        <v>50.1</v>
      </c>
      <c r="S166" s="147">
        <v>1550</v>
      </c>
      <c r="T166" s="147">
        <v>153</v>
      </c>
      <c r="U166" s="147">
        <v>131</v>
      </c>
      <c r="V166" s="140">
        <v>9.23</v>
      </c>
      <c r="W166" s="139">
        <v>34.5</v>
      </c>
      <c r="X166" s="139">
        <v>15.7</v>
      </c>
      <c r="Y166" s="140">
        <v>9.8000000000000007</v>
      </c>
      <c r="Z166" s="140">
        <v>1.38</v>
      </c>
      <c r="AA166" s="140">
        <v>1.71</v>
      </c>
      <c r="AB166" s="147">
        <v>4620</v>
      </c>
      <c r="AC166" s="139">
        <v>40.700000000000003</v>
      </c>
      <c r="AD166" s="139">
        <v>42.2</v>
      </c>
      <c r="AE166" s="139">
        <v>22.5</v>
      </c>
      <c r="AF166" s="139">
        <v>75.3</v>
      </c>
      <c r="AG166" s="140">
        <v>1.75</v>
      </c>
      <c r="AH166" s="139">
        <v>23.1</v>
      </c>
      <c r="AI166" s="139">
        <v>66.8</v>
      </c>
      <c r="AJ166" s="139">
        <v>73.8</v>
      </c>
      <c r="AK166" s="139">
        <v>54.4</v>
      </c>
      <c r="AL166" s="139">
        <v>61.5</v>
      </c>
      <c r="AM166" s="141">
        <v>20.75</v>
      </c>
      <c r="AN166" s="141">
        <v>3.5</v>
      </c>
    </row>
    <row r="167" spans="1:40" x14ac:dyDescent="0.3">
      <c r="A167" s="138" t="s">
        <v>840</v>
      </c>
      <c r="B167" s="138" t="s">
        <v>677</v>
      </c>
      <c r="C167" s="139">
        <v>68</v>
      </c>
      <c r="D167" s="139">
        <v>20.100000000000001</v>
      </c>
      <c r="E167" s="139">
        <v>23.7</v>
      </c>
      <c r="F167" s="141">
        <v>23.75</v>
      </c>
      <c r="G167" s="140">
        <v>8.9700000000000006</v>
      </c>
      <c r="H167" s="141">
        <v>9</v>
      </c>
      <c r="I167" s="142">
        <v>0.41499999999999998</v>
      </c>
      <c r="J167" s="141">
        <v>0.4375</v>
      </c>
      <c r="K167" s="143">
        <v>0.25</v>
      </c>
      <c r="L167" s="142">
        <v>0.58499999999999996</v>
      </c>
      <c r="M167" s="143">
        <v>0.5625</v>
      </c>
      <c r="N167" s="148">
        <v>1.0900000000000001</v>
      </c>
      <c r="O167" s="145">
        <v>1.875</v>
      </c>
      <c r="P167" s="145">
        <v>1.4375</v>
      </c>
      <c r="Q167" s="140">
        <v>7.66</v>
      </c>
      <c r="R167" s="139">
        <v>52</v>
      </c>
      <c r="S167" s="147">
        <v>1830</v>
      </c>
      <c r="T167" s="147">
        <v>177</v>
      </c>
      <c r="U167" s="147">
        <v>154</v>
      </c>
      <c r="V167" s="140">
        <v>9.5500000000000007</v>
      </c>
      <c r="W167" s="139">
        <v>70.400000000000006</v>
      </c>
      <c r="X167" s="139">
        <v>24.5</v>
      </c>
      <c r="Y167" s="139">
        <v>15.7</v>
      </c>
      <c r="Z167" s="140">
        <v>1.87</v>
      </c>
      <c r="AA167" s="140">
        <v>1.87</v>
      </c>
      <c r="AB167" s="147">
        <v>9430</v>
      </c>
      <c r="AC167" s="139">
        <v>51.8</v>
      </c>
      <c r="AD167" s="139">
        <v>68</v>
      </c>
      <c r="AE167" s="139">
        <v>28.9</v>
      </c>
      <c r="AF167" s="139">
        <v>87</v>
      </c>
      <c r="AG167" s="140">
        <v>2.2999999999999998</v>
      </c>
      <c r="AH167" s="139">
        <v>23.1</v>
      </c>
      <c r="AI167" s="139">
        <v>72.599999999999994</v>
      </c>
      <c r="AJ167" s="139">
        <v>81.599999999999994</v>
      </c>
      <c r="AK167" s="139">
        <v>56.4</v>
      </c>
      <c r="AL167" s="139">
        <v>65.3</v>
      </c>
      <c r="AM167" s="141">
        <v>20</v>
      </c>
      <c r="AN167" s="141">
        <v>5.5</v>
      </c>
    </row>
    <row r="168" spans="1:40" x14ac:dyDescent="0.3">
      <c r="A168" s="138" t="s">
        <v>841</v>
      </c>
      <c r="B168" s="138" t="s">
        <v>677</v>
      </c>
      <c r="C168" s="147">
        <v>248</v>
      </c>
      <c r="D168" s="139">
        <v>73.8</v>
      </c>
      <c r="E168" s="139">
        <v>23.7</v>
      </c>
      <c r="F168" s="141">
        <v>23.75</v>
      </c>
      <c r="G168" s="139">
        <v>12.8</v>
      </c>
      <c r="H168" s="141">
        <v>12.75</v>
      </c>
      <c r="I168" s="140">
        <v>1.1000000000000001</v>
      </c>
      <c r="J168" s="141">
        <v>1.125</v>
      </c>
      <c r="K168" s="143">
        <v>0.5625</v>
      </c>
      <c r="L168" s="140">
        <v>1.99</v>
      </c>
      <c r="M168" s="143">
        <v>2</v>
      </c>
      <c r="N168" s="148">
        <v>3.17</v>
      </c>
      <c r="O168" s="145">
        <v>3.25</v>
      </c>
      <c r="P168" s="145">
        <v>1.75</v>
      </c>
      <c r="Q168" s="140">
        <v>3.22</v>
      </c>
      <c r="R168" s="139">
        <v>15.8</v>
      </c>
      <c r="S168" s="147">
        <v>6830</v>
      </c>
      <c r="T168" s="147">
        <v>671</v>
      </c>
      <c r="U168" s="147">
        <v>576</v>
      </c>
      <c r="V168" s="140">
        <v>9.6199999999999992</v>
      </c>
      <c r="W168" s="147">
        <v>699</v>
      </c>
      <c r="X168" s="147">
        <v>170</v>
      </c>
      <c r="Y168" s="147">
        <v>109</v>
      </c>
      <c r="Z168" s="140">
        <v>3.08</v>
      </c>
      <c r="AA168" s="139">
        <v>80.7</v>
      </c>
      <c r="AB168" s="147">
        <v>82400</v>
      </c>
      <c r="AC168" s="139">
        <v>69.5</v>
      </c>
      <c r="AD168" s="147">
        <v>442</v>
      </c>
      <c r="AE168" s="147">
        <v>126</v>
      </c>
      <c r="AF168" s="147">
        <v>330</v>
      </c>
      <c r="AG168" s="140">
        <v>3.63</v>
      </c>
      <c r="AH168" s="139">
        <v>21.7</v>
      </c>
      <c r="AI168" s="139">
        <v>81.599999999999994</v>
      </c>
      <c r="AJ168" s="139">
        <v>94.4</v>
      </c>
      <c r="AK168" s="139">
        <v>60.2</v>
      </c>
      <c r="AL168" s="139">
        <v>73</v>
      </c>
      <c r="AM168" s="141">
        <v>17.25</v>
      </c>
      <c r="AN168" s="141">
        <v>5.5</v>
      </c>
    </row>
    <row r="169" spans="1:40" x14ac:dyDescent="0.3">
      <c r="A169" s="138" t="s">
        <v>842</v>
      </c>
      <c r="B169" s="138" t="s">
        <v>677</v>
      </c>
      <c r="C169" s="139">
        <v>76</v>
      </c>
      <c r="D169" s="139">
        <v>22.4</v>
      </c>
      <c r="E169" s="139">
        <v>23.9</v>
      </c>
      <c r="F169" s="141">
        <v>23.875</v>
      </c>
      <c r="G169" s="140">
        <v>8.99</v>
      </c>
      <c r="H169" s="141">
        <v>9</v>
      </c>
      <c r="I169" s="142">
        <v>0.44</v>
      </c>
      <c r="J169" s="141">
        <v>0.4375</v>
      </c>
      <c r="K169" s="143">
        <v>0.25</v>
      </c>
      <c r="L169" s="142">
        <v>0.68</v>
      </c>
      <c r="M169" s="143">
        <v>0.6875</v>
      </c>
      <c r="N169" s="148">
        <v>1.18</v>
      </c>
      <c r="O169" s="145">
        <v>1.9375</v>
      </c>
      <c r="P169" s="145">
        <v>1.4375</v>
      </c>
      <c r="Q169" s="140">
        <v>6.61</v>
      </c>
      <c r="R169" s="139">
        <v>49</v>
      </c>
      <c r="S169" s="147">
        <v>2100</v>
      </c>
      <c r="T169" s="147">
        <v>200</v>
      </c>
      <c r="U169" s="147">
        <v>176</v>
      </c>
      <c r="V169" s="140">
        <v>9.69</v>
      </c>
      <c r="W169" s="139">
        <v>82.5</v>
      </c>
      <c r="X169" s="139">
        <v>28.6</v>
      </c>
      <c r="Y169" s="139">
        <v>18.399999999999999</v>
      </c>
      <c r="Z169" s="140">
        <v>1.92</v>
      </c>
      <c r="AA169" s="140">
        <v>2.68</v>
      </c>
      <c r="AB169" s="147">
        <v>11100</v>
      </c>
      <c r="AC169" s="139">
        <v>52.2</v>
      </c>
      <c r="AD169" s="139">
        <v>79.8</v>
      </c>
      <c r="AE169" s="139">
        <v>33.799999999999997</v>
      </c>
      <c r="AF169" s="139">
        <v>98.9</v>
      </c>
      <c r="AG169" s="140">
        <v>2.33</v>
      </c>
      <c r="AH169" s="139">
        <v>23.2</v>
      </c>
      <c r="AI169" s="139">
        <v>73</v>
      </c>
      <c r="AJ169" s="139">
        <v>82</v>
      </c>
      <c r="AK169" s="139">
        <v>56.8</v>
      </c>
      <c r="AL169" s="139">
        <v>65.8</v>
      </c>
      <c r="AM169" s="141">
        <v>20</v>
      </c>
      <c r="AN169" s="141">
        <v>5.5</v>
      </c>
    </row>
    <row r="170" spans="1:40" x14ac:dyDescent="0.3">
      <c r="A170" s="138" t="s">
        <v>844</v>
      </c>
      <c r="B170" s="138" t="s">
        <v>677</v>
      </c>
      <c r="C170" s="147">
        <v>104</v>
      </c>
      <c r="D170" s="139">
        <v>30.7</v>
      </c>
      <c r="E170" s="139">
        <v>24.1</v>
      </c>
      <c r="F170" s="141">
        <v>24</v>
      </c>
      <c r="G170" s="139">
        <v>12.8</v>
      </c>
      <c r="H170" s="141">
        <v>12.75</v>
      </c>
      <c r="I170" s="142">
        <v>0.5</v>
      </c>
      <c r="J170" s="141">
        <v>0.5</v>
      </c>
      <c r="K170" s="143">
        <v>0.25</v>
      </c>
      <c r="L170" s="142">
        <v>0.75</v>
      </c>
      <c r="M170" s="143">
        <v>0.75</v>
      </c>
      <c r="N170" s="148">
        <v>1.25</v>
      </c>
      <c r="O170" s="145">
        <v>2.0625</v>
      </c>
      <c r="P170" s="145">
        <v>1.4375</v>
      </c>
      <c r="Q170" s="140">
        <v>8.5</v>
      </c>
      <c r="R170" s="139">
        <v>43.1</v>
      </c>
      <c r="S170" s="147">
        <v>3100</v>
      </c>
      <c r="T170" s="147">
        <v>289</v>
      </c>
      <c r="U170" s="147">
        <v>258</v>
      </c>
      <c r="V170" s="139">
        <v>10.1</v>
      </c>
      <c r="W170" s="147">
        <v>259</v>
      </c>
      <c r="X170" s="139">
        <v>62.4</v>
      </c>
      <c r="Y170" s="139">
        <v>40.700000000000003</v>
      </c>
      <c r="Z170" s="140">
        <v>2.91</v>
      </c>
      <c r="AA170" s="140">
        <v>4.72</v>
      </c>
      <c r="AB170" s="147">
        <v>35200</v>
      </c>
      <c r="AC170" s="139">
        <v>74.7</v>
      </c>
      <c r="AD170" s="147">
        <v>179</v>
      </c>
      <c r="AE170" s="139">
        <v>53.9</v>
      </c>
      <c r="AF170" s="147">
        <v>144</v>
      </c>
      <c r="AG170" s="140">
        <v>3.42</v>
      </c>
      <c r="AH170" s="139">
        <v>23.4</v>
      </c>
      <c r="AI170" s="139">
        <v>84.7</v>
      </c>
      <c r="AJ170" s="139">
        <v>97.5</v>
      </c>
      <c r="AK170" s="139">
        <v>61</v>
      </c>
      <c r="AL170" s="139">
        <v>73.8</v>
      </c>
      <c r="AM170" s="141">
        <v>20</v>
      </c>
      <c r="AN170" s="141">
        <v>5.5</v>
      </c>
    </row>
    <row r="171" spans="1:40" x14ac:dyDescent="0.3">
      <c r="A171" s="138" t="s">
        <v>843</v>
      </c>
      <c r="B171" s="138" t="s">
        <v>677</v>
      </c>
      <c r="C171" s="139">
        <v>84</v>
      </c>
      <c r="D171" s="139">
        <v>24.7</v>
      </c>
      <c r="E171" s="139">
        <v>24.1</v>
      </c>
      <c r="F171" s="141">
        <v>24.125</v>
      </c>
      <c r="G171" s="140">
        <v>9.02</v>
      </c>
      <c r="H171" s="141">
        <v>9</v>
      </c>
      <c r="I171" s="142">
        <v>0.47</v>
      </c>
      <c r="J171" s="141">
        <v>0.5</v>
      </c>
      <c r="K171" s="143">
        <v>0.25</v>
      </c>
      <c r="L171" s="142">
        <v>0.77</v>
      </c>
      <c r="M171" s="143">
        <v>0.75</v>
      </c>
      <c r="N171" s="148">
        <v>1.27</v>
      </c>
      <c r="O171" s="145">
        <v>2.0625</v>
      </c>
      <c r="P171" s="145">
        <v>1.4375</v>
      </c>
      <c r="Q171" s="140">
        <v>5.86</v>
      </c>
      <c r="R171" s="139">
        <v>45.9</v>
      </c>
      <c r="S171" s="147">
        <v>2370</v>
      </c>
      <c r="T171" s="147">
        <v>224</v>
      </c>
      <c r="U171" s="147">
        <v>196</v>
      </c>
      <c r="V171" s="140">
        <v>9.7899999999999991</v>
      </c>
      <c r="W171" s="139">
        <v>94.4</v>
      </c>
      <c r="X171" s="139">
        <v>32.6</v>
      </c>
      <c r="Y171" s="139">
        <v>20.9</v>
      </c>
      <c r="Z171" s="140">
        <v>1.95</v>
      </c>
      <c r="AA171" s="140">
        <v>3.7</v>
      </c>
      <c r="AB171" s="147">
        <v>12800</v>
      </c>
      <c r="AC171" s="139">
        <v>52.6</v>
      </c>
      <c r="AD171" s="139">
        <v>91.3</v>
      </c>
      <c r="AE171" s="139">
        <v>38.4</v>
      </c>
      <c r="AF171" s="147">
        <v>111</v>
      </c>
      <c r="AG171" s="140">
        <v>2.37</v>
      </c>
      <c r="AH171" s="139">
        <v>23.3</v>
      </c>
      <c r="AI171" s="139">
        <v>73.5</v>
      </c>
      <c r="AJ171" s="139">
        <v>82.5</v>
      </c>
      <c r="AK171" s="139">
        <v>57.2</v>
      </c>
      <c r="AL171" s="139">
        <v>66.2</v>
      </c>
      <c r="AM171" s="141">
        <v>20</v>
      </c>
      <c r="AN171" s="141">
        <v>5.5</v>
      </c>
    </row>
    <row r="172" spans="1:40" x14ac:dyDescent="0.3">
      <c r="A172" s="138" t="s">
        <v>845</v>
      </c>
      <c r="B172" s="138" t="s">
        <v>675</v>
      </c>
      <c r="C172" s="147">
        <v>275</v>
      </c>
      <c r="D172" s="139">
        <v>81.8</v>
      </c>
      <c r="E172" s="139">
        <v>24.1</v>
      </c>
      <c r="F172" s="141">
        <v>24.125</v>
      </c>
      <c r="G172" s="139">
        <v>12.9</v>
      </c>
      <c r="H172" s="141">
        <v>12.875</v>
      </c>
      <c r="I172" s="140">
        <v>1.22</v>
      </c>
      <c r="J172" s="141">
        <v>1.25</v>
      </c>
      <c r="K172" s="143">
        <v>0.625</v>
      </c>
      <c r="L172" s="140">
        <v>2.19</v>
      </c>
      <c r="M172" s="143">
        <v>2.1875</v>
      </c>
      <c r="N172" s="148">
        <v>3.37</v>
      </c>
      <c r="O172" s="145">
        <v>3.4375</v>
      </c>
      <c r="P172" s="145">
        <v>1.8125</v>
      </c>
      <c r="Q172" s="140">
        <v>2.95</v>
      </c>
      <c r="R172" s="139">
        <v>14.2</v>
      </c>
      <c r="S172" s="147">
        <v>7690</v>
      </c>
      <c r="T172" s="147">
        <v>749</v>
      </c>
      <c r="U172" s="147">
        <v>638</v>
      </c>
      <c r="V172" s="140">
        <v>9.6999999999999993</v>
      </c>
      <c r="W172" s="147">
        <v>787</v>
      </c>
      <c r="X172" s="147">
        <v>191</v>
      </c>
      <c r="Y172" s="147">
        <v>122</v>
      </c>
      <c r="Z172" s="140">
        <v>3.1</v>
      </c>
      <c r="AA172" s="147">
        <v>107</v>
      </c>
      <c r="AB172" s="147">
        <v>94400</v>
      </c>
      <c r="AC172" s="139">
        <v>70.7</v>
      </c>
      <c r="AD172" s="147">
        <v>499</v>
      </c>
      <c r="AE172" s="147">
        <v>140</v>
      </c>
      <c r="AF172" s="147">
        <v>369</v>
      </c>
      <c r="AG172" s="140">
        <v>3.68</v>
      </c>
      <c r="AH172" s="139">
        <v>21.9</v>
      </c>
      <c r="AI172" s="139">
        <v>82.4</v>
      </c>
      <c r="AJ172" s="139">
        <v>95.3</v>
      </c>
      <c r="AK172" s="139">
        <v>61.1</v>
      </c>
      <c r="AL172" s="139">
        <v>74</v>
      </c>
      <c r="AM172" s="141">
        <v>17.25</v>
      </c>
      <c r="AN172" s="141">
        <v>5.5</v>
      </c>
    </row>
    <row r="173" spans="1:40" x14ac:dyDescent="0.3">
      <c r="A173" s="138" t="s">
        <v>846</v>
      </c>
      <c r="B173" s="138" t="s">
        <v>677</v>
      </c>
      <c r="C173" s="139">
        <v>94</v>
      </c>
      <c r="D173" s="139">
        <v>27.7</v>
      </c>
      <c r="E173" s="139">
        <v>24.3</v>
      </c>
      <c r="F173" s="141">
        <v>24.25</v>
      </c>
      <c r="G173" s="140">
        <v>9.07</v>
      </c>
      <c r="H173" s="141">
        <v>9.125</v>
      </c>
      <c r="I173" s="142">
        <v>0.51500000000000001</v>
      </c>
      <c r="J173" s="141">
        <v>0.5</v>
      </c>
      <c r="K173" s="143">
        <v>0.25</v>
      </c>
      <c r="L173" s="142">
        <v>0.875</v>
      </c>
      <c r="M173" s="143">
        <v>0.875</v>
      </c>
      <c r="N173" s="148">
        <v>1.38</v>
      </c>
      <c r="O173" s="145">
        <v>2.125</v>
      </c>
      <c r="P173" s="145">
        <v>1.4375</v>
      </c>
      <c r="Q173" s="140">
        <v>5.18</v>
      </c>
      <c r="R173" s="139">
        <v>41.9</v>
      </c>
      <c r="S173" s="147">
        <v>2700</v>
      </c>
      <c r="T173" s="147">
        <v>254</v>
      </c>
      <c r="U173" s="147">
        <v>222</v>
      </c>
      <c r="V173" s="140">
        <v>9.8699999999999992</v>
      </c>
      <c r="W173" s="147">
        <v>109</v>
      </c>
      <c r="X173" s="139">
        <v>37.5</v>
      </c>
      <c r="Y173" s="139">
        <v>24</v>
      </c>
      <c r="Z173" s="140">
        <v>1.98</v>
      </c>
      <c r="AA173" s="140">
        <v>5.26</v>
      </c>
      <c r="AB173" s="147">
        <v>15000</v>
      </c>
      <c r="AC173" s="139">
        <v>53.1</v>
      </c>
      <c r="AD173" s="147">
        <v>105</v>
      </c>
      <c r="AE173" s="139">
        <v>43.8</v>
      </c>
      <c r="AF173" s="147">
        <v>126</v>
      </c>
      <c r="AG173" s="140">
        <v>2.4</v>
      </c>
      <c r="AH173" s="139">
        <v>23.4</v>
      </c>
      <c r="AI173" s="139">
        <v>73.900000000000006</v>
      </c>
      <c r="AJ173" s="139">
        <v>83</v>
      </c>
      <c r="AK173" s="139">
        <v>57.7</v>
      </c>
      <c r="AL173" s="139">
        <v>66.7</v>
      </c>
      <c r="AM173" s="141">
        <v>20</v>
      </c>
      <c r="AN173" s="141">
        <v>5.5</v>
      </c>
    </row>
    <row r="174" spans="1:40" x14ac:dyDescent="0.3">
      <c r="A174" s="138" t="s">
        <v>847</v>
      </c>
      <c r="B174" s="138" t="s">
        <v>677</v>
      </c>
      <c r="C174" s="147">
        <v>117</v>
      </c>
      <c r="D174" s="139">
        <v>34.4</v>
      </c>
      <c r="E174" s="139">
        <v>24.3</v>
      </c>
      <c r="F174" s="141">
        <v>24.25</v>
      </c>
      <c r="G174" s="139">
        <v>12.8</v>
      </c>
      <c r="H174" s="141">
        <v>12.75</v>
      </c>
      <c r="I174" s="142">
        <v>0.55000000000000004</v>
      </c>
      <c r="J174" s="141">
        <v>0.5625</v>
      </c>
      <c r="K174" s="143">
        <v>0.3125</v>
      </c>
      <c r="L174" s="142">
        <v>0.85</v>
      </c>
      <c r="M174" s="143">
        <v>0.875</v>
      </c>
      <c r="N174" s="148">
        <v>1.35</v>
      </c>
      <c r="O174" s="145">
        <v>2.125</v>
      </c>
      <c r="P174" s="145">
        <v>1.5</v>
      </c>
      <c r="Q174" s="140">
        <v>7.53</v>
      </c>
      <c r="R174" s="139">
        <v>39.200000000000003</v>
      </c>
      <c r="S174" s="147">
        <v>3540</v>
      </c>
      <c r="T174" s="147">
        <v>327</v>
      </c>
      <c r="U174" s="147">
        <v>291</v>
      </c>
      <c r="V174" s="139">
        <v>10.1</v>
      </c>
      <c r="W174" s="147">
        <v>297</v>
      </c>
      <c r="X174" s="139">
        <v>71.400000000000006</v>
      </c>
      <c r="Y174" s="139">
        <v>46.5</v>
      </c>
      <c r="Z174" s="140">
        <v>2.94</v>
      </c>
      <c r="AA174" s="140">
        <v>6.72</v>
      </c>
      <c r="AB174" s="147">
        <v>40800</v>
      </c>
      <c r="AC174" s="139">
        <v>75</v>
      </c>
      <c r="AD174" s="147">
        <v>204</v>
      </c>
      <c r="AE174" s="139">
        <v>61</v>
      </c>
      <c r="AF174" s="147">
        <v>163</v>
      </c>
      <c r="AG174" s="140">
        <v>3.46</v>
      </c>
      <c r="AH174" s="139">
        <v>23.5</v>
      </c>
      <c r="AI174" s="139">
        <v>85</v>
      </c>
      <c r="AJ174" s="139">
        <v>97.8</v>
      </c>
      <c r="AK174" s="139">
        <v>61.4</v>
      </c>
      <c r="AL174" s="139">
        <v>74.2</v>
      </c>
      <c r="AM174" s="141">
        <v>20</v>
      </c>
      <c r="AN174" s="141">
        <v>5.5</v>
      </c>
    </row>
    <row r="175" spans="1:40" x14ac:dyDescent="0.3">
      <c r="A175" s="138" t="s">
        <v>848</v>
      </c>
      <c r="B175" s="138" t="s">
        <v>677</v>
      </c>
      <c r="C175" s="147">
        <v>103</v>
      </c>
      <c r="D175" s="139">
        <v>30.3</v>
      </c>
      <c r="E175" s="139">
        <v>24.5</v>
      </c>
      <c r="F175" s="141">
        <v>24.5</v>
      </c>
      <c r="G175" s="140">
        <v>9</v>
      </c>
      <c r="H175" s="141">
        <v>9</v>
      </c>
      <c r="I175" s="142">
        <v>0.55000000000000004</v>
      </c>
      <c r="J175" s="141">
        <v>0.5625</v>
      </c>
      <c r="K175" s="143">
        <v>0.3125</v>
      </c>
      <c r="L175" s="142">
        <v>0.98</v>
      </c>
      <c r="M175" s="143">
        <v>1</v>
      </c>
      <c r="N175" s="148">
        <v>1.48</v>
      </c>
      <c r="O175" s="145">
        <v>2.25</v>
      </c>
      <c r="P175" s="145">
        <v>1.5</v>
      </c>
      <c r="Q175" s="140">
        <v>4.59</v>
      </c>
      <c r="R175" s="139">
        <v>39.200000000000003</v>
      </c>
      <c r="S175" s="147">
        <v>3000</v>
      </c>
      <c r="T175" s="147">
        <v>280</v>
      </c>
      <c r="U175" s="147">
        <v>245</v>
      </c>
      <c r="V175" s="139">
        <v>10</v>
      </c>
      <c r="W175" s="147">
        <v>119</v>
      </c>
      <c r="X175" s="139">
        <v>41.5</v>
      </c>
      <c r="Y175" s="139">
        <v>26.5</v>
      </c>
      <c r="Z175" s="140">
        <v>1.99</v>
      </c>
      <c r="AA175" s="140">
        <v>7.07</v>
      </c>
      <c r="AB175" s="147">
        <v>16600</v>
      </c>
      <c r="AC175" s="139">
        <v>52.9</v>
      </c>
      <c r="AD175" s="147">
        <v>117</v>
      </c>
      <c r="AE175" s="139">
        <v>48.7</v>
      </c>
      <c r="AF175" s="147">
        <v>139</v>
      </c>
      <c r="AG175" s="140">
        <v>2.4</v>
      </c>
      <c r="AH175" s="139">
        <v>23.5</v>
      </c>
      <c r="AI175" s="139">
        <v>74</v>
      </c>
      <c r="AJ175" s="139">
        <v>83</v>
      </c>
      <c r="AK175" s="139">
        <v>58</v>
      </c>
      <c r="AL175" s="139">
        <v>67</v>
      </c>
      <c r="AM175" s="141">
        <v>20</v>
      </c>
      <c r="AN175" s="141">
        <v>5.5</v>
      </c>
    </row>
    <row r="176" spans="1:40" x14ac:dyDescent="0.3">
      <c r="A176" s="138" t="s">
        <v>849</v>
      </c>
      <c r="B176" s="138" t="s">
        <v>677</v>
      </c>
      <c r="C176" s="147">
        <v>131</v>
      </c>
      <c r="D176" s="139">
        <v>38.6</v>
      </c>
      <c r="E176" s="139">
        <v>24.5</v>
      </c>
      <c r="F176" s="141">
        <v>24.5</v>
      </c>
      <c r="G176" s="139">
        <v>12.9</v>
      </c>
      <c r="H176" s="141">
        <v>12.875</v>
      </c>
      <c r="I176" s="142">
        <v>0.60499999999999998</v>
      </c>
      <c r="J176" s="141">
        <v>0.625</v>
      </c>
      <c r="K176" s="143">
        <v>0.3125</v>
      </c>
      <c r="L176" s="142">
        <v>0.96</v>
      </c>
      <c r="M176" s="143">
        <v>0.9375</v>
      </c>
      <c r="N176" s="148">
        <v>1.46</v>
      </c>
      <c r="O176" s="145">
        <v>2.25</v>
      </c>
      <c r="P176" s="145">
        <v>1.5</v>
      </c>
      <c r="Q176" s="140">
        <v>6.7</v>
      </c>
      <c r="R176" s="139">
        <v>35.6</v>
      </c>
      <c r="S176" s="147">
        <v>4020</v>
      </c>
      <c r="T176" s="147">
        <v>370</v>
      </c>
      <c r="U176" s="147">
        <v>329</v>
      </c>
      <c r="V176" s="139">
        <v>10.199999999999999</v>
      </c>
      <c r="W176" s="147">
        <v>340</v>
      </c>
      <c r="X176" s="139">
        <v>81.5</v>
      </c>
      <c r="Y176" s="139">
        <v>53</v>
      </c>
      <c r="Z176" s="140">
        <v>2.97</v>
      </c>
      <c r="AA176" s="140">
        <v>9.5</v>
      </c>
      <c r="AB176" s="147">
        <v>47100</v>
      </c>
      <c r="AC176" s="139">
        <v>75.900000000000006</v>
      </c>
      <c r="AD176" s="147">
        <v>235</v>
      </c>
      <c r="AE176" s="139">
        <v>69.5</v>
      </c>
      <c r="AF176" s="147">
        <v>184</v>
      </c>
      <c r="AG176" s="140">
        <v>3.49</v>
      </c>
      <c r="AH176" s="139">
        <v>23.5</v>
      </c>
      <c r="AI176" s="139">
        <v>85.6</v>
      </c>
      <c r="AJ176" s="139">
        <v>98.5</v>
      </c>
      <c r="AK176" s="139">
        <v>61.9</v>
      </c>
      <c r="AL176" s="139">
        <v>74.8</v>
      </c>
      <c r="AM176" s="141">
        <v>20</v>
      </c>
      <c r="AN176" s="141">
        <v>5.5</v>
      </c>
    </row>
    <row r="177" spans="1:40" x14ac:dyDescent="0.3">
      <c r="A177" s="138" t="s">
        <v>850</v>
      </c>
      <c r="B177" s="138" t="s">
        <v>677</v>
      </c>
      <c r="C177" s="147">
        <v>146</v>
      </c>
      <c r="D177" s="139">
        <v>43</v>
      </c>
      <c r="E177" s="139">
        <v>24.7</v>
      </c>
      <c r="F177" s="141">
        <v>24.75</v>
      </c>
      <c r="G177" s="139">
        <v>12.9</v>
      </c>
      <c r="H177" s="141">
        <v>12.875</v>
      </c>
      <c r="I177" s="142">
        <v>0.65</v>
      </c>
      <c r="J177" s="141">
        <v>0.625</v>
      </c>
      <c r="K177" s="143">
        <v>0.3125</v>
      </c>
      <c r="L177" s="140">
        <v>1.0900000000000001</v>
      </c>
      <c r="M177" s="143">
        <v>1.0625</v>
      </c>
      <c r="N177" s="148">
        <v>1.59</v>
      </c>
      <c r="O177" s="145">
        <v>2.375</v>
      </c>
      <c r="P177" s="145">
        <v>1.5625</v>
      </c>
      <c r="Q177" s="140">
        <v>5.92</v>
      </c>
      <c r="R177" s="139">
        <v>33.200000000000003</v>
      </c>
      <c r="S177" s="147">
        <v>4580</v>
      </c>
      <c r="T177" s="147">
        <v>418</v>
      </c>
      <c r="U177" s="147">
        <v>371</v>
      </c>
      <c r="V177" s="139">
        <v>10.3</v>
      </c>
      <c r="W177" s="147">
        <v>391</v>
      </c>
      <c r="X177" s="139">
        <v>93.2</v>
      </c>
      <c r="Y177" s="139">
        <v>60.5</v>
      </c>
      <c r="Z177" s="140">
        <v>3.01</v>
      </c>
      <c r="AA177" s="139">
        <v>13.4</v>
      </c>
      <c r="AB177" s="147">
        <v>54600</v>
      </c>
      <c r="AC177" s="139">
        <v>76.099999999999994</v>
      </c>
      <c r="AD177" s="147">
        <v>268</v>
      </c>
      <c r="AE177" s="139">
        <v>78.8</v>
      </c>
      <c r="AF177" s="147">
        <v>207</v>
      </c>
      <c r="AG177" s="140">
        <v>3.53</v>
      </c>
      <c r="AH177" s="139">
        <v>23.6</v>
      </c>
      <c r="AI177" s="139">
        <v>85.9</v>
      </c>
      <c r="AJ177" s="139">
        <v>98.8</v>
      </c>
      <c r="AK177" s="139">
        <v>62.3</v>
      </c>
      <c r="AL177" s="139">
        <v>75.2</v>
      </c>
      <c r="AM177" s="141">
        <v>20</v>
      </c>
      <c r="AN177" s="141">
        <v>5.5</v>
      </c>
    </row>
    <row r="178" spans="1:40" x14ac:dyDescent="0.3">
      <c r="A178" s="138" t="s">
        <v>851</v>
      </c>
      <c r="B178" s="138" t="s">
        <v>677</v>
      </c>
      <c r="C178" s="147">
        <v>162</v>
      </c>
      <c r="D178" s="139">
        <v>47.8</v>
      </c>
      <c r="E178" s="139">
        <v>25</v>
      </c>
      <c r="F178" s="141">
        <v>25</v>
      </c>
      <c r="G178" s="139">
        <v>13</v>
      </c>
      <c r="H178" s="141">
        <v>13</v>
      </c>
      <c r="I178" s="142">
        <v>0.70499999999999996</v>
      </c>
      <c r="J178" s="141">
        <v>0.6875</v>
      </c>
      <c r="K178" s="143">
        <v>0.375</v>
      </c>
      <c r="L178" s="140">
        <v>1.22</v>
      </c>
      <c r="M178" s="143">
        <v>1.25</v>
      </c>
      <c r="N178" s="148">
        <v>1.72</v>
      </c>
      <c r="O178" s="145">
        <v>2.5</v>
      </c>
      <c r="P178" s="145">
        <v>1.5625</v>
      </c>
      <c r="Q178" s="140">
        <v>5.31</v>
      </c>
      <c r="R178" s="139">
        <v>30.6</v>
      </c>
      <c r="S178" s="147">
        <v>5170</v>
      </c>
      <c r="T178" s="147">
        <v>468</v>
      </c>
      <c r="U178" s="147">
        <v>414</v>
      </c>
      <c r="V178" s="139">
        <v>10.4</v>
      </c>
      <c r="W178" s="147">
        <v>443</v>
      </c>
      <c r="X178" s="147">
        <v>105</v>
      </c>
      <c r="Y178" s="139">
        <v>68.400000000000006</v>
      </c>
      <c r="Z178" s="140">
        <v>3.05</v>
      </c>
      <c r="AA178" s="139">
        <v>18.5</v>
      </c>
      <c r="AB178" s="147">
        <v>62600</v>
      </c>
      <c r="AC178" s="139">
        <v>77.3</v>
      </c>
      <c r="AD178" s="147">
        <v>306</v>
      </c>
      <c r="AE178" s="139">
        <v>89.2</v>
      </c>
      <c r="AF178" s="147">
        <v>233</v>
      </c>
      <c r="AG178" s="140">
        <v>3.57</v>
      </c>
      <c r="AH178" s="139">
        <v>23.8</v>
      </c>
      <c r="AI178" s="139">
        <v>86.7</v>
      </c>
      <c r="AJ178" s="147">
        <v>99.7</v>
      </c>
      <c r="AK178" s="139">
        <v>63</v>
      </c>
      <c r="AL178" s="139">
        <v>76</v>
      </c>
      <c r="AM178" s="141">
        <v>20</v>
      </c>
      <c r="AN178" s="141">
        <v>5.5</v>
      </c>
    </row>
    <row r="179" spans="1:40" x14ac:dyDescent="0.3">
      <c r="A179" s="138" t="s">
        <v>852</v>
      </c>
      <c r="B179" s="138" t="s">
        <v>677</v>
      </c>
      <c r="C179" s="147">
        <v>176</v>
      </c>
      <c r="D179" s="139">
        <v>51.7</v>
      </c>
      <c r="E179" s="139">
        <v>25.2</v>
      </c>
      <c r="F179" s="141">
        <v>25.25</v>
      </c>
      <c r="G179" s="139">
        <v>12.9</v>
      </c>
      <c r="H179" s="141">
        <v>12.875</v>
      </c>
      <c r="I179" s="142">
        <v>0.75</v>
      </c>
      <c r="J179" s="141">
        <v>0.75</v>
      </c>
      <c r="K179" s="143">
        <v>0.375</v>
      </c>
      <c r="L179" s="140">
        <v>1.34</v>
      </c>
      <c r="M179" s="143">
        <v>1.3125</v>
      </c>
      <c r="N179" s="148">
        <v>1.84</v>
      </c>
      <c r="O179" s="145">
        <v>2.625</v>
      </c>
      <c r="P179" s="145">
        <v>1.5625</v>
      </c>
      <c r="Q179" s="140">
        <v>4.8099999999999996</v>
      </c>
      <c r="R179" s="139">
        <v>28.7</v>
      </c>
      <c r="S179" s="147">
        <v>5680</v>
      </c>
      <c r="T179" s="147">
        <v>511</v>
      </c>
      <c r="U179" s="147">
        <v>450</v>
      </c>
      <c r="V179" s="139">
        <v>10.5</v>
      </c>
      <c r="W179" s="147">
        <v>479</v>
      </c>
      <c r="X179" s="147">
        <v>115</v>
      </c>
      <c r="Y179" s="139">
        <v>74.3</v>
      </c>
      <c r="Z179" s="140">
        <v>3.04</v>
      </c>
      <c r="AA179" s="139">
        <v>23.9</v>
      </c>
      <c r="AB179" s="147">
        <v>68400</v>
      </c>
      <c r="AC179" s="139">
        <v>76.900000000000006</v>
      </c>
      <c r="AD179" s="147">
        <v>333</v>
      </c>
      <c r="AE179" s="139">
        <v>97.1</v>
      </c>
      <c r="AF179" s="147">
        <v>254</v>
      </c>
      <c r="AG179" s="140">
        <v>3.57</v>
      </c>
      <c r="AH179" s="139">
        <v>23.9</v>
      </c>
      <c r="AI179" s="139">
        <v>86.7</v>
      </c>
      <c r="AJ179" s="147">
        <v>99.6</v>
      </c>
      <c r="AK179" s="139">
        <v>63.3</v>
      </c>
      <c r="AL179" s="139">
        <v>76.2</v>
      </c>
      <c r="AM179" s="141">
        <v>20</v>
      </c>
      <c r="AN179" s="141">
        <v>5.5</v>
      </c>
    </row>
    <row r="180" spans="1:40" x14ac:dyDescent="0.3">
      <c r="A180" s="138" t="s">
        <v>853</v>
      </c>
      <c r="B180" s="138" t="s">
        <v>677</v>
      </c>
      <c r="C180" s="147">
        <v>192</v>
      </c>
      <c r="D180" s="139">
        <v>56.5</v>
      </c>
      <c r="E180" s="139">
        <v>25.5</v>
      </c>
      <c r="F180" s="141">
        <v>25.5</v>
      </c>
      <c r="G180" s="139">
        <v>13</v>
      </c>
      <c r="H180" s="141">
        <v>13</v>
      </c>
      <c r="I180" s="142">
        <v>0.81</v>
      </c>
      <c r="J180" s="141">
        <v>0.8125</v>
      </c>
      <c r="K180" s="143">
        <v>0.4375</v>
      </c>
      <c r="L180" s="140">
        <v>1.46</v>
      </c>
      <c r="M180" s="143">
        <v>1.4375</v>
      </c>
      <c r="N180" s="148">
        <v>1.96</v>
      </c>
      <c r="O180" s="145">
        <v>2.75</v>
      </c>
      <c r="P180" s="145">
        <v>1.625</v>
      </c>
      <c r="Q180" s="140">
        <v>4.43</v>
      </c>
      <c r="R180" s="139">
        <v>26.6</v>
      </c>
      <c r="S180" s="147">
        <v>6260</v>
      </c>
      <c r="T180" s="147">
        <v>559</v>
      </c>
      <c r="U180" s="147">
        <v>491</v>
      </c>
      <c r="V180" s="139">
        <v>10.5</v>
      </c>
      <c r="W180" s="147">
        <v>530</v>
      </c>
      <c r="X180" s="147">
        <v>126</v>
      </c>
      <c r="Y180" s="139">
        <v>81.8</v>
      </c>
      <c r="Z180" s="140">
        <v>3.07</v>
      </c>
      <c r="AA180" s="139">
        <v>30.8</v>
      </c>
      <c r="AB180" s="147">
        <v>76300</v>
      </c>
      <c r="AC180" s="139">
        <v>78.099999999999994</v>
      </c>
      <c r="AD180" s="147">
        <v>371</v>
      </c>
      <c r="AE180" s="147">
        <v>107</v>
      </c>
      <c r="AF180" s="147">
        <v>280</v>
      </c>
      <c r="AG180" s="140">
        <v>3.6</v>
      </c>
      <c r="AH180" s="139">
        <v>24</v>
      </c>
      <c r="AI180" s="139">
        <v>88</v>
      </c>
      <c r="AJ180" s="147">
        <v>101</v>
      </c>
      <c r="AK180" s="139">
        <v>64</v>
      </c>
      <c r="AL180" s="139">
        <v>77</v>
      </c>
      <c r="AM180" s="141">
        <v>20</v>
      </c>
      <c r="AN180" s="141">
        <v>5.5</v>
      </c>
    </row>
    <row r="181" spans="1:40" x14ac:dyDescent="0.3">
      <c r="A181" s="138" t="s">
        <v>854</v>
      </c>
      <c r="B181" s="138" t="s">
        <v>677</v>
      </c>
      <c r="C181" s="147">
        <v>207</v>
      </c>
      <c r="D181" s="139">
        <v>60.7</v>
      </c>
      <c r="E181" s="139">
        <v>25.7</v>
      </c>
      <c r="F181" s="141">
        <v>25.75</v>
      </c>
      <c r="G181" s="139">
        <v>13</v>
      </c>
      <c r="H181" s="141">
        <v>13</v>
      </c>
      <c r="I181" s="142">
        <v>0.87</v>
      </c>
      <c r="J181" s="141">
        <v>0.875</v>
      </c>
      <c r="K181" s="143">
        <v>0.4375</v>
      </c>
      <c r="L181" s="140">
        <v>1.57</v>
      </c>
      <c r="M181" s="143">
        <v>1.5625</v>
      </c>
      <c r="N181" s="148">
        <v>2.0699999999999998</v>
      </c>
      <c r="O181" s="145">
        <v>2.875</v>
      </c>
      <c r="P181" s="145">
        <v>1.625</v>
      </c>
      <c r="Q181" s="140">
        <v>4.1399999999999997</v>
      </c>
      <c r="R181" s="139">
        <v>24.8</v>
      </c>
      <c r="S181" s="147">
        <v>6820</v>
      </c>
      <c r="T181" s="147">
        <v>606</v>
      </c>
      <c r="U181" s="147">
        <v>531</v>
      </c>
      <c r="V181" s="139">
        <v>10.6</v>
      </c>
      <c r="W181" s="147">
        <v>578</v>
      </c>
      <c r="X181" s="147">
        <v>137</v>
      </c>
      <c r="Y181" s="139">
        <v>88.8</v>
      </c>
      <c r="Z181" s="140">
        <v>3.08</v>
      </c>
      <c r="AA181" s="139">
        <v>38.299999999999997</v>
      </c>
      <c r="AB181" s="147">
        <v>84100</v>
      </c>
      <c r="AC181" s="139">
        <v>78.400000000000006</v>
      </c>
      <c r="AD181" s="147">
        <v>400</v>
      </c>
      <c r="AE181" s="147">
        <v>115</v>
      </c>
      <c r="AF181" s="147">
        <v>302</v>
      </c>
      <c r="AG181" s="140">
        <v>3.62</v>
      </c>
      <c r="AH181" s="139">
        <v>24.1</v>
      </c>
      <c r="AI181" s="139">
        <v>88</v>
      </c>
      <c r="AJ181" s="147">
        <v>101</v>
      </c>
      <c r="AK181" s="139">
        <v>64.400000000000006</v>
      </c>
      <c r="AL181" s="139">
        <v>77.400000000000006</v>
      </c>
      <c r="AM181" s="141">
        <v>20</v>
      </c>
      <c r="AN181" s="141">
        <v>5.5</v>
      </c>
    </row>
    <row r="182" spans="1:40" x14ac:dyDescent="0.3">
      <c r="A182" s="138" t="s">
        <v>855</v>
      </c>
      <c r="B182" s="138" t="s">
        <v>677</v>
      </c>
      <c r="C182" s="147">
        <v>229</v>
      </c>
      <c r="D182" s="139">
        <v>67.2</v>
      </c>
      <c r="E182" s="139">
        <v>26</v>
      </c>
      <c r="F182" s="141">
        <v>26</v>
      </c>
      <c r="G182" s="139">
        <v>13.1</v>
      </c>
      <c r="H182" s="141">
        <v>13.125</v>
      </c>
      <c r="I182" s="142">
        <v>0.96</v>
      </c>
      <c r="J182" s="141">
        <v>0.9375</v>
      </c>
      <c r="K182" s="143">
        <v>0.5</v>
      </c>
      <c r="L182" s="140">
        <v>1.73</v>
      </c>
      <c r="M182" s="143">
        <v>1.75</v>
      </c>
      <c r="N182" s="148">
        <v>2.23</v>
      </c>
      <c r="O182" s="145">
        <v>3</v>
      </c>
      <c r="P182" s="145">
        <v>1.6875</v>
      </c>
      <c r="Q182" s="140">
        <v>3.79</v>
      </c>
      <c r="R182" s="139">
        <v>22.5</v>
      </c>
      <c r="S182" s="147">
        <v>7650</v>
      </c>
      <c r="T182" s="147">
        <v>675</v>
      </c>
      <c r="U182" s="147">
        <v>588</v>
      </c>
      <c r="V182" s="139">
        <v>10.7</v>
      </c>
      <c r="W182" s="147">
        <v>651</v>
      </c>
      <c r="X182" s="147">
        <v>154</v>
      </c>
      <c r="Y182" s="139">
        <v>99.4</v>
      </c>
      <c r="Z182" s="140">
        <v>3.11</v>
      </c>
      <c r="AA182" s="139">
        <v>51.3</v>
      </c>
      <c r="AB182" s="147">
        <v>96100</v>
      </c>
      <c r="AC182" s="139">
        <v>79.5</v>
      </c>
      <c r="AD182" s="147">
        <v>450</v>
      </c>
      <c r="AE182" s="147">
        <v>127</v>
      </c>
      <c r="AF182" s="147">
        <v>336</v>
      </c>
      <c r="AG182" s="140">
        <v>3.67</v>
      </c>
      <c r="AH182" s="139">
        <v>24.3</v>
      </c>
      <c r="AI182" s="139">
        <v>88.9</v>
      </c>
      <c r="AJ182" s="147">
        <v>102</v>
      </c>
      <c r="AK182" s="139">
        <v>65.099999999999994</v>
      </c>
      <c r="AL182" s="139">
        <v>78.2</v>
      </c>
      <c r="AM182" s="141">
        <v>20</v>
      </c>
      <c r="AN182" s="141">
        <v>5.5</v>
      </c>
    </row>
    <row r="183" spans="1:40" x14ac:dyDescent="0.3">
      <c r="A183" s="138" t="s">
        <v>856</v>
      </c>
      <c r="B183" s="138" t="s">
        <v>677</v>
      </c>
      <c r="C183" s="147">
        <v>250</v>
      </c>
      <c r="D183" s="139">
        <v>73.5</v>
      </c>
      <c r="E183" s="139">
        <v>26.3</v>
      </c>
      <c r="F183" s="141">
        <v>26.375</v>
      </c>
      <c r="G183" s="139">
        <v>13.2</v>
      </c>
      <c r="H183" s="141">
        <v>13.125</v>
      </c>
      <c r="I183" s="140">
        <v>1.04</v>
      </c>
      <c r="J183" s="141">
        <v>1.0625</v>
      </c>
      <c r="K183" s="143">
        <v>0.5625</v>
      </c>
      <c r="L183" s="140">
        <v>1.89</v>
      </c>
      <c r="M183" s="143">
        <v>1.875</v>
      </c>
      <c r="N183" s="148">
        <v>2.39</v>
      </c>
      <c r="O183" s="145">
        <v>3.125</v>
      </c>
      <c r="P183" s="145">
        <v>1.75</v>
      </c>
      <c r="Q183" s="140">
        <v>3.49</v>
      </c>
      <c r="R183" s="139">
        <v>20.7</v>
      </c>
      <c r="S183" s="147">
        <v>8490</v>
      </c>
      <c r="T183" s="147">
        <v>744</v>
      </c>
      <c r="U183" s="147">
        <v>644</v>
      </c>
      <c r="V183" s="139">
        <v>10.7</v>
      </c>
      <c r="W183" s="147">
        <v>724</v>
      </c>
      <c r="X183" s="147">
        <v>171</v>
      </c>
      <c r="Y183" s="147">
        <v>110</v>
      </c>
      <c r="Z183" s="140">
        <v>3.14</v>
      </c>
      <c r="AA183" s="139">
        <v>66.599999999999994</v>
      </c>
      <c r="AB183" s="147">
        <v>108000</v>
      </c>
      <c r="AC183" s="139">
        <v>80.599999999999994</v>
      </c>
      <c r="AD183" s="147">
        <v>502</v>
      </c>
      <c r="AE183" s="147">
        <v>140</v>
      </c>
      <c r="AF183" s="147">
        <v>370</v>
      </c>
      <c r="AG183" s="140">
        <v>3.71</v>
      </c>
      <c r="AH183" s="139">
        <v>24.4</v>
      </c>
      <c r="AI183" s="139">
        <v>88.8</v>
      </c>
      <c r="AJ183" s="147">
        <v>102</v>
      </c>
      <c r="AK183" s="139">
        <v>65.8</v>
      </c>
      <c r="AL183" s="139">
        <v>79</v>
      </c>
      <c r="AM183" s="141">
        <v>20</v>
      </c>
      <c r="AN183" s="141">
        <v>5.5</v>
      </c>
    </row>
    <row r="184" spans="1:40" x14ac:dyDescent="0.3">
      <c r="A184" s="138" t="s">
        <v>857</v>
      </c>
      <c r="B184" s="138" t="s">
        <v>677</v>
      </c>
      <c r="C184" s="139">
        <v>84</v>
      </c>
      <c r="D184" s="139">
        <v>24.7</v>
      </c>
      <c r="E184" s="139">
        <v>26.7</v>
      </c>
      <c r="F184" s="141">
        <v>26.75</v>
      </c>
      <c r="G184" s="139">
        <v>10</v>
      </c>
      <c r="H184" s="141">
        <v>10</v>
      </c>
      <c r="I184" s="142">
        <v>0.46</v>
      </c>
      <c r="J184" s="141">
        <v>0.4375</v>
      </c>
      <c r="K184" s="143">
        <v>0.25</v>
      </c>
      <c r="L184" s="142">
        <v>0.64</v>
      </c>
      <c r="M184" s="143">
        <v>0.625</v>
      </c>
      <c r="N184" s="148">
        <v>1.24</v>
      </c>
      <c r="O184" s="145">
        <v>1.875</v>
      </c>
      <c r="P184" s="145">
        <v>1.4375</v>
      </c>
      <c r="Q184" s="140">
        <v>7.78</v>
      </c>
      <c r="R184" s="139">
        <v>52.7</v>
      </c>
      <c r="S184" s="147">
        <v>2850</v>
      </c>
      <c r="T184" s="147">
        <v>244</v>
      </c>
      <c r="U184" s="147">
        <v>213</v>
      </c>
      <c r="V184" s="139">
        <v>10.7</v>
      </c>
      <c r="W184" s="147">
        <v>106</v>
      </c>
      <c r="X184" s="139">
        <v>33.200000000000003</v>
      </c>
      <c r="Y184" s="139">
        <v>21.2</v>
      </c>
      <c r="Z184" s="140">
        <v>2.0699999999999998</v>
      </c>
      <c r="AA184" s="140">
        <v>2.81</v>
      </c>
      <c r="AB184" s="147">
        <v>17900</v>
      </c>
      <c r="AC184" s="139">
        <v>65.2</v>
      </c>
      <c r="AD184" s="147">
        <v>104</v>
      </c>
      <c r="AE184" s="139">
        <v>39.799999999999997</v>
      </c>
      <c r="AF184" s="147">
        <v>121</v>
      </c>
      <c r="AG184" s="140">
        <v>2.54</v>
      </c>
      <c r="AH184" s="139">
        <v>26.1</v>
      </c>
      <c r="AI184" s="139">
        <v>81.5</v>
      </c>
      <c r="AJ184" s="139">
        <v>91.5</v>
      </c>
      <c r="AK184" s="139">
        <v>63.4</v>
      </c>
      <c r="AL184" s="139">
        <v>73.400000000000006</v>
      </c>
      <c r="AM184" s="141">
        <v>23</v>
      </c>
      <c r="AN184" s="141">
        <v>5.5</v>
      </c>
    </row>
    <row r="185" spans="1:40" x14ac:dyDescent="0.3">
      <c r="A185" s="138" t="s">
        <v>858</v>
      </c>
      <c r="B185" s="138" t="s">
        <v>675</v>
      </c>
      <c r="C185" s="147">
        <v>279</v>
      </c>
      <c r="D185" s="139">
        <v>81.900000000000006</v>
      </c>
      <c r="E185" s="139">
        <v>26.7</v>
      </c>
      <c r="F185" s="141">
        <v>26.75</v>
      </c>
      <c r="G185" s="139">
        <v>13.3</v>
      </c>
      <c r="H185" s="141">
        <v>13.25</v>
      </c>
      <c r="I185" s="140">
        <v>1.1599999999999999</v>
      </c>
      <c r="J185" s="141">
        <v>1.1875</v>
      </c>
      <c r="K185" s="143">
        <v>0.625</v>
      </c>
      <c r="L185" s="140">
        <v>2.09</v>
      </c>
      <c r="M185" s="143">
        <v>2.0625</v>
      </c>
      <c r="N185" s="148">
        <v>2.59</v>
      </c>
      <c r="O185" s="145">
        <v>3.375</v>
      </c>
      <c r="P185" s="145">
        <v>1.8125</v>
      </c>
      <c r="Q185" s="140">
        <v>3.18</v>
      </c>
      <c r="R185" s="139">
        <v>18.600000000000001</v>
      </c>
      <c r="S185" s="147">
        <v>9600</v>
      </c>
      <c r="T185" s="147">
        <v>835</v>
      </c>
      <c r="U185" s="147">
        <v>718</v>
      </c>
      <c r="V185" s="139">
        <v>10.8</v>
      </c>
      <c r="W185" s="147">
        <v>823</v>
      </c>
      <c r="X185" s="147">
        <v>193</v>
      </c>
      <c r="Y185" s="147">
        <v>124</v>
      </c>
      <c r="Z185" s="140">
        <v>3.17</v>
      </c>
      <c r="AA185" s="139">
        <v>90.5</v>
      </c>
      <c r="AB185" s="147">
        <v>125000</v>
      </c>
      <c r="AC185" s="139">
        <v>81.8</v>
      </c>
      <c r="AD185" s="147">
        <v>569</v>
      </c>
      <c r="AE185" s="147">
        <v>156</v>
      </c>
      <c r="AF185" s="147">
        <v>416</v>
      </c>
      <c r="AG185" s="140">
        <v>3.76</v>
      </c>
      <c r="AH185" s="139">
        <v>24.6</v>
      </c>
      <c r="AI185" s="139">
        <v>89.7</v>
      </c>
      <c r="AJ185" s="147">
        <v>103</v>
      </c>
      <c r="AK185" s="139">
        <v>66.7</v>
      </c>
      <c r="AL185" s="139">
        <v>80</v>
      </c>
      <c r="AM185" s="141">
        <v>20</v>
      </c>
      <c r="AN185" s="141">
        <v>5.5</v>
      </c>
    </row>
    <row r="186" spans="1:40" x14ac:dyDescent="0.3">
      <c r="A186" s="138" t="s">
        <v>859</v>
      </c>
      <c r="B186" s="138" t="s">
        <v>677</v>
      </c>
      <c r="C186" s="139">
        <v>94</v>
      </c>
      <c r="D186" s="139">
        <v>27.6</v>
      </c>
      <c r="E186" s="139">
        <v>26.9</v>
      </c>
      <c r="F186" s="141">
        <v>26.875</v>
      </c>
      <c r="G186" s="139">
        <v>10</v>
      </c>
      <c r="H186" s="141">
        <v>10</v>
      </c>
      <c r="I186" s="142">
        <v>0.49</v>
      </c>
      <c r="J186" s="141">
        <v>0.5</v>
      </c>
      <c r="K186" s="143">
        <v>0.25</v>
      </c>
      <c r="L186" s="142">
        <v>0.745</v>
      </c>
      <c r="M186" s="143">
        <v>0.75</v>
      </c>
      <c r="N186" s="148">
        <v>1.34</v>
      </c>
      <c r="O186" s="145">
        <v>1.9375</v>
      </c>
      <c r="P186" s="145">
        <v>1.4375</v>
      </c>
      <c r="Q186" s="140">
        <v>6.7</v>
      </c>
      <c r="R186" s="139">
        <v>49.5</v>
      </c>
      <c r="S186" s="147">
        <v>3270</v>
      </c>
      <c r="T186" s="147">
        <v>278</v>
      </c>
      <c r="U186" s="147">
        <v>243</v>
      </c>
      <c r="V186" s="139">
        <v>10.9</v>
      </c>
      <c r="W186" s="147">
        <v>124</v>
      </c>
      <c r="X186" s="139">
        <v>38.799999999999997</v>
      </c>
      <c r="Y186" s="139">
        <v>24.8</v>
      </c>
      <c r="Z186" s="140">
        <v>2.12</v>
      </c>
      <c r="AA186" s="140">
        <v>4.03</v>
      </c>
      <c r="AB186" s="147">
        <v>21300</v>
      </c>
      <c r="AC186" s="139">
        <v>65.400000000000006</v>
      </c>
      <c r="AD186" s="147">
        <v>122</v>
      </c>
      <c r="AE186" s="139">
        <v>46.3</v>
      </c>
      <c r="AF186" s="147">
        <v>137</v>
      </c>
      <c r="AG186" s="140">
        <v>2.59</v>
      </c>
      <c r="AH186" s="139">
        <v>26.2</v>
      </c>
      <c r="AI186" s="139">
        <v>81.8</v>
      </c>
      <c r="AJ186" s="139">
        <v>91.8</v>
      </c>
      <c r="AK186" s="139">
        <v>63.8</v>
      </c>
      <c r="AL186" s="139">
        <v>73.8</v>
      </c>
      <c r="AM186" s="141">
        <v>23</v>
      </c>
      <c r="AN186" s="141">
        <v>5.5</v>
      </c>
    </row>
    <row r="187" spans="1:40" x14ac:dyDescent="0.3">
      <c r="A187" s="138" t="s">
        <v>860</v>
      </c>
      <c r="B187" s="138" t="s">
        <v>677</v>
      </c>
      <c r="C187" s="147">
        <v>102</v>
      </c>
      <c r="D187" s="139">
        <v>30</v>
      </c>
      <c r="E187" s="139">
        <v>27.1</v>
      </c>
      <c r="F187" s="141">
        <v>27.125</v>
      </c>
      <c r="G187" s="139">
        <v>10</v>
      </c>
      <c r="H187" s="141">
        <v>10</v>
      </c>
      <c r="I187" s="142">
        <v>0.51500000000000001</v>
      </c>
      <c r="J187" s="141">
        <v>0.5</v>
      </c>
      <c r="K187" s="143">
        <v>0.25</v>
      </c>
      <c r="L187" s="142">
        <v>0.83</v>
      </c>
      <c r="M187" s="143">
        <v>0.8125</v>
      </c>
      <c r="N187" s="148">
        <v>1.43</v>
      </c>
      <c r="O187" s="145">
        <v>2.0625</v>
      </c>
      <c r="P187" s="145">
        <v>1.4375</v>
      </c>
      <c r="Q187" s="140">
        <v>6.03</v>
      </c>
      <c r="R187" s="139">
        <v>47.1</v>
      </c>
      <c r="S187" s="147">
        <v>3620</v>
      </c>
      <c r="T187" s="147">
        <v>305</v>
      </c>
      <c r="U187" s="147">
        <v>267</v>
      </c>
      <c r="V187" s="139">
        <v>11</v>
      </c>
      <c r="W187" s="147">
        <v>139</v>
      </c>
      <c r="X187" s="139">
        <v>43.4</v>
      </c>
      <c r="Y187" s="139">
        <v>27.8</v>
      </c>
      <c r="Z187" s="140">
        <v>2.15</v>
      </c>
      <c r="AA187" s="140">
        <v>5.28</v>
      </c>
      <c r="AB187" s="147">
        <v>24000</v>
      </c>
      <c r="AC187" s="139">
        <v>65.7</v>
      </c>
      <c r="AD187" s="147">
        <v>136</v>
      </c>
      <c r="AE187" s="139">
        <v>51.7</v>
      </c>
      <c r="AF187" s="147">
        <v>151</v>
      </c>
      <c r="AG187" s="140">
        <v>2.62</v>
      </c>
      <c r="AH187" s="139">
        <v>26.3</v>
      </c>
      <c r="AI187" s="139">
        <v>82.1</v>
      </c>
      <c r="AJ187" s="139">
        <v>92.1</v>
      </c>
      <c r="AK187" s="139">
        <v>64.2</v>
      </c>
      <c r="AL187" s="139">
        <v>74.2</v>
      </c>
      <c r="AM187" s="141">
        <v>23</v>
      </c>
      <c r="AN187" s="141">
        <v>5.5</v>
      </c>
    </row>
    <row r="188" spans="1:40" x14ac:dyDescent="0.3">
      <c r="A188" s="138" t="s">
        <v>861</v>
      </c>
      <c r="B188" s="138" t="s">
        <v>675</v>
      </c>
      <c r="C188" s="147">
        <v>306</v>
      </c>
      <c r="D188" s="139">
        <v>89.7</v>
      </c>
      <c r="E188" s="139">
        <v>27.1</v>
      </c>
      <c r="F188" s="141">
        <v>27.125</v>
      </c>
      <c r="G188" s="139">
        <v>13.4</v>
      </c>
      <c r="H188" s="141">
        <v>13.375</v>
      </c>
      <c r="I188" s="140">
        <v>1.26</v>
      </c>
      <c r="J188" s="141">
        <v>1.25</v>
      </c>
      <c r="K188" s="143">
        <v>0.625</v>
      </c>
      <c r="L188" s="140">
        <v>2.2799999999999998</v>
      </c>
      <c r="M188" s="143">
        <v>2.25</v>
      </c>
      <c r="N188" s="148">
        <v>2.78</v>
      </c>
      <c r="O188" s="145">
        <v>3.5625</v>
      </c>
      <c r="P188" s="145">
        <v>1.8125</v>
      </c>
      <c r="Q188" s="140">
        <v>2.94</v>
      </c>
      <c r="R188" s="139">
        <v>17.100000000000001</v>
      </c>
      <c r="S188" s="147">
        <v>10700</v>
      </c>
      <c r="T188" s="147">
        <v>922</v>
      </c>
      <c r="U188" s="147">
        <v>789</v>
      </c>
      <c r="V188" s="139">
        <v>10.9</v>
      </c>
      <c r="W188" s="147">
        <v>919</v>
      </c>
      <c r="X188" s="147">
        <v>214</v>
      </c>
      <c r="Y188" s="147">
        <v>137</v>
      </c>
      <c r="Z188" s="140">
        <v>3.2</v>
      </c>
      <c r="AA188" s="147">
        <v>117</v>
      </c>
      <c r="AB188" s="147">
        <v>142000</v>
      </c>
      <c r="AC188" s="139">
        <v>83.1</v>
      </c>
      <c r="AD188" s="147">
        <v>635</v>
      </c>
      <c r="AE188" s="147">
        <v>172</v>
      </c>
      <c r="AF188" s="147">
        <v>459</v>
      </c>
      <c r="AG188" s="140">
        <v>3.81</v>
      </c>
      <c r="AH188" s="139">
        <v>24.8</v>
      </c>
      <c r="AI188" s="139">
        <v>90.6</v>
      </c>
      <c r="AJ188" s="147">
        <v>104</v>
      </c>
      <c r="AK188" s="139">
        <v>67.599999999999994</v>
      </c>
      <c r="AL188" s="139">
        <v>81</v>
      </c>
      <c r="AM188" s="141">
        <v>20</v>
      </c>
      <c r="AN188" s="141">
        <v>5.5</v>
      </c>
    </row>
    <row r="189" spans="1:40" x14ac:dyDescent="0.3">
      <c r="A189" s="138" t="s">
        <v>862</v>
      </c>
      <c r="B189" s="138" t="s">
        <v>677</v>
      </c>
      <c r="C189" s="147">
        <v>114</v>
      </c>
      <c r="D189" s="139">
        <v>33.6</v>
      </c>
      <c r="E189" s="139">
        <v>27.3</v>
      </c>
      <c r="F189" s="141">
        <v>27.25</v>
      </c>
      <c r="G189" s="139">
        <v>10.1</v>
      </c>
      <c r="H189" s="141">
        <v>10.125</v>
      </c>
      <c r="I189" s="142">
        <v>0.56999999999999995</v>
      </c>
      <c r="J189" s="141">
        <v>0.5625</v>
      </c>
      <c r="K189" s="143">
        <v>0.3125</v>
      </c>
      <c r="L189" s="142">
        <v>0.93</v>
      </c>
      <c r="M189" s="143">
        <v>0.9375</v>
      </c>
      <c r="N189" s="148">
        <v>1.53</v>
      </c>
      <c r="O189" s="145">
        <v>2.125</v>
      </c>
      <c r="P189" s="145">
        <v>1.5</v>
      </c>
      <c r="Q189" s="140">
        <v>5.41</v>
      </c>
      <c r="R189" s="139">
        <v>42.5</v>
      </c>
      <c r="S189" s="147">
        <v>4080</v>
      </c>
      <c r="T189" s="147">
        <v>343</v>
      </c>
      <c r="U189" s="147">
        <v>299</v>
      </c>
      <c r="V189" s="139">
        <v>11</v>
      </c>
      <c r="W189" s="147">
        <v>159</v>
      </c>
      <c r="X189" s="139">
        <v>49.3</v>
      </c>
      <c r="Y189" s="139">
        <v>31.5</v>
      </c>
      <c r="Z189" s="140">
        <v>2.1800000000000002</v>
      </c>
      <c r="AA189" s="140">
        <v>7.33</v>
      </c>
      <c r="AB189" s="147">
        <v>27600</v>
      </c>
      <c r="AC189" s="139">
        <v>66.599999999999994</v>
      </c>
      <c r="AD189" s="147">
        <v>156</v>
      </c>
      <c r="AE189" s="139">
        <v>58.4</v>
      </c>
      <c r="AF189" s="147">
        <v>170</v>
      </c>
      <c r="AG189" s="140">
        <v>2.65</v>
      </c>
      <c r="AH189" s="139">
        <v>26.4</v>
      </c>
      <c r="AI189" s="139">
        <v>82.7</v>
      </c>
      <c r="AJ189" s="139">
        <v>92.8</v>
      </c>
      <c r="AK189" s="139">
        <v>64.7</v>
      </c>
      <c r="AL189" s="139">
        <v>74.8</v>
      </c>
      <c r="AM189" s="141">
        <v>23</v>
      </c>
      <c r="AN189" s="141">
        <v>5.5</v>
      </c>
    </row>
    <row r="190" spans="1:40" x14ac:dyDescent="0.3">
      <c r="A190" s="138" t="s">
        <v>863</v>
      </c>
      <c r="B190" s="138" t="s">
        <v>677</v>
      </c>
      <c r="C190" s="147">
        <v>146</v>
      </c>
      <c r="D190" s="139">
        <v>43.2</v>
      </c>
      <c r="E190" s="139">
        <v>27.4</v>
      </c>
      <c r="F190" s="141">
        <v>27.375</v>
      </c>
      <c r="G190" s="139">
        <v>14</v>
      </c>
      <c r="H190" s="141">
        <v>14</v>
      </c>
      <c r="I190" s="142">
        <v>0.60499999999999998</v>
      </c>
      <c r="J190" s="141">
        <v>0.625</v>
      </c>
      <c r="K190" s="143">
        <v>0.3125</v>
      </c>
      <c r="L190" s="142">
        <v>0.97499999999999998</v>
      </c>
      <c r="M190" s="143">
        <v>1</v>
      </c>
      <c r="N190" s="148">
        <v>1.76</v>
      </c>
      <c r="O190" s="145">
        <v>2.1875</v>
      </c>
      <c r="P190" s="145">
        <v>1.5</v>
      </c>
      <c r="Q190" s="140">
        <v>7.16</v>
      </c>
      <c r="R190" s="139">
        <v>39.4</v>
      </c>
      <c r="S190" s="147">
        <v>5660</v>
      </c>
      <c r="T190" s="147">
        <v>464</v>
      </c>
      <c r="U190" s="147">
        <v>414</v>
      </c>
      <c r="V190" s="139">
        <v>11.5</v>
      </c>
      <c r="W190" s="147">
        <v>443</v>
      </c>
      <c r="X190" s="139">
        <v>97.7</v>
      </c>
      <c r="Y190" s="139">
        <v>63.5</v>
      </c>
      <c r="Z190" s="140">
        <v>3.2</v>
      </c>
      <c r="AA190" s="139">
        <v>11.3</v>
      </c>
      <c r="AB190" s="147">
        <v>77200</v>
      </c>
      <c r="AC190" s="139">
        <v>92.5</v>
      </c>
      <c r="AD190" s="147">
        <v>316</v>
      </c>
      <c r="AE190" s="139">
        <v>86.3</v>
      </c>
      <c r="AF190" s="147">
        <v>229</v>
      </c>
      <c r="AG190" s="140">
        <v>3.76</v>
      </c>
      <c r="AH190" s="139">
        <v>26.4</v>
      </c>
      <c r="AI190" s="139">
        <v>94</v>
      </c>
      <c r="AJ190" s="147">
        <v>108</v>
      </c>
      <c r="AK190" s="139">
        <v>68.8</v>
      </c>
      <c r="AL190" s="139">
        <v>82.8</v>
      </c>
      <c r="AM190" s="141">
        <v>23</v>
      </c>
      <c r="AN190" s="141">
        <v>5.5</v>
      </c>
    </row>
    <row r="191" spans="1:40" x14ac:dyDescent="0.3">
      <c r="A191" s="138" t="s">
        <v>864</v>
      </c>
      <c r="B191" s="138" t="s">
        <v>675</v>
      </c>
      <c r="C191" s="147">
        <v>335</v>
      </c>
      <c r="D191" s="139">
        <v>98.3</v>
      </c>
      <c r="E191" s="139">
        <v>27.5</v>
      </c>
      <c r="F191" s="141">
        <v>27.5</v>
      </c>
      <c r="G191" s="139">
        <v>13.5</v>
      </c>
      <c r="H191" s="141">
        <v>13.5</v>
      </c>
      <c r="I191" s="140">
        <v>1.38</v>
      </c>
      <c r="J191" s="141">
        <v>1.375</v>
      </c>
      <c r="K191" s="143">
        <v>0.6875</v>
      </c>
      <c r="L191" s="140">
        <v>2.48</v>
      </c>
      <c r="M191" s="143">
        <v>2.5</v>
      </c>
      <c r="N191" s="148">
        <v>2.98</v>
      </c>
      <c r="O191" s="145">
        <v>3.75</v>
      </c>
      <c r="P191" s="145">
        <v>1.875</v>
      </c>
      <c r="Q191" s="140">
        <v>2.73</v>
      </c>
      <c r="R191" s="139">
        <v>15.6</v>
      </c>
      <c r="S191" s="147">
        <v>11900</v>
      </c>
      <c r="T191" s="147">
        <v>1020</v>
      </c>
      <c r="U191" s="147">
        <v>864</v>
      </c>
      <c r="V191" s="139">
        <v>11</v>
      </c>
      <c r="W191" s="147">
        <v>1030</v>
      </c>
      <c r="X191" s="147">
        <v>238</v>
      </c>
      <c r="Y191" s="147">
        <v>152</v>
      </c>
      <c r="Z191" s="140">
        <v>3.23</v>
      </c>
      <c r="AA191" s="147">
        <v>152</v>
      </c>
      <c r="AB191" s="147">
        <v>161000</v>
      </c>
      <c r="AC191" s="139">
        <v>84.4</v>
      </c>
      <c r="AD191" s="147">
        <v>707</v>
      </c>
      <c r="AE191" s="147">
        <v>188</v>
      </c>
      <c r="AF191" s="147">
        <v>506</v>
      </c>
      <c r="AG191" s="140">
        <v>3.86</v>
      </c>
      <c r="AH191" s="139">
        <v>25</v>
      </c>
      <c r="AI191" s="139">
        <v>91.5</v>
      </c>
      <c r="AJ191" s="147">
        <v>105</v>
      </c>
      <c r="AK191" s="139">
        <v>68.5</v>
      </c>
      <c r="AL191" s="139">
        <v>82</v>
      </c>
      <c r="AM191" s="141">
        <v>20</v>
      </c>
      <c r="AN191" s="141">
        <v>5.5</v>
      </c>
    </row>
    <row r="192" spans="1:40" x14ac:dyDescent="0.3">
      <c r="A192" s="138" t="s">
        <v>865</v>
      </c>
      <c r="B192" s="138" t="s">
        <v>677</v>
      </c>
      <c r="C192" s="147">
        <v>129</v>
      </c>
      <c r="D192" s="139">
        <v>37.799999999999997</v>
      </c>
      <c r="E192" s="139">
        <v>27.6</v>
      </c>
      <c r="F192" s="141">
        <v>27.625</v>
      </c>
      <c r="G192" s="139">
        <v>10</v>
      </c>
      <c r="H192" s="141">
        <v>10</v>
      </c>
      <c r="I192" s="142">
        <v>0.61</v>
      </c>
      <c r="J192" s="141">
        <v>0.625</v>
      </c>
      <c r="K192" s="143">
        <v>0.3125</v>
      </c>
      <c r="L192" s="140">
        <v>1.1000000000000001</v>
      </c>
      <c r="M192" s="143">
        <v>1.125</v>
      </c>
      <c r="N192" s="148">
        <v>1.7</v>
      </c>
      <c r="O192" s="145">
        <v>2.3125</v>
      </c>
      <c r="P192" s="145">
        <v>1.5</v>
      </c>
      <c r="Q192" s="140">
        <v>4.55</v>
      </c>
      <c r="R192" s="139">
        <v>39.700000000000003</v>
      </c>
      <c r="S192" s="147">
        <v>4760</v>
      </c>
      <c r="T192" s="147">
        <v>395</v>
      </c>
      <c r="U192" s="147">
        <v>345</v>
      </c>
      <c r="V192" s="139">
        <v>11.2</v>
      </c>
      <c r="W192" s="147">
        <v>184</v>
      </c>
      <c r="X192" s="139">
        <v>57.6</v>
      </c>
      <c r="Y192" s="139">
        <v>36.799999999999997</v>
      </c>
      <c r="Z192" s="140">
        <v>2.21</v>
      </c>
      <c r="AA192" s="139">
        <v>11.1</v>
      </c>
      <c r="AB192" s="147">
        <v>32500</v>
      </c>
      <c r="AC192" s="139">
        <v>66.3</v>
      </c>
      <c r="AD192" s="147">
        <v>182</v>
      </c>
      <c r="AE192" s="139">
        <v>68.400000000000006</v>
      </c>
      <c r="AF192" s="147">
        <v>195</v>
      </c>
      <c r="AG192" s="140">
        <v>2.66</v>
      </c>
      <c r="AH192" s="139">
        <v>26.5</v>
      </c>
      <c r="AI192" s="139">
        <v>83</v>
      </c>
      <c r="AJ192" s="139">
        <v>93</v>
      </c>
      <c r="AK192" s="139">
        <v>65.2</v>
      </c>
      <c r="AL192" s="139">
        <v>75.2</v>
      </c>
      <c r="AM192" s="141">
        <v>23</v>
      </c>
      <c r="AN192" s="141">
        <v>5.5</v>
      </c>
    </row>
    <row r="193" spans="1:40" x14ac:dyDescent="0.3">
      <c r="A193" s="138" t="s">
        <v>866</v>
      </c>
      <c r="B193" s="138" t="s">
        <v>677</v>
      </c>
      <c r="C193" s="147">
        <v>161</v>
      </c>
      <c r="D193" s="139">
        <v>47.6</v>
      </c>
      <c r="E193" s="139">
        <v>27.6</v>
      </c>
      <c r="F193" s="141">
        <v>27.625</v>
      </c>
      <c r="G193" s="139">
        <v>14</v>
      </c>
      <c r="H193" s="141">
        <v>14</v>
      </c>
      <c r="I193" s="142">
        <v>0.66</v>
      </c>
      <c r="J193" s="141">
        <v>0.6875</v>
      </c>
      <c r="K193" s="143">
        <v>0.375</v>
      </c>
      <c r="L193" s="140">
        <v>1.08</v>
      </c>
      <c r="M193" s="143">
        <v>1.0625</v>
      </c>
      <c r="N193" s="148">
        <v>1.87</v>
      </c>
      <c r="O193" s="145">
        <v>2.3125</v>
      </c>
      <c r="P193" s="145">
        <v>1.5625</v>
      </c>
      <c r="Q193" s="140">
        <v>6.49</v>
      </c>
      <c r="R193" s="139">
        <v>36.1</v>
      </c>
      <c r="S193" s="147">
        <v>6310</v>
      </c>
      <c r="T193" s="147">
        <v>515</v>
      </c>
      <c r="U193" s="147">
        <v>458</v>
      </c>
      <c r="V193" s="139">
        <v>11.5</v>
      </c>
      <c r="W193" s="147">
        <v>497</v>
      </c>
      <c r="X193" s="147">
        <v>109</v>
      </c>
      <c r="Y193" s="139">
        <v>70.900000000000006</v>
      </c>
      <c r="Z193" s="140">
        <v>3.23</v>
      </c>
      <c r="AA193" s="139">
        <v>15.1</v>
      </c>
      <c r="AB193" s="147">
        <v>87300</v>
      </c>
      <c r="AC193" s="139">
        <v>92.8</v>
      </c>
      <c r="AD193" s="147">
        <v>351</v>
      </c>
      <c r="AE193" s="139">
        <v>95.5</v>
      </c>
      <c r="AF193" s="147">
        <v>254</v>
      </c>
      <c r="AG193" s="140">
        <v>3.79</v>
      </c>
      <c r="AH193" s="139">
        <v>26.5</v>
      </c>
      <c r="AI193" s="139">
        <v>95</v>
      </c>
      <c r="AJ193" s="147">
        <v>109</v>
      </c>
      <c r="AK193" s="139">
        <v>69.2</v>
      </c>
      <c r="AL193" s="139">
        <v>83.2</v>
      </c>
      <c r="AM193" s="141">
        <v>23</v>
      </c>
      <c r="AN193" s="141">
        <v>5.5</v>
      </c>
    </row>
    <row r="194" spans="1:40" x14ac:dyDescent="0.3">
      <c r="A194" s="138" t="s">
        <v>867</v>
      </c>
      <c r="B194" s="138" t="s">
        <v>677</v>
      </c>
      <c r="C194" s="147">
        <v>178</v>
      </c>
      <c r="D194" s="139">
        <v>52.5</v>
      </c>
      <c r="E194" s="139">
        <v>27.8</v>
      </c>
      <c r="F194" s="141">
        <v>27.75</v>
      </c>
      <c r="G194" s="139">
        <v>14.1</v>
      </c>
      <c r="H194" s="141">
        <v>14.125</v>
      </c>
      <c r="I194" s="142">
        <v>0.72499999999999998</v>
      </c>
      <c r="J194" s="141">
        <v>0.75</v>
      </c>
      <c r="K194" s="143">
        <v>0.375</v>
      </c>
      <c r="L194" s="140">
        <v>1.19</v>
      </c>
      <c r="M194" s="143">
        <v>1.1875</v>
      </c>
      <c r="N194" s="148">
        <v>1.98</v>
      </c>
      <c r="O194" s="145">
        <v>2.375</v>
      </c>
      <c r="P194" s="145">
        <v>1.5625</v>
      </c>
      <c r="Q194" s="140">
        <v>5.92</v>
      </c>
      <c r="R194" s="139">
        <v>32.9</v>
      </c>
      <c r="S194" s="147">
        <v>7020</v>
      </c>
      <c r="T194" s="147">
        <v>570</v>
      </c>
      <c r="U194" s="147">
        <v>505</v>
      </c>
      <c r="V194" s="139">
        <v>11.6</v>
      </c>
      <c r="W194" s="147">
        <v>555</v>
      </c>
      <c r="X194" s="147">
        <v>122</v>
      </c>
      <c r="Y194" s="139">
        <v>78.8</v>
      </c>
      <c r="Z194" s="140">
        <v>3.25</v>
      </c>
      <c r="AA194" s="139">
        <v>20.100000000000001</v>
      </c>
      <c r="AB194" s="147">
        <v>98400</v>
      </c>
      <c r="AC194" s="139">
        <v>93.8</v>
      </c>
      <c r="AD194" s="147">
        <v>393</v>
      </c>
      <c r="AE194" s="147">
        <v>106</v>
      </c>
      <c r="AF194" s="147">
        <v>282</v>
      </c>
      <c r="AG194" s="140">
        <v>3.83</v>
      </c>
      <c r="AH194" s="139">
        <v>26.6</v>
      </c>
      <c r="AI194" s="139">
        <v>94.9</v>
      </c>
      <c r="AJ194" s="147">
        <v>109</v>
      </c>
      <c r="AK194" s="139">
        <v>69.7</v>
      </c>
      <c r="AL194" s="139">
        <v>83.8</v>
      </c>
      <c r="AM194" s="141">
        <v>23</v>
      </c>
      <c r="AN194" s="141">
        <v>5.5</v>
      </c>
    </row>
    <row r="195" spans="1:40" x14ac:dyDescent="0.3">
      <c r="A195" s="138" t="s">
        <v>868</v>
      </c>
      <c r="B195" s="138" t="s">
        <v>675</v>
      </c>
      <c r="C195" s="147">
        <v>370</v>
      </c>
      <c r="D195" s="147">
        <v>109</v>
      </c>
      <c r="E195" s="139">
        <v>28</v>
      </c>
      <c r="F195" s="141">
        <v>28</v>
      </c>
      <c r="G195" s="139">
        <v>13.7</v>
      </c>
      <c r="H195" s="141">
        <v>13.625</v>
      </c>
      <c r="I195" s="140">
        <v>1.52</v>
      </c>
      <c r="J195" s="141">
        <v>1.5</v>
      </c>
      <c r="K195" s="143">
        <v>0.75</v>
      </c>
      <c r="L195" s="140">
        <v>2.72</v>
      </c>
      <c r="M195" s="143">
        <v>2.75</v>
      </c>
      <c r="N195" s="148">
        <v>3.22</v>
      </c>
      <c r="O195" s="145">
        <v>4</v>
      </c>
      <c r="P195" s="145">
        <v>2</v>
      </c>
      <c r="Q195" s="140">
        <v>2.5099999999999998</v>
      </c>
      <c r="R195" s="139">
        <v>14.2</v>
      </c>
      <c r="S195" s="147">
        <v>13400</v>
      </c>
      <c r="T195" s="147">
        <v>1130</v>
      </c>
      <c r="U195" s="147">
        <v>957</v>
      </c>
      <c r="V195" s="139">
        <v>11.1</v>
      </c>
      <c r="W195" s="147">
        <v>1160</v>
      </c>
      <c r="X195" s="147">
        <v>267</v>
      </c>
      <c r="Y195" s="147">
        <v>170</v>
      </c>
      <c r="Z195" s="140">
        <v>3.27</v>
      </c>
      <c r="AA195" s="147">
        <v>201</v>
      </c>
      <c r="AB195" s="147">
        <v>186000</v>
      </c>
      <c r="AC195" s="139">
        <v>86.6</v>
      </c>
      <c r="AD195" s="147">
        <v>807</v>
      </c>
      <c r="AE195" s="147">
        <v>209</v>
      </c>
      <c r="AF195" s="147">
        <v>568</v>
      </c>
      <c r="AG195" s="140">
        <v>3.92</v>
      </c>
      <c r="AH195" s="139">
        <v>25.3</v>
      </c>
      <c r="AI195" s="139">
        <v>93.3</v>
      </c>
      <c r="AJ195" s="147">
        <v>107</v>
      </c>
      <c r="AK195" s="139">
        <v>69.7</v>
      </c>
      <c r="AL195" s="139">
        <v>83.4</v>
      </c>
      <c r="AM195" s="141">
        <v>20</v>
      </c>
      <c r="AN195" s="141">
        <v>5.5</v>
      </c>
    </row>
    <row r="196" spans="1:40" x14ac:dyDescent="0.3">
      <c r="A196" s="138" t="s">
        <v>869</v>
      </c>
      <c r="B196" s="138" t="s">
        <v>677</v>
      </c>
      <c r="C196" s="147">
        <v>194</v>
      </c>
      <c r="D196" s="139">
        <v>57.1</v>
      </c>
      <c r="E196" s="139">
        <v>28.1</v>
      </c>
      <c r="F196" s="141">
        <v>28.125</v>
      </c>
      <c r="G196" s="139">
        <v>14</v>
      </c>
      <c r="H196" s="141">
        <v>14</v>
      </c>
      <c r="I196" s="142">
        <v>0.75</v>
      </c>
      <c r="J196" s="141">
        <v>0.75</v>
      </c>
      <c r="K196" s="143">
        <v>0.375</v>
      </c>
      <c r="L196" s="140">
        <v>1.34</v>
      </c>
      <c r="M196" s="143">
        <v>1.3125</v>
      </c>
      <c r="N196" s="148">
        <v>2.13</v>
      </c>
      <c r="O196" s="145">
        <v>2.5625</v>
      </c>
      <c r="P196" s="145">
        <v>1.5625</v>
      </c>
      <c r="Q196" s="140">
        <v>5.24</v>
      </c>
      <c r="R196" s="139">
        <v>31.8</v>
      </c>
      <c r="S196" s="147">
        <v>7860</v>
      </c>
      <c r="T196" s="147">
        <v>631</v>
      </c>
      <c r="U196" s="147">
        <v>559</v>
      </c>
      <c r="V196" s="139">
        <v>11.7</v>
      </c>
      <c r="W196" s="147">
        <v>619</v>
      </c>
      <c r="X196" s="147">
        <v>136</v>
      </c>
      <c r="Y196" s="139">
        <v>88.1</v>
      </c>
      <c r="Z196" s="140">
        <v>3.29</v>
      </c>
      <c r="AA196" s="139">
        <v>27.1</v>
      </c>
      <c r="AB196" s="147">
        <v>111000</v>
      </c>
      <c r="AC196" s="139">
        <v>93.7</v>
      </c>
      <c r="AD196" s="147">
        <v>439</v>
      </c>
      <c r="AE196" s="147">
        <v>119</v>
      </c>
      <c r="AF196" s="147">
        <v>312</v>
      </c>
      <c r="AG196" s="140">
        <v>3.85</v>
      </c>
      <c r="AH196" s="139">
        <v>26.8</v>
      </c>
      <c r="AI196" s="139">
        <v>95</v>
      </c>
      <c r="AJ196" s="147">
        <v>109</v>
      </c>
      <c r="AK196" s="139">
        <v>70.2</v>
      </c>
      <c r="AL196" s="139">
        <v>84.2</v>
      </c>
      <c r="AM196" s="141">
        <v>23</v>
      </c>
      <c r="AN196" s="141">
        <v>5.5</v>
      </c>
    </row>
    <row r="197" spans="1:40" x14ac:dyDescent="0.3">
      <c r="A197" s="138" t="s">
        <v>870</v>
      </c>
      <c r="B197" s="138" t="s">
        <v>677</v>
      </c>
      <c r="C197" s="147">
        <v>217</v>
      </c>
      <c r="D197" s="139">
        <v>63.9</v>
      </c>
      <c r="E197" s="139">
        <v>28.4</v>
      </c>
      <c r="F197" s="141">
        <v>28.375</v>
      </c>
      <c r="G197" s="139">
        <v>14.1</v>
      </c>
      <c r="H197" s="141">
        <v>14.125</v>
      </c>
      <c r="I197" s="142">
        <v>0.83</v>
      </c>
      <c r="J197" s="141">
        <v>0.8125</v>
      </c>
      <c r="K197" s="143">
        <v>0.4375</v>
      </c>
      <c r="L197" s="140">
        <v>1.5</v>
      </c>
      <c r="M197" s="143">
        <v>1.5</v>
      </c>
      <c r="N197" s="148">
        <v>2.29</v>
      </c>
      <c r="O197" s="145">
        <v>2.6875</v>
      </c>
      <c r="P197" s="145">
        <v>1.625</v>
      </c>
      <c r="Q197" s="140">
        <v>4.71</v>
      </c>
      <c r="R197" s="139">
        <v>28.7</v>
      </c>
      <c r="S197" s="147">
        <v>8910</v>
      </c>
      <c r="T197" s="147">
        <v>711</v>
      </c>
      <c r="U197" s="147">
        <v>627</v>
      </c>
      <c r="V197" s="139">
        <v>11.8</v>
      </c>
      <c r="W197" s="147">
        <v>704</v>
      </c>
      <c r="X197" s="147">
        <v>154</v>
      </c>
      <c r="Y197" s="147">
        <v>100</v>
      </c>
      <c r="Z197" s="140">
        <v>3.32</v>
      </c>
      <c r="AA197" s="139">
        <v>37.6</v>
      </c>
      <c r="AB197" s="147">
        <v>128000</v>
      </c>
      <c r="AC197" s="139">
        <v>94.8</v>
      </c>
      <c r="AD197" s="147">
        <v>501</v>
      </c>
      <c r="AE197" s="147">
        <v>134</v>
      </c>
      <c r="AF197" s="147">
        <v>351</v>
      </c>
      <c r="AG197" s="140">
        <v>3.89</v>
      </c>
      <c r="AH197" s="139">
        <v>26.9</v>
      </c>
      <c r="AI197" s="139">
        <v>95.9</v>
      </c>
      <c r="AJ197" s="147">
        <v>110</v>
      </c>
      <c r="AK197" s="139">
        <v>70.900000000000006</v>
      </c>
      <c r="AL197" s="139">
        <v>85</v>
      </c>
      <c r="AM197" s="141">
        <v>23</v>
      </c>
      <c r="AN197" s="141">
        <v>5.5</v>
      </c>
    </row>
    <row r="198" spans="1:40" x14ac:dyDescent="0.3">
      <c r="A198" s="138" t="s">
        <v>871</v>
      </c>
      <c r="B198" s="138" t="s">
        <v>677</v>
      </c>
      <c r="C198" s="147">
        <v>235</v>
      </c>
      <c r="D198" s="139">
        <v>69.400000000000006</v>
      </c>
      <c r="E198" s="139">
        <v>28.7</v>
      </c>
      <c r="F198" s="141">
        <v>28.625</v>
      </c>
      <c r="G198" s="139">
        <v>14.2</v>
      </c>
      <c r="H198" s="141">
        <v>14.25</v>
      </c>
      <c r="I198" s="142">
        <v>0.91</v>
      </c>
      <c r="J198" s="141">
        <v>0.9375</v>
      </c>
      <c r="K198" s="143">
        <v>0.5</v>
      </c>
      <c r="L198" s="140">
        <v>1.61</v>
      </c>
      <c r="M198" s="143">
        <v>1.625</v>
      </c>
      <c r="N198" s="148">
        <v>2.4</v>
      </c>
      <c r="O198" s="145">
        <v>2.875</v>
      </c>
      <c r="P198" s="145">
        <v>1.6875</v>
      </c>
      <c r="Q198" s="140">
        <v>4.41</v>
      </c>
      <c r="R198" s="139">
        <v>26.2</v>
      </c>
      <c r="S198" s="147">
        <v>9700</v>
      </c>
      <c r="T198" s="147">
        <v>772</v>
      </c>
      <c r="U198" s="147">
        <v>677</v>
      </c>
      <c r="V198" s="139">
        <v>11.8</v>
      </c>
      <c r="W198" s="147">
        <v>769</v>
      </c>
      <c r="X198" s="147">
        <v>168</v>
      </c>
      <c r="Y198" s="147">
        <v>108</v>
      </c>
      <c r="Z198" s="140">
        <v>3.33</v>
      </c>
      <c r="AA198" s="139">
        <v>47</v>
      </c>
      <c r="AB198" s="147">
        <v>141000</v>
      </c>
      <c r="AC198" s="139">
        <v>96.2</v>
      </c>
      <c r="AD198" s="147">
        <v>550</v>
      </c>
      <c r="AE198" s="147">
        <v>145</v>
      </c>
      <c r="AF198" s="147">
        <v>384</v>
      </c>
      <c r="AG198" s="140">
        <v>3.92</v>
      </c>
      <c r="AH198" s="139">
        <v>27.1</v>
      </c>
      <c r="AI198" s="139">
        <v>96.8</v>
      </c>
      <c r="AJ198" s="147">
        <v>111</v>
      </c>
      <c r="AK198" s="139">
        <v>71.599999999999994</v>
      </c>
      <c r="AL198" s="139">
        <v>85.8</v>
      </c>
      <c r="AM198" s="141">
        <v>23</v>
      </c>
      <c r="AN198" s="141">
        <v>5.5</v>
      </c>
    </row>
    <row r="199" spans="1:40" x14ac:dyDescent="0.3">
      <c r="A199" s="138" t="s">
        <v>872</v>
      </c>
      <c r="B199" s="138" t="s">
        <v>677</v>
      </c>
      <c r="C199" s="147">
        <v>258</v>
      </c>
      <c r="D199" s="139">
        <v>76.099999999999994</v>
      </c>
      <c r="E199" s="139">
        <v>29</v>
      </c>
      <c r="F199" s="141">
        <v>29</v>
      </c>
      <c r="G199" s="139">
        <v>14.3</v>
      </c>
      <c r="H199" s="141">
        <v>14.25</v>
      </c>
      <c r="I199" s="142">
        <v>0.98</v>
      </c>
      <c r="J199" s="141">
        <v>1</v>
      </c>
      <c r="K199" s="143">
        <v>0.5</v>
      </c>
      <c r="L199" s="140">
        <v>1.77</v>
      </c>
      <c r="M199" s="143">
        <v>1.75</v>
      </c>
      <c r="N199" s="148">
        <v>2.56</v>
      </c>
      <c r="O199" s="145">
        <v>3</v>
      </c>
      <c r="P199" s="145">
        <v>1.6875</v>
      </c>
      <c r="Q199" s="140">
        <v>4.03</v>
      </c>
      <c r="R199" s="139">
        <v>24.4</v>
      </c>
      <c r="S199" s="147">
        <v>10800</v>
      </c>
      <c r="T199" s="147">
        <v>852</v>
      </c>
      <c r="U199" s="147">
        <v>745</v>
      </c>
      <c r="V199" s="139">
        <v>11.9</v>
      </c>
      <c r="W199" s="147">
        <v>859</v>
      </c>
      <c r="X199" s="147">
        <v>187</v>
      </c>
      <c r="Y199" s="147">
        <v>120</v>
      </c>
      <c r="Z199" s="140">
        <v>3.36</v>
      </c>
      <c r="AA199" s="139">
        <v>61.6</v>
      </c>
      <c r="AB199" s="147">
        <v>159000</v>
      </c>
      <c r="AC199" s="139">
        <v>97.3</v>
      </c>
      <c r="AD199" s="147">
        <v>616</v>
      </c>
      <c r="AE199" s="147">
        <v>160</v>
      </c>
      <c r="AF199" s="147">
        <v>424</v>
      </c>
      <c r="AG199" s="140">
        <v>3.96</v>
      </c>
      <c r="AH199" s="139">
        <v>27.2</v>
      </c>
      <c r="AI199" s="139">
        <v>97.7</v>
      </c>
      <c r="AJ199" s="147">
        <v>112</v>
      </c>
      <c r="AK199" s="139">
        <v>72.3</v>
      </c>
      <c r="AL199" s="139">
        <v>86.6</v>
      </c>
      <c r="AM199" s="141">
        <v>23</v>
      </c>
      <c r="AN199" s="141">
        <v>5.5</v>
      </c>
    </row>
    <row r="200" spans="1:40" x14ac:dyDescent="0.3">
      <c r="A200" s="138" t="s">
        <v>873</v>
      </c>
      <c r="B200" s="138" t="s">
        <v>677</v>
      </c>
      <c r="C200" s="147">
        <v>281</v>
      </c>
      <c r="D200" s="139">
        <v>83.1</v>
      </c>
      <c r="E200" s="139">
        <v>29.3</v>
      </c>
      <c r="F200" s="141">
        <v>29.25</v>
      </c>
      <c r="G200" s="139">
        <v>14.4</v>
      </c>
      <c r="H200" s="141">
        <v>14.375</v>
      </c>
      <c r="I200" s="140">
        <v>1.06</v>
      </c>
      <c r="J200" s="141">
        <v>1.0625</v>
      </c>
      <c r="K200" s="143">
        <v>0.5625</v>
      </c>
      <c r="L200" s="140">
        <v>1.93</v>
      </c>
      <c r="M200" s="143">
        <v>1.9375</v>
      </c>
      <c r="N200" s="148">
        <v>2.72</v>
      </c>
      <c r="O200" s="145">
        <v>3.125</v>
      </c>
      <c r="P200" s="145">
        <v>1.75</v>
      </c>
      <c r="Q200" s="140">
        <v>3.72</v>
      </c>
      <c r="R200" s="139">
        <v>22.5</v>
      </c>
      <c r="S200" s="147">
        <v>11900</v>
      </c>
      <c r="T200" s="147">
        <v>936</v>
      </c>
      <c r="U200" s="147">
        <v>814</v>
      </c>
      <c r="V200" s="139">
        <v>12</v>
      </c>
      <c r="W200" s="147">
        <v>953</v>
      </c>
      <c r="X200" s="147">
        <v>206</v>
      </c>
      <c r="Y200" s="147">
        <v>133</v>
      </c>
      <c r="Z200" s="140">
        <v>3.39</v>
      </c>
      <c r="AA200" s="139">
        <v>79.5</v>
      </c>
      <c r="AB200" s="147">
        <v>178000</v>
      </c>
      <c r="AC200" s="139">
        <v>98.5</v>
      </c>
      <c r="AD200" s="147">
        <v>685</v>
      </c>
      <c r="AE200" s="147">
        <v>176</v>
      </c>
      <c r="AF200" s="147">
        <v>466</v>
      </c>
      <c r="AG200" s="140">
        <v>4</v>
      </c>
      <c r="AH200" s="139">
        <v>27.4</v>
      </c>
      <c r="AI200" s="139">
        <v>98.6</v>
      </c>
      <c r="AJ200" s="147">
        <v>113</v>
      </c>
      <c r="AK200" s="139">
        <v>73</v>
      </c>
      <c r="AL200" s="139">
        <v>87.4</v>
      </c>
      <c r="AM200" s="141">
        <v>23</v>
      </c>
      <c r="AN200" s="141">
        <v>5.5</v>
      </c>
    </row>
    <row r="201" spans="1:40" x14ac:dyDescent="0.3">
      <c r="A201" s="138" t="s">
        <v>874</v>
      </c>
      <c r="B201" s="138" t="s">
        <v>677</v>
      </c>
      <c r="C201" s="139">
        <v>90</v>
      </c>
      <c r="D201" s="139">
        <v>26.3</v>
      </c>
      <c r="E201" s="139">
        <v>29.5</v>
      </c>
      <c r="F201" s="141">
        <v>29.5</v>
      </c>
      <c r="G201" s="139">
        <v>10.4</v>
      </c>
      <c r="H201" s="141">
        <v>10.375</v>
      </c>
      <c r="I201" s="142">
        <v>0.47</v>
      </c>
      <c r="J201" s="141">
        <v>0.5</v>
      </c>
      <c r="K201" s="143">
        <v>0.25</v>
      </c>
      <c r="L201" s="142">
        <v>0.61</v>
      </c>
      <c r="M201" s="143">
        <v>0.625</v>
      </c>
      <c r="N201" s="148">
        <v>1.26</v>
      </c>
      <c r="O201" s="145">
        <v>1.875</v>
      </c>
      <c r="P201" s="145">
        <v>1.4375</v>
      </c>
      <c r="Q201" s="140">
        <v>8.52</v>
      </c>
      <c r="R201" s="139">
        <v>57.5</v>
      </c>
      <c r="S201" s="147">
        <v>3610</v>
      </c>
      <c r="T201" s="147">
        <v>283</v>
      </c>
      <c r="U201" s="147">
        <v>245</v>
      </c>
      <c r="V201" s="139">
        <v>11.7</v>
      </c>
      <c r="W201" s="147">
        <v>115</v>
      </c>
      <c r="X201" s="139">
        <v>34.700000000000003</v>
      </c>
      <c r="Y201" s="139">
        <v>22.1</v>
      </c>
      <c r="Z201" s="140">
        <v>2.09</v>
      </c>
      <c r="AA201" s="140">
        <v>2.84</v>
      </c>
      <c r="AB201" s="147">
        <v>24000</v>
      </c>
      <c r="AC201" s="139">
        <v>75.099999999999994</v>
      </c>
      <c r="AD201" s="147">
        <v>119</v>
      </c>
      <c r="AE201" s="139">
        <v>43.7</v>
      </c>
      <c r="AF201" s="147">
        <v>139</v>
      </c>
      <c r="AG201" s="140">
        <v>2.6</v>
      </c>
      <c r="AH201" s="139">
        <v>28.9</v>
      </c>
      <c r="AI201" s="139">
        <v>88.1</v>
      </c>
      <c r="AJ201" s="139">
        <v>98.5</v>
      </c>
      <c r="AK201" s="139">
        <v>69.400000000000006</v>
      </c>
      <c r="AL201" s="139">
        <v>79.8</v>
      </c>
      <c r="AM201" s="141">
        <v>25.75</v>
      </c>
      <c r="AN201" s="141">
        <v>5.5</v>
      </c>
    </row>
    <row r="202" spans="1:40" x14ac:dyDescent="0.3">
      <c r="A202" s="138" t="s">
        <v>875</v>
      </c>
      <c r="B202" s="138" t="s">
        <v>675</v>
      </c>
      <c r="C202" s="147">
        <v>307</v>
      </c>
      <c r="D202" s="139">
        <v>90.2</v>
      </c>
      <c r="E202" s="139">
        <v>29.6</v>
      </c>
      <c r="F202" s="141">
        <v>29.625</v>
      </c>
      <c r="G202" s="139">
        <v>14.4</v>
      </c>
      <c r="H202" s="141">
        <v>14.5</v>
      </c>
      <c r="I202" s="140">
        <v>1.1599999999999999</v>
      </c>
      <c r="J202" s="141">
        <v>1.1875</v>
      </c>
      <c r="K202" s="143">
        <v>0.625</v>
      </c>
      <c r="L202" s="140">
        <v>2.09</v>
      </c>
      <c r="M202" s="143">
        <v>2.0625</v>
      </c>
      <c r="N202" s="148">
        <v>2.88</v>
      </c>
      <c r="O202" s="145">
        <v>3.3125</v>
      </c>
      <c r="P202" s="145">
        <v>1.8125</v>
      </c>
      <c r="Q202" s="140">
        <v>3.46</v>
      </c>
      <c r="R202" s="139">
        <v>20.6</v>
      </c>
      <c r="S202" s="147">
        <v>13100</v>
      </c>
      <c r="T202" s="147">
        <v>1030</v>
      </c>
      <c r="U202" s="147">
        <v>887</v>
      </c>
      <c r="V202" s="139">
        <v>12</v>
      </c>
      <c r="W202" s="147">
        <v>1050</v>
      </c>
      <c r="X202" s="147">
        <v>227</v>
      </c>
      <c r="Y202" s="147">
        <v>146</v>
      </c>
      <c r="Z202" s="140">
        <v>3.41</v>
      </c>
      <c r="AA202" s="147">
        <v>101</v>
      </c>
      <c r="AB202" s="147">
        <v>199000</v>
      </c>
      <c r="AC202" s="139">
        <v>99</v>
      </c>
      <c r="AD202" s="147">
        <v>745</v>
      </c>
      <c r="AE202" s="147">
        <v>190</v>
      </c>
      <c r="AF202" s="147">
        <v>508</v>
      </c>
      <c r="AG202" s="140">
        <v>4.04</v>
      </c>
      <c r="AH202" s="139">
        <v>27.5</v>
      </c>
      <c r="AI202" s="139">
        <v>98.6</v>
      </c>
      <c r="AJ202" s="147">
        <v>113</v>
      </c>
      <c r="AK202" s="139">
        <v>73.599999999999994</v>
      </c>
      <c r="AL202" s="139">
        <v>88</v>
      </c>
      <c r="AM202" s="141">
        <v>23</v>
      </c>
      <c r="AN202" s="141">
        <v>5.5</v>
      </c>
    </row>
    <row r="203" spans="1:40" x14ac:dyDescent="0.3">
      <c r="A203" s="138" t="s">
        <v>876</v>
      </c>
      <c r="B203" s="138" t="s">
        <v>677</v>
      </c>
      <c r="C203" s="139">
        <v>99</v>
      </c>
      <c r="D203" s="139">
        <v>29</v>
      </c>
      <c r="E203" s="139">
        <v>29.7</v>
      </c>
      <c r="F203" s="141">
        <v>29.625</v>
      </c>
      <c r="G203" s="139">
        <v>10.5</v>
      </c>
      <c r="H203" s="141">
        <v>10.5</v>
      </c>
      <c r="I203" s="142">
        <v>0.52</v>
      </c>
      <c r="J203" s="141">
        <v>0.5</v>
      </c>
      <c r="K203" s="143">
        <v>0.25</v>
      </c>
      <c r="L203" s="142">
        <v>0.67</v>
      </c>
      <c r="M203" s="143">
        <v>0.6875</v>
      </c>
      <c r="N203" s="148">
        <v>1.32</v>
      </c>
      <c r="O203" s="145">
        <v>2</v>
      </c>
      <c r="P203" s="145">
        <v>1.5</v>
      </c>
      <c r="Q203" s="140">
        <v>7.8</v>
      </c>
      <c r="R203" s="139">
        <v>51.9</v>
      </c>
      <c r="S203" s="147">
        <v>3990</v>
      </c>
      <c r="T203" s="147">
        <v>312</v>
      </c>
      <c r="U203" s="147">
        <v>269</v>
      </c>
      <c r="V203" s="139">
        <v>11.7</v>
      </c>
      <c r="W203" s="147">
        <v>128</v>
      </c>
      <c r="X203" s="139">
        <v>38.6</v>
      </c>
      <c r="Y203" s="139">
        <v>24.5</v>
      </c>
      <c r="Z203" s="140">
        <v>2.1</v>
      </c>
      <c r="AA203" s="140">
        <v>3.77</v>
      </c>
      <c r="AB203" s="147">
        <v>26800</v>
      </c>
      <c r="AC203" s="139">
        <v>76.2</v>
      </c>
      <c r="AD203" s="147">
        <v>134</v>
      </c>
      <c r="AE203" s="139">
        <v>48.5</v>
      </c>
      <c r="AF203" s="147">
        <v>154</v>
      </c>
      <c r="AG203" s="140">
        <v>2.62</v>
      </c>
      <c r="AH203" s="139">
        <v>29</v>
      </c>
      <c r="AI203" s="139">
        <v>88.7</v>
      </c>
      <c r="AJ203" s="139">
        <v>99.2</v>
      </c>
      <c r="AK203" s="139">
        <v>69.900000000000006</v>
      </c>
      <c r="AL203" s="139">
        <v>80.400000000000006</v>
      </c>
      <c r="AM203" s="141">
        <v>25.75</v>
      </c>
      <c r="AN203" s="141">
        <v>5.5</v>
      </c>
    </row>
    <row r="204" spans="1:40" x14ac:dyDescent="0.3">
      <c r="A204" s="138" t="s">
        <v>877</v>
      </c>
      <c r="B204" s="138" t="s">
        <v>677</v>
      </c>
      <c r="C204" s="147">
        <v>108</v>
      </c>
      <c r="D204" s="139">
        <v>31.7</v>
      </c>
      <c r="E204" s="139">
        <v>29.8</v>
      </c>
      <c r="F204" s="141">
        <v>29.875</v>
      </c>
      <c r="G204" s="139">
        <v>10.5</v>
      </c>
      <c r="H204" s="141">
        <v>10.5</v>
      </c>
      <c r="I204" s="142">
        <v>0.54500000000000004</v>
      </c>
      <c r="J204" s="141">
        <v>0.5625</v>
      </c>
      <c r="K204" s="143">
        <v>0.3125</v>
      </c>
      <c r="L204" s="142">
        <v>0.76</v>
      </c>
      <c r="M204" s="143">
        <v>0.75</v>
      </c>
      <c r="N204" s="148">
        <v>1.41</v>
      </c>
      <c r="O204" s="145">
        <v>2</v>
      </c>
      <c r="P204" s="145">
        <v>1.5</v>
      </c>
      <c r="Q204" s="140">
        <v>6.89</v>
      </c>
      <c r="R204" s="139">
        <v>49.6</v>
      </c>
      <c r="S204" s="147">
        <v>4470</v>
      </c>
      <c r="T204" s="147">
        <v>346</v>
      </c>
      <c r="U204" s="147">
        <v>299</v>
      </c>
      <c r="V204" s="139">
        <v>11.9</v>
      </c>
      <c r="W204" s="147">
        <v>146</v>
      </c>
      <c r="X204" s="139">
        <v>43.9</v>
      </c>
      <c r="Y204" s="139">
        <v>27.9</v>
      </c>
      <c r="Z204" s="140">
        <v>2.15</v>
      </c>
      <c r="AA204" s="140">
        <v>4.99</v>
      </c>
      <c r="AB204" s="147">
        <v>30900</v>
      </c>
      <c r="AC204" s="139">
        <v>76.2</v>
      </c>
      <c r="AD204" s="147">
        <v>152</v>
      </c>
      <c r="AE204" s="139">
        <v>54.9</v>
      </c>
      <c r="AF204" s="147">
        <v>170</v>
      </c>
      <c r="AG204" s="140">
        <v>2.67</v>
      </c>
      <c r="AH204" s="139">
        <v>29</v>
      </c>
      <c r="AI204" s="139">
        <v>88.9</v>
      </c>
      <c r="AJ204" s="139">
        <v>99.4</v>
      </c>
      <c r="AK204" s="139">
        <v>70.099999999999994</v>
      </c>
      <c r="AL204" s="139">
        <v>80.599999999999994</v>
      </c>
      <c r="AM204" s="141">
        <v>25.75</v>
      </c>
      <c r="AN204" s="141">
        <v>5.5</v>
      </c>
    </row>
    <row r="205" spans="1:40" x14ac:dyDescent="0.3">
      <c r="A205" s="138" t="s">
        <v>878</v>
      </c>
      <c r="B205" s="138" t="s">
        <v>677</v>
      </c>
      <c r="C205" s="147">
        <v>116</v>
      </c>
      <c r="D205" s="139">
        <v>34.200000000000003</v>
      </c>
      <c r="E205" s="139">
        <v>30</v>
      </c>
      <c r="F205" s="141">
        <v>30</v>
      </c>
      <c r="G205" s="139">
        <v>10.5</v>
      </c>
      <c r="H205" s="141">
        <v>10.5</v>
      </c>
      <c r="I205" s="142">
        <v>0.56499999999999995</v>
      </c>
      <c r="J205" s="141">
        <v>0.5625</v>
      </c>
      <c r="K205" s="143">
        <v>0.3125</v>
      </c>
      <c r="L205" s="142">
        <v>0.85</v>
      </c>
      <c r="M205" s="143">
        <v>0.875</v>
      </c>
      <c r="N205" s="148">
        <v>1.5</v>
      </c>
      <c r="O205" s="145">
        <v>2.125</v>
      </c>
      <c r="P205" s="145">
        <v>1.5</v>
      </c>
      <c r="Q205" s="140">
        <v>6.17</v>
      </c>
      <c r="R205" s="139">
        <v>47.8</v>
      </c>
      <c r="S205" s="147">
        <v>4930</v>
      </c>
      <c r="T205" s="147">
        <v>378</v>
      </c>
      <c r="U205" s="147">
        <v>329</v>
      </c>
      <c r="V205" s="139">
        <v>12</v>
      </c>
      <c r="W205" s="147">
        <v>164</v>
      </c>
      <c r="X205" s="139">
        <v>49.2</v>
      </c>
      <c r="Y205" s="139">
        <v>31.3</v>
      </c>
      <c r="Z205" s="140">
        <v>2.19</v>
      </c>
      <c r="AA205" s="140">
        <v>6.43</v>
      </c>
      <c r="AB205" s="147">
        <v>34900</v>
      </c>
      <c r="AC205" s="139">
        <v>76.5</v>
      </c>
      <c r="AD205" s="147">
        <v>171</v>
      </c>
      <c r="AE205" s="139">
        <v>61.5</v>
      </c>
      <c r="AF205" s="147">
        <v>187</v>
      </c>
      <c r="AG205" s="140">
        <v>2.7</v>
      </c>
      <c r="AH205" s="139">
        <v>29.2</v>
      </c>
      <c r="AI205" s="139">
        <v>89.3</v>
      </c>
      <c r="AJ205" s="147">
        <v>99.8</v>
      </c>
      <c r="AK205" s="139">
        <v>70.5</v>
      </c>
      <c r="AL205" s="139">
        <v>81</v>
      </c>
      <c r="AM205" s="141">
        <v>25.75</v>
      </c>
      <c r="AN205" s="141">
        <v>5.5</v>
      </c>
    </row>
    <row r="206" spans="1:40" x14ac:dyDescent="0.3">
      <c r="A206" s="138" t="s">
        <v>879</v>
      </c>
      <c r="B206" s="138" t="s">
        <v>675</v>
      </c>
      <c r="C206" s="147">
        <v>336</v>
      </c>
      <c r="D206" s="139">
        <v>99.2</v>
      </c>
      <c r="E206" s="139">
        <v>30</v>
      </c>
      <c r="F206" s="141">
        <v>30</v>
      </c>
      <c r="G206" s="139">
        <v>14.6</v>
      </c>
      <c r="H206" s="141">
        <v>14.5</v>
      </c>
      <c r="I206" s="140">
        <v>1.26</v>
      </c>
      <c r="J206" s="141">
        <v>1.25</v>
      </c>
      <c r="K206" s="143">
        <v>0.625</v>
      </c>
      <c r="L206" s="140">
        <v>2.2799999999999998</v>
      </c>
      <c r="M206" s="143">
        <v>2.25</v>
      </c>
      <c r="N206" s="148">
        <v>3.07</v>
      </c>
      <c r="O206" s="145">
        <v>3.5</v>
      </c>
      <c r="P206" s="145">
        <v>1.8125</v>
      </c>
      <c r="Q206" s="140">
        <v>3.19</v>
      </c>
      <c r="R206" s="139">
        <v>18.899999999999999</v>
      </c>
      <c r="S206" s="147">
        <v>14600</v>
      </c>
      <c r="T206" s="147">
        <v>1130</v>
      </c>
      <c r="U206" s="147">
        <v>972</v>
      </c>
      <c r="V206" s="139">
        <v>12.1</v>
      </c>
      <c r="W206" s="147">
        <v>1180</v>
      </c>
      <c r="X206" s="147">
        <v>252</v>
      </c>
      <c r="Y206" s="147">
        <v>162</v>
      </c>
      <c r="Z206" s="140">
        <v>3.45</v>
      </c>
      <c r="AA206" s="147">
        <v>131</v>
      </c>
      <c r="AB206" s="147">
        <v>226000</v>
      </c>
      <c r="AC206" s="147">
        <v>101</v>
      </c>
      <c r="AD206" s="147">
        <v>842</v>
      </c>
      <c r="AE206" s="147">
        <v>211</v>
      </c>
      <c r="AF206" s="147">
        <v>563</v>
      </c>
      <c r="AG206" s="140">
        <v>4.0999999999999996</v>
      </c>
      <c r="AH206" s="139">
        <v>27.7</v>
      </c>
      <c r="AI206" s="147">
        <v>100</v>
      </c>
      <c r="AJ206" s="147">
        <v>115</v>
      </c>
      <c r="AK206" s="139">
        <v>74.599999999999994</v>
      </c>
      <c r="AL206" s="139">
        <v>89.2</v>
      </c>
      <c r="AM206" s="141">
        <v>23</v>
      </c>
      <c r="AN206" s="141">
        <v>5.5</v>
      </c>
    </row>
    <row r="207" spans="1:40" x14ac:dyDescent="0.3">
      <c r="A207" s="138" t="s">
        <v>880</v>
      </c>
      <c r="B207" s="138" t="s">
        <v>677</v>
      </c>
      <c r="C207" s="147">
        <v>124</v>
      </c>
      <c r="D207" s="139">
        <v>36.5</v>
      </c>
      <c r="E207" s="139">
        <v>30.2</v>
      </c>
      <c r="F207" s="141">
        <v>30.125</v>
      </c>
      <c r="G207" s="139">
        <v>10.5</v>
      </c>
      <c r="H207" s="141">
        <v>10.5</v>
      </c>
      <c r="I207" s="142">
        <v>0.58499999999999996</v>
      </c>
      <c r="J207" s="141">
        <v>0.5625</v>
      </c>
      <c r="K207" s="143">
        <v>0.3125</v>
      </c>
      <c r="L207" s="142">
        <v>0.93</v>
      </c>
      <c r="M207" s="143">
        <v>0.9375</v>
      </c>
      <c r="N207" s="148">
        <v>1.58</v>
      </c>
      <c r="O207" s="145">
        <v>2.25</v>
      </c>
      <c r="P207" s="145">
        <v>1.5</v>
      </c>
      <c r="Q207" s="140">
        <v>5.65</v>
      </c>
      <c r="R207" s="139">
        <v>46.2</v>
      </c>
      <c r="S207" s="147">
        <v>5360</v>
      </c>
      <c r="T207" s="147">
        <v>408</v>
      </c>
      <c r="U207" s="147">
        <v>355</v>
      </c>
      <c r="V207" s="139">
        <v>12.1</v>
      </c>
      <c r="W207" s="147">
        <v>181</v>
      </c>
      <c r="X207" s="139">
        <v>54</v>
      </c>
      <c r="Y207" s="139">
        <v>34.4</v>
      </c>
      <c r="Z207" s="140">
        <v>2.23</v>
      </c>
      <c r="AA207" s="140">
        <v>7.99</v>
      </c>
      <c r="AB207" s="147">
        <v>38600</v>
      </c>
      <c r="AC207" s="139">
        <v>76.8</v>
      </c>
      <c r="AD207" s="147">
        <v>188</v>
      </c>
      <c r="AE207" s="139">
        <v>67.5</v>
      </c>
      <c r="AF207" s="147">
        <v>202</v>
      </c>
      <c r="AG207" s="140">
        <v>2.73</v>
      </c>
      <c r="AH207" s="139">
        <v>29.3</v>
      </c>
      <c r="AI207" s="139">
        <v>89.5</v>
      </c>
      <c r="AJ207" s="147">
        <v>100</v>
      </c>
      <c r="AK207" s="139">
        <v>70.900000000000006</v>
      </c>
      <c r="AL207" s="139">
        <v>81.400000000000006</v>
      </c>
      <c r="AM207" s="141">
        <v>25.75</v>
      </c>
      <c r="AN207" s="141">
        <v>5.5</v>
      </c>
    </row>
    <row r="208" spans="1:40" x14ac:dyDescent="0.3">
      <c r="A208" s="138" t="s">
        <v>881</v>
      </c>
      <c r="B208" s="138" t="s">
        <v>677</v>
      </c>
      <c r="C208" s="147">
        <v>132</v>
      </c>
      <c r="D208" s="139">
        <v>38.799999999999997</v>
      </c>
      <c r="E208" s="139">
        <v>30.3</v>
      </c>
      <c r="F208" s="141">
        <v>30.25</v>
      </c>
      <c r="G208" s="139">
        <v>10.5</v>
      </c>
      <c r="H208" s="141">
        <v>10.5</v>
      </c>
      <c r="I208" s="142">
        <v>0.61499999999999999</v>
      </c>
      <c r="J208" s="141">
        <v>0.625</v>
      </c>
      <c r="K208" s="143">
        <v>0.3125</v>
      </c>
      <c r="L208" s="140">
        <v>1</v>
      </c>
      <c r="M208" s="143">
        <v>1</v>
      </c>
      <c r="N208" s="148">
        <v>1.65</v>
      </c>
      <c r="O208" s="145">
        <v>2.25</v>
      </c>
      <c r="P208" s="145">
        <v>1.5</v>
      </c>
      <c r="Q208" s="140">
        <v>5.27</v>
      </c>
      <c r="R208" s="139">
        <v>43.9</v>
      </c>
      <c r="S208" s="147">
        <v>5770</v>
      </c>
      <c r="T208" s="147">
        <v>437</v>
      </c>
      <c r="U208" s="147">
        <v>380</v>
      </c>
      <c r="V208" s="139">
        <v>12.2</v>
      </c>
      <c r="W208" s="147">
        <v>196</v>
      </c>
      <c r="X208" s="139">
        <v>58.4</v>
      </c>
      <c r="Y208" s="139">
        <v>37.200000000000003</v>
      </c>
      <c r="Z208" s="140">
        <v>2.25</v>
      </c>
      <c r="AA208" s="140">
        <v>9.7200000000000006</v>
      </c>
      <c r="AB208" s="147">
        <v>42100</v>
      </c>
      <c r="AC208" s="139">
        <v>76.900000000000006</v>
      </c>
      <c r="AD208" s="147">
        <v>202</v>
      </c>
      <c r="AE208" s="139">
        <v>72.400000000000006</v>
      </c>
      <c r="AF208" s="147">
        <v>215</v>
      </c>
      <c r="AG208" s="140">
        <v>2.75</v>
      </c>
      <c r="AH208" s="139">
        <v>29.3</v>
      </c>
      <c r="AI208" s="139">
        <v>89.5</v>
      </c>
      <c r="AJ208" s="147">
        <v>100</v>
      </c>
      <c r="AK208" s="139">
        <v>71.099999999999994</v>
      </c>
      <c r="AL208" s="139">
        <v>81.599999999999994</v>
      </c>
      <c r="AM208" s="141">
        <v>25.75</v>
      </c>
      <c r="AN208" s="141">
        <v>5.5</v>
      </c>
    </row>
    <row r="209" spans="1:40" x14ac:dyDescent="0.3">
      <c r="A209" s="138" t="s">
        <v>883</v>
      </c>
      <c r="B209" s="138" t="s">
        <v>675</v>
      </c>
      <c r="C209" s="147">
        <v>368</v>
      </c>
      <c r="D209" s="147">
        <v>109</v>
      </c>
      <c r="E209" s="139">
        <v>30.4</v>
      </c>
      <c r="F209" s="141">
        <v>30.375</v>
      </c>
      <c r="G209" s="139">
        <v>14.7</v>
      </c>
      <c r="H209" s="141">
        <v>14.625</v>
      </c>
      <c r="I209" s="140">
        <v>1.38</v>
      </c>
      <c r="J209" s="141">
        <v>1.375</v>
      </c>
      <c r="K209" s="143">
        <v>0.6875</v>
      </c>
      <c r="L209" s="140">
        <v>2.48</v>
      </c>
      <c r="M209" s="143">
        <v>2.5</v>
      </c>
      <c r="N209" s="148">
        <v>3.27</v>
      </c>
      <c r="O209" s="145">
        <v>3.6875</v>
      </c>
      <c r="P209" s="145">
        <v>1.875</v>
      </c>
      <c r="Q209" s="140">
        <v>2.96</v>
      </c>
      <c r="R209" s="139">
        <v>17.3</v>
      </c>
      <c r="S209" s="147">
        <v>16200</v>
      </c>
      <c r="T209" s="147">
        <v>1240</v>
      </c>
      <c r="U209" s="147">
        <v>1060</v>
      </c>
      <c r="V209" s="139">
        <v>12.2</v>
      </c>
      <c r="W209" s="147">
        <v>1310</v>
      </c>
      <c r="X209" s="147">
        <v>279</v>
      </c>
      <c r="Y209" s="147">
        <v>179</v>
      </c>
      <c r="Z209" s="140">
        <v>3.48</v>
      </c>
      <c r="AA209" s="147">
        <v>170</v>
      </c>
      <c r="AB209" s="147">
        <v>255000</v>
      </c>
      <c r="AC209" s="147">
        <v>103</v>
      </c>
      <c r="AD209" s="147">
        <v>935</v>
      </c>
      <c r="AE209" s="147">
        <v>231</v>
      </c>
      <c r="AF209" s="147">
        <v>621</v>
      </c>
      <c r="AG209" s="140">
        <v>4.1500000000000004</v>
      </c>
      <c r="AH209" s="139">
        <v>27.9</v>
      </c>
      <c r="AI209" s="147">
        <v>100</v>
      </c>
      <c r="AJ209" s="147">
        <v>115</v>
      </c>
      <c r="AK209" s="139">
        <v>75.5</v>
      </c>
      <c r="AL209" s="139">
        <v>90.2</v>
      </c>
      <c r="AM209" s="141">
        <v>23</v>
      </c>
      <c r="AN209" s="141">
        <v>5.5</v>
      </c>
    </row>
    <row r="210" spans="1:40" x14ac:dyDescent="0.3">
      <c r="A210" s="138" t="s">
        <v>882</v>
      </c>
      <c r="B210" s="138" t="s">
        <v>677</v>
      </c>
      <c r="C210" s="147">
        <v>173</v>
      </c>
      <c r="D210" s="139">
        <v>50.9</v>
      </c>
      <c r="E210" s="139">
        <v>30.4</v>
      </c>
      <c r="F210" s="141">
        <v>30.5</v>
      </c>
      <c r="G210" s="139">
        <v>15</v>
      </c>
      <c r="H210" s="141">
        <v>15</v>
      </c>
      <c r="I210" s="142">
        <v>0.65500000000000003</v>
      </c>
      <c r="J210" s="141">
        <v>0.625</v>
      </c>
      <c r="K210" s="143">
        <v>0.3125</v>
      </c>
      <c r="L210" s="140">
        <v>1.07</v>
      </c>
      <c r="M210" s="143">
        <v>1.0625</v>
      </c>
      <c r="N210" s="148">
        <v>1.85</v>
      </c>
      <c r="O210" s="145">
        <v>2.3125</v>
      </c>
      <c r="P210" s="145">
        <v>1.5625</v>
      </c>
      <c r="Q210" s="140">
        <v>7.04</v>
      </c>
      <c r="R210" s="139">
        <v>40.799999999999997</v>
      </c>
      <c r="S210" s="147">
        <v>8230</v>
      </c>
      <c r="T210" s="147">
        <v>607</v>
      </c>
      <c r="U210" s="147">
        <v>541</v>
      </c>
      <c r="V210" s="139">
        <v>12.7</v>
      </c>
      <c r="W210" s="147">
        <v>598</v>
      </c>
      <c r="X210" s="147">
        <v>123</v>
      </c>
      <c r="Y210" s="139">
        <v>79.8</v>
      </c>
      <c r="Z210" s="140">
        <v>3.42</v>
      </c>
      <c r="AA210" s="139">
        <v>15.6</v>
      </c>
      <c r="AB210" s="147">
        <v>129000</v>
      </c>
      <c r="AC210" s="147">
        <v>110</v>
      </c>
      <c r="AD210" s="147">
        <v>441</v>
      </c>
      <c r="AE210" s="147">
        <v>113</v>
      </c>
      <c r="AF210" s="147">
        <v>301</v>
      </c>
      <c r="AG210" s="140">
        <v>4.03</v>
      </c>
      <c r="AH210" s="139">
        <v>29.3</v>
      </c>
      <c r="AI210" s="147">
        <v>103</v>
      </c>
      <c r="AJ210" s="147">
        <v>118</v>
      </c>
      <c r="AK210" s="139">
        <v>75.8</v>
      </c>
      <c r="AL210" s="139">
        <v>90.8</v>
      </c>
      <c r="AM210" s="141">
        <v>25.75</v>
      </c>
      <c r="AN210" s="141">
        <v>5.5</v>
      </c>
    </row>
    <row r="211" spans="1:40" x14ac:dyDescent="0.3">
      <c r="A211" s="138" t="s">
        <v>884</v>
      </c>
      <c r="B211" s="138" t="s">
        <v>677</v>
      </c>
      <c r="C211" s="147">
        <v>148</v>
      </c>
      <c r="D211" s="139">
        <v>43.6</v>
      </c>
      <c r="E211" s="139">
        <v>30.7</v>
      </c>
      <c r="F211" s="141">
        <v>30.625</v>
      </c>
      <c r="G211" s="139">
        <v>10.5</v>
      </c>
      <c r="H211" s="141">
        <v>10.5</v>
      </c>
      <c r="I211" s="142">
        <v>0.65</v>
      </c>
      <c r="J211" s="141">
        <v>0.625</v>
      </c>
      <c r="K211" s="143">
        <v>0.3125</v>
      </c>
      <c r="L211" s="140">
        <v>1.18</v>
      </c>
      <c r="M211" s="143">
        <v>1.1875</v>
      </c>
      <c r="N211" s="148">
        <v>1.83</v>
      </c>
      <c r="O211" s="145">
        <v>2.5</v>
      </c>
      <c r="P211" s="145">
        <v>1.5625</v>
      </c>
      <c r="Q211" s="140">
        <v>4.4400000000000004</v>
      </c>
      <c r="R211" s="139">
        <v>41.6</v>
      </c>
      <c r="S211" s="147">
        <v>6680</v>
      </c>
      <c r="T211" s="147">
        <v>500</v>
      </c>
      <c r="U211" s="147">
        <v>436</v>
      </c>
      <c r="V211" s="139">
        <v>12.4</v>
      </c>
      <c r="W211" s="147">
        <v>227</v>
      </c>
      <c r="X211" s="139">
        <v>68</v>
      </c>
      <c r="Y211" s="139">
        <v>43.3</v>
      </c>
      <c r="Z211" s="140">
        <v>2.2799999999999998</v>
      </c>
      <c r="AA211" s="139">
        <v>14.5</v>
      </c>
      <c r="AB211" s="147">
        <v>49400</v>
      </c>
      <c r="AC211" s="139">
        <v>77.5</v>
      </c>
      <c r="AD211" s="147">
        <v>240</v>
      </c>
      <c r="AE211" s="139">
        <v>85.8</v>
      </c>
      <c r="AF211" s="147">
        <v>248</v>
      </c>
      <c r="AG211" s="140">
        <v>2.77</v>
      </c>
      <c r="AH211" s="139">
        <v>29.5</v>
      </c>
      <c r="AI211" s="139">
        <v>90.5</v>
      </c>
      <c r="AJ211" s="147">
        <v>101</v>
      </c>
      <c r="AK211" s="139">
        <v>71.900000000000006</v>
      </c>
      <c r="AL211" s="139">
        <v>82.4</v>
      </c>
      <c r="AM211" s="141">
        <v>25.75</v>
      </c>
      <c r="AN211" s="141">
        <v>5.5</v>
      </c>
    </row>
    <row r="212" spans="1:40" x14ac:dyDescent="0.3">
      <c r="A212" s="138" t="s">
        <v>885</v>
      </c>
      <c r="B212" s="138" t="s">
        <v>677</v>
      </c>
      <c r="C212" s="147">
        <v>191</v>
      </c>
      <c r="D212" s="139">
        <v>56.1</v>
      </c>
      <c r="E212" s="139">
        <v>30.7</v>
      </c>
      <c r="F212" s="141">
        <v>30.625</v>
      </c>
      <c r="G212" s="139">
        <v>15</v>
      </c>
      <c r="H212" s="141">
        <v>15</v>
      </c>
      <c r="I212" s="142">
        <v>0.71</v>
      </c>
      <c r="J212" s="141">
        <v>0.6875</v>
      </c>
      <c r="K212" s="143">
        <v>0.375</v>
      </c>
      <c r="L212" s="140">
        <v>1.19</v>
      </c>
      <c r="M212" s="143">
        <v>1.1875</v>
      </c>
      <c r="N212" s="148">
        <v>1.97</v>
      </c>
      <c r="O212" s="145">
        <v>2.5</v>
      </c>
      <c r="P212" s="145">
        <v>1.5625</v>
      </c>
      <c r="Q212" s="140">
        <v>6.35</v>
      </c>
      <c r="R212" s="139">
        <v>37.700000000000003</v>
      </c>
      <c r="S212" s="147">
        <v>9200</v>
      </c>
      <c r="T212" s="147">
        <v>675</v>
      </c>
      <c r="U212" s="147">
        <v>600</v>
      </c>
      <c r="V212" s="139">
        <v>12.8</v>
      </c>
      <c r="W212" s="147">
        <v>673</v>
      </c>
      <c r="X212" s="147">
        <v>138</v>
      </c>
      <c r="Y212" s="139">
        <v>89.5</v>
      </c>
      <c r="Z212" s="140">
        <v>3.46</v>
      </c>
      <c r="AA212" s="139">
        <v>21</v>
      </c>
      <c r="AB212" s="147">
        <v>146000</v>
      </c>
      <c r="AC212" s="147">
        <v>111</v>
      </c>
      <c r="AD212" s="147">
        <v>494</v>
      </c>
      <c r="AE212" s="147">
        <v>125</v>
      </c>
      <c r="AF212" s="147">
        <v>335</v>
      </c>
      <c r="AG212" s="140">
        <v>4.0599999999999996</v>
      </c>
      <c r="AH212" s="139">
        <v>29.5</v>
      </c>
      <c r="AI212" s="147">
        <v>104</v>
      </c>
      <c r="AJ212" s="147">
        <v>119</v>
      </c>
      <c r="AK212" s="139">
        <v>76.400000000000006</v>
      </c>
      <c r="AL212" s="139">
        <v>91.4</v>
      </c>
      <c r="AM212" s="141">
        <v>25.75</v>
      </c>
      <c r="AN212" s="141">
        <v>5.5</v>
      </c>
    </row>
    <row r="213" spans="1:40" x14ac:dyDescent="0.3">
      <c r="A213" s="138" t="s">
        <v>886</v>
      </c>
      <c r="B213" s="138" t="s">
        <v>677</v>
      </c>
      <c r="C213" s="147">
        <v>211</v>
      </c>
      <c r="D213" s="139">
        <v>62.3</v>
      </c>
      <c r="E213" s="139">
        <v>30.9</v>
      </c>
      <c r="F213" s="141">
        <v>31</v>
      </c>
      <c r="G213" s="139">
        <v>15.1</v>
      </c>
      <c r="H213" s="141">
        <v>15.125</v>
      </c>
      <c r="I213" s="142">
        <v>0.77500000000000002</v>
      </c>
      <c r="J213" s="141">
        <v>0.75</v>
      </c>
      <c r="K213" s="143">
        <v>0.375</v>
      </c>
      <c r="L213" s="140">
        <v>1.32</v>
      </c>
      <c r="M213" s="143">
        <v>1.3125</v>
      </c>
      <c r="N213" s="148">
        <v>2.1</v>
      </c>
      <c r="O213" s="145">
        <v>2.5625</v>
      </c>
      <c r="P213" s="145">
        <v>1.625</v>
      </c>
      <c r="Q213" s="140">
        <v>5.74</v>
      </c>
      <c r="R213" s="139">
        <v>34.5</v>
      </c>
      <c r="S213" s="147">
        <v>10300</v>
      </c>
      <c r="T213" s="147">
        <v>751</v>
      </c>
      <c r="U213" s="147">
        <v>665</v>
      </c>
      <c r="V213" s="139">
        <v>12.9</v>
      </c>
      <c r="W213" s="147">
        <v>757</v>
      </c>
      <c r="X213" s="147">
        <v>155</v>
      </c>
      <c r="Y213" s="147">
        <v>100</v>
      </c>
      <c r="Z213" s="140">
        <v>3.49</v>
      </c>
      <c r="AA213" s="139">
        <v>28.4</v>
      </c>
      <c r="AB213" s="147">
        <v>166000</v>
      </c>
      <c r="AC213" s="147">
        <v>112</v>
      </c>
      <c r="AD213" s="147">
        <v>556</v>
      </c>
      <c r="AE213" s="147">
        <v>140</v>
      </c>
      <c r="AF213" s="147">
        <v>372</v>
      </c>
      <c r="AG213" s="140">
        <v>4.1100000000000003</v>
      </c>
      <c r="AH213" s="139">
        <v>29.6</v>
      </c>
      <c r="AI213" s="147">
        <v>104</v>
      </c>
      <c r="AJ213" s="147">
        <v>119</v>
      </c>
      <c r="AK213" s="139">
        <v>76.900000000000006</v>
      </c>
      <c r="AL213" s="139">
        <v>92</v>
      </c>
      <c r="AM213" s="141">
        <v>25.75</v>
      </c>
      <c r="AN213" s="141">
        <v>5.5</v>
      </c>
    </row>
    <row r="214" spans="1:40" x14ac:dyDescent="0.3">
      <c r="A214" s="138" t="s">
        <v>887</v>
      </c>
      <c r="B214" s="138" t="s">
        <v>677</v>
      </c>
      <c r="C214" s="147">
        <v>235</v>
      </c>
      <c r="D214" s="139">
        <v>69.3</v>
      </c>
      <c r="E214" s="139">
        <v>31.3</v>
      </c>
      <c r="F214" s="141">
        <v>31.25</v>
      </c>
      <c r="G214" s="139">
        <v>15.1</v>
      </c>
      <c r="H214" s="141">
        <v>15</v>
      </c>
      <c r="I214" s="142">
        <v>0.83</v>
      </c>
      <c r="J214" s="141">
        <v>0.8125</v>
      </c>
      <c r="K214" s="143">
        <v>0.4375</v>
      </c>
      <c r="L214" s="140">
        <v>1.5</v>
      </c>
      <c r="M214" s="143">
        <v>1.5</v>
      </c>
      <c r="N214" s="148">
        <v>2.29</v>
      </c>
      <c r="O214" s="145">
        <v>2.75</v>
      </c>
      <c r="P214" s="145">
        <v>1.625</v>
      </c>
      <c r="Q214" s="140">
        <v>5.0199999999999996</v>
      </c>
      <c r="R214" s="139">
        <v>32.200000000000003</v>
      </c>
      <c r="S214" s="147">
        <v>11700</v>
      </c>
      <c r="T214" s="147">
        <v>847</v>
      </c>
      <c r="U214" s="147">
        <v>748</v>
      </c>
      <c r="V214" s="139">
        <v>13</v>
      </c>
      <c r="W214" s="147">
        <v>855</v>
      </c>
      <c r="X214" s="147">
        <v>175</v>
      </c>
      <c r="Y214" s="147">
        <v>114</v>
      </c>
      <c r="Z214" s="140">
        <v>3.51</v>
      </c>
      <c r="AA214" s="139">
        <v>40.299999999999997</v>
      </c>
      <c r="AB214" s="147">
        <v>190000</v>
      </c>
      <c r="AC214" s="147">
        <v>112</v>
      </c>
      <c r="AD214" s="147">
        <v>637</v>
      </c>
      <c r="AE214" s="147">
        <v>159</v>
      </c>
      <c r="AF214" s="147">
        <v>421</v>
      </c>
      <c r="AG214" s="140">
        <v>4.13</v>
      </c>
      <c r="AH214" s="139">
        <v>29.8</v>
      </c>
      <c r="AI214" s="147">
        <v>105</v>
      </c>
      <c r="AJ214" s="147">
        <v>120</v>
      </c>
      <c r="AK214" s="139">
        <v>77.7</v>
      </c>
      <c r="AL214" s="139">
        <v>92.8</v>
      </c>
      <c r="AM214" s="141">
        <v>25.75</v>
      </c>
      <c r="AN214" s="141">
        <v>5.5</v>
      </c>
    </row>
    <row r="215" spans="1:40" x14ac:dyDescent="0.3">
      <c r="A215" s="138" t="s">
        <v>888</v>
      </c>
      <c r="B215" s="138" t="s">
        <v>677</v>
      </c>
      <c r="C215" s="147">
        <v>261</v>
      </c>
      <c r="D215" s="139">
        <v>77</v>
      </c>
      <c r="E215" s="139">
        <v>31.6</v>
      </c>
      <c r="F215" s="141">
        <v>31.625</v>
      </c>
      <c r="G215" s="139">
        <v>15.2</v>
      </c>
      <c r="H215" s="141">
        <v>15.125</v>
      </c>
      <c r="I215" s="142">
        <v>0.93</v>
      </c>
      <c r="J215" s="141">
        <v>0.9375</v>
      </c>
      <c r="K215" s="143">
        <v>0.5</v>
      </c>
      <c r="L215" s="140">
        <v>1.65</v>
      </c>
      <c r="M215" s="143">
        <v>1.625</v>
      </c>
      <c r="N215" s="148">
        <v>2.44</v>
      </c>
      <c r="O215" s="145">
        <v>2.9375</v>
      </c>
      <c r="P215" s="145">
        <v>1.6875</v>
      </c>
      <c r="Q215" s="140">
        <v>4.59</v>
      </c>
      <c r="R215" s="139">
        <v>28.7</v>
      </c>
      <c r="S215" s="147">
        <v>13100</v>
      </c>
      <c r="T215" s="147">
        <v>943</v>
      </c>
      <c r="U215" s="147">
        <v>829</v>
      </c>
      <c r="V215" s="139">
        <v>13.1</v>
      </c>
      <c r="W215" s="147">
        <v>959</v>
      </c>
      <c r="X215" s="147">
        <v>196</v>
      </c>
      <c r="Y215" s="147">
        <v>127</v>
      </c>
      <c r="Z215" s="140">
        <v>3.53</v>
      </c>
      <c r="AA215" s="139">
        <v>54.1</v>
      </c>
      <c r="AB215" s="147">
        <v>215000</v>
      </c>
      <c r="AC215" s="147">
        <v>114</v>
      </c>
      <c r="AD215" s="147">
        <v>714</v>
      </c>
      <c r="AE215" s="147">
        <v>176</v>
      </c>
      <c r="AF215" s="147">
        <v>469</v>
      </c>
      <c r="AG215" s="140">
        <v>4.16</v>
      </c>
      <c r="AH215" s="139">
        <v>30</v>
      </c>
      <c r="AI215" s="147">
        <v>106</v>
      </c>
      <c r="AJ215" s="147">
        <v>121</v>
      </c>
      <c r="AK215" s="139">
        <v>78.400000000000006</v>
      </c>
      <c r="AL215" s="139">
        <v>93.6</v>
      </c>
      <c r="AM215" s="141">
        <v>25.75</v>
      </c>
      <c r="AN215" s="141">
        <v>5.5</v>
      </c>
    </row>
    <row r="216" spans="1:40" x14ac:dyDescent="0.3">
      <c r="A216" s="138" t="s">
        <v>889</v>
      </c>
      <c r="B216" s="138" t="s">
        <v>677</v>
      </c>
      <c r="C216" s="147">
        <v>292</v>
      </c>
      <c r="D216" s="139">
        <v>86</v>
      </c>
      <c r="E216" s="139">
        <v>32</v>
      </c>
      <c r="F216" s="141">
        <v>32</v>
      </c>
      <c r="G216" s="139">
        <v>15.3</v>
      </c>
      <c r="H216" s="141">
        <v>15.25</v>
      </c>
      <c r="I216" s="140">
        <v>1.02</v>
      </c>
      <c r="J216" s="141">
        <v>1</v>
      </c>
      <c r="K216" s="143">
        <v>0.5</v>
      </c>
      <c r="L216" s="140">
        <v>1.85</v>
      </c>
      <c r="M216" s="143">
        <v>1.875</v>
      </c>
      <c r="N216" s="148">
        <v>2.64</v>
      </c>
      <c r="O216" s="145">
        <v>3.125</v>
      </c>
      <c r="P216" s="145">
        <v>1.75</v>
      </c>
      <c r="Q216" s="140">
        <v>4.12</v>
      </c>
      <c r="R216" s="139">
        <v>26.2</v>
      </c>
      <c r="S216" s="147">
        <v>14900</v>
      </c>
      <c r="T216" s="147">
        <v>1060</v>
      </c>
      <c r="U216" s="147">
        <v>930</v>
      </c>
      <c r="V216" s="139">
        <v>13.2</v>
      </c>
      <c r="W216" s="147">
        <v>1100</v>
      </c>
      <c r="X216" s="147">
        <v>223</v>
      </c>
      <c r="Y216" s="147">
        <v>144</v>
      </c>
      <c r="Z216" s="140">
        <v>3.58</v>
      </c>
      <c r="AA216" s="139">
        <v>75.2</v>
      </c>
      <c r="AB216" s="147">
        <v>250000</v>
      </c>
      <c r="AC216" s="147">
        <v>115</v>
      </c>
      <c r="AD216" s="147">
        <v>816</v>
      </c>
      <c r="AE216" s="147">
        <v>199</v>
      </c>
      <c r="AF216" s="147">
        <v>529</v>
      </c>
      <c r="AG216" s="140">
        <v>4.22</v>
      </c>
      <c r="AH216" s="139">
        <v>30.2</v>
      </c>
      <c r="AI216" s="147">
        <v>107</v>
      </c>
      <c r="AJ216" s="147">
        <v>122</v>
      </c>
      <c r="AK216" s="139">
        <v>79.3</v>
      </c>
      <c r="AL216" s="139">
        <v>94.6</v>
      </c>
      <c r="AM216" s="141">
        <v>25.75</v>
      </c>
      <c r="AN216" s="141">
        <v>5.5</v>
      </c>
    </row>
    <row r="217" spans="1:40" x14ac:dyDescent="0.3">
      <c r="A217" s="138" t="s">
        <v>890</v>
      </c>
      <c r="B217" s="138" t="s">
        <v>675</v>
      </c>
      <c r="C217" s="147">
        <v>326</v>
      </c>
      <c r="D217" s="139">
        <v>95.9</v>
      </c>
      <c r="E217" s="139">
        <v>32.4</v>
      </c>
      <c r="F217" s="141">
        <v>32.375</v>
      </c>
      <c r="G217" s="139">
        <v>15.4</v>
      </c>
      <c r="H217" s="141">
        <v>15.375</v>
      </c>
      <c r="I217" s="140">
        <v>1.1399999999999999</v>
      </c>
      <c r="J217" s="141">
        <v>1.125</v>
      </c>
      <c r="K217" s="143">
        <v>0.5625</v>
      </c>
      <c r="L217" s="140">
        <v>2.0499999999999998</v>
      </c>
      <c r="M217" s="143">
        <v>2.0625</v>
      </c>
      <c r="N217" s="148">
        <v>2.84</v>
      </c>
      <c r="O217" s="145">
        <v>3.3125</v>
      </c>
      <c r="P217" s="145">
        <v>1.75</v>
      </c>
      <c r="Q217" s="140">
        <v>3.75</v>
      </c>
      <c r="R217" s="139">
        <v>23.4</v>
      </c>
      <c r="S217" s="147">
        <v>16800</v>
      </c>
      <c r="T217" s="147">
        <v>1190</v>
      </c>
      <c r="U217" s="147">
        <v>1040</v>
      </c>
      <c r="V217" s="139">
        <v>13.2</v>
      </c>
      <c r="W217" s="147">
        <v>1240</v>
      </c>
      <c r="X217" s="147">
        <v>252</v>
      </c>
      <c r="Y217" s="147">
        <v>162</v>
      </c>
      <c r="Z217" s="140">
        <v>3.6</v>
      </c>
      <c r="AA217" s="147">
        <v>103</v>
      </c>
      <c r="AB217" s="147">
        <v>287000</v>
      </c>
      <c r="AC217" s="147">
        <v>117</v>
      </c>
      <c r="AD217" s="147">
        <v>922</v>
      </c>
      <c r="AE217" s="147">
        <v>222</v>
      </c>
      <c r="AF217" s="147">
        <v>593</v>
      </c>
      <c r="AG217" s="140">
        <v>4.26</v>
      </c>
      <c r="AH217" s="139">
        <v>30.4</v>
      </c>
      <c r="AI217" s="147">
        <v>108</v>
      </c>
      <c r="AJ217" s="147">
        <v>123</v>
      </c>
      <c r="AK217" s="139">
        <v>80.2</v>
      </c>
      <c r="AL217" s="139">
        <v>95.6</v>
      </c>
      <c r="AM217" s="141">
        <v>25.75</v>
      </c>
      <c r="AN217" s="141">
        <v>5.5</v>
      </c>
    </row>
    <row r="218" spans="1:40" x14ac:dyDescent="0.3">
      <c r="A218" s="138" t="s">
        <v>891</v>
      </c>
      <c r="B218" s="138" t="s">
        <v>675</v>
      </c>
      <c r="C218" s="147">
        <v>539</v>
      </c>
      <c r="D218" s="147">
        <v>159</v>
      </c>
      <c r="E218" s="139">
        <v>32.5</v>
      </c>
      <c r="F218" s="141">
        <v>32.5</v>
      </c>
      <c r="G218" s="139">
        <v>15.3</v>
      </c>
      <c r="H218" s="141">
        <v>15.25</v>
      </c>
      <c r="I218" s="140">
        <v>1.97</v>
      </c>
      <c r="J218" s="141">
        <v>2</v>
      </c>
      <c r="K218" s="143">
        <v>1</v>
      </c>
      <c r="L218" s="140">
        <v>3.54</v>
      </c>
      <c r="M218" s="143">
        <v>3.5625</v>
      </c>
      <c r="N218" s="148">
        <v>4.33</v>
      </c>
      <c r="O218" s="145">
        <v>4.4375</v>
      </c>
      <c r="P218" s="145">
        <v>1.8125</v>
      </c>
      <c r="Q218" s="140">
        <v>2.15</v>
      </c>
      <c r="R218" s="139">
        <v>12.1</v>
      </c>
      <c r="S218" s="147">
        <v>25600</v>
      </c>
      <c r="T218" s="147">
        <v>1890</v>
      </c>
      <c r="U218" s="147">
        <v>1570</v>
      </c>
      <c r="V218" s="139">
        <v>12.7</v>
      </c>
      <c r="W218" s="147">
        <v>2110</v>
      </c>
      <c r="X218" s="147">
        <v>437</v>
      </c>
      <c r="Y218" s="147">
        <v>277</v>
      </c>
      <c r="Z218" s="140">
        <v>3.65</v>
      </c>
      <c r="AA218" s="147">
        <v>496</v>
      </c>
      <c r="AB218" s="147">
        <v>443000</v>
      </c>
      <c r="AC218" s="147">
        <v>111</v>
      </c>
      <c r="AD218" s="147">
        <v>1500</v>
      </c>
      <c r="AE218" s="147">
        <v>342</v>
      </c>
      <c r="AF218" s="147">
        <v>943</v>
      </c>
      <c r="AG218" s="140">
        <v>4.41</v>
      </c>
      <c r="AH218" s="139">
        <v>29</v>
      </c>
      <c r="AI218" s="147">
        <v>106</v>
      </c>
      <c r="AJ218" s="147">
        <v>121</v>
      </c>
      <c r="AK218" s="139">
        <v>80.3</v>
      </c>
      <c r="AL218" s="139">
        <v>95.6</v>
      </c>
      <c r="AM218" s="141">
        <v>23</v>
      </c>
      <c r="AN218" s="141">
        <v>5.5</v>
      </c>
    </row>
    <row r="219" spans="1:40" x14ac:dyDescent="0.3">
      <c r="A219" s="138" t="s">
        <v>892</v>
      </c>
      <c r="B219" s="138" t="s">
        <v>675</v>
      </c>
      <c r="C219" s="147">
        <v>357</v>
      </c>
      <c r="D219" s="147">
        <v>105</v>
      </c>
      <c r="E219" s="139">
        <v>32.799999999999997</v>
      </c>
      <c r="F219" s="141">
        <v>32.75</v>
      </c>
      <c r="G219" s="139">
        <v>15.5</v>
      </c>
      <c r="H219" s="141">
        <v>15.5</v>
      </c>
      <c r="I219" s="140">
        <v>1.24</v>
      </c>
      <c r="J219" s="141">
        <v>1.25</v>
      </c>
      <c r="K219" s="143">
        <v>0.625</v>
      </c>
      <c r="L219" s="140">
        <v>2.2400000000000002</v>
      </c>
      <c r="M219" s="143">
        <v>2.25</v>
      </c>
      <c r="N219" s="148">
        <v>3.03</v>
      </c>
      <c r="O219" s="145">
        <v>3.5</v>
      </c>
      <c r="P219" s="145">
        <v>1.8125</v>
      </c>
      <c r="Q219" s="140">
        <v>3.45</v>
      </c>
      <c r="R219" s="139">
        <v>21.6</v>
      </c>
      <c r="S219" s="147">
        <v>18700</v>
      </c>
      <c r="T219" s="147">
        <v>1320</v>
      </c>
      <c r="U219" s="147">
        <v>1140</v>
      </c>
      <c r="V219" s="139">
        <v>13.3</v>
      </c>
      <c r="W219" s="147">
        <v>1390</v>
      </c>
      <c r="X219" s="147">
        <v>279</v>
      </c>
      <c r="Y219" s="147">
        <v>179</v>
      </c>
      <c r="Z219" s="140">
        <v>3.64</v>
      </c>
      <c r="AA219" s="147">
        <v>134</v>
      </c>
      <c r="AB219" s="147">
        <v>324000</v>
      </c>
      <c r="AC219" s="147">
        <v>118</v>
      </c>
      <c r="AD219" s="147">
        <v>1030</v>
      </c>
      <c r="AE219" s="147">
        <v>244</v>
      </c>
      <c r="AF219" s="147">
        <v>655</v>
      </c>
      <c r="AG219" s="140">
        <v>4.3099999999999996</v>
      </c>
      <c r="AH219" s="139">
        <v>30.6</v>
      </c>
      <c r="AI219" s="147">
        <v>108</v>
      </c>
      <c r="AJ219" s="147">
        <v>124</v>
      </c>
      <c r="AK219" s="139">
        <v>81.099999999999994</v>
      </c>
      <c r="AL219" s="139">
        <v>96.6</v>
      </c>
      <c r="AM219" s="141">
        <v>25.75</v>
      </c>
      <c r="AN219" s="141">
        <v>5.5</v>
      </c>
    </row>
    <row r="220" spans="1:40" x14ac:dyDescent="0.3">
      <c r="A220" s="138" t="s">
        <v>893</v>
      </c>
      <c r="B220" s="138" t="s">
        <v>677</v>
      </c>
      <c r="C220" s="147">
        <v>118</v>
      </c>
      <c r="D220" s="139">
        <v>34.700000000000003</v>
      </c>
      <c r="E220" s="139">
        <v>32.9</v>
      </c>
      <c r="F220" s="141">
        <v>32.875</v>
      </c>
      <c r="G220" s="139">
        <v>11.5</v>
      </c>
      <c r="H220" s="141">
        <v>11.5</v>
      </c>
      <c r="I220" s="142">
        <v>0.55000000000000004</v>
      </c>
      <c r="J220" s="141">
        <v>0.5625</v>
      </c>
      <c r="K220" s="143">
        <v>0.3125</v>
      </c>
      <c r="L220" s="142">
        <v>0.74</v>
      </c>
      <c r="M220" s="143">
        <v>0.75</v>
      </c>
      <c r="N220" s="148">
        <v>1.44</v>
      </c>
      <c r="O220" s="145">
        <v>2</v>
      </c>
      <c r="P220" s="145">
        <v>1.5</v>
      </c>
      <c r="Q220" s="140">
        <v>7.76</v>
      </c>
      <c r="R220" s="139">
        <v>54.5</v>
      </c>
      <c r="S220" s="147">
        <v>5900</v>
      </c>
      <c r="T220" s="147">
        <v>415</v>
      </c>
      <c r="U220" s="147">
        <v>359</v>
      </c>
      <c r="V220" s="139">
        <v>13</v>
      </c>
      <c r="W220" s="147">
        <v>187</v>
      </c>
      <c r="X220" s="139">
        <v>51.3</v>
      </c>
      <c r="Y220" s="139">
        <v>32.6</v>
      </c>
      <c r="Z220" s="140">
        <v>2.3199999999999998</v>
      </c>
      <c r="AA220" s="140">
        <v>5.3</v>
      </c>
      <c r="AB220" s="147">
        <v>48300</v>
      </c>
      <c r="AC220" s="139">
        <v>92.5</v>
      </c>
      <c r="AD220" s="147">
        <v>197</v>
      </c>
      <c r="AE220" s="139">
        <v>65.099999999999994</v>
      </c>
      <c r="AF220" s="147">
        <v>205</v>
      </c>
      <c r="AG220" s="140">
        <v>2.89</v>
      </c>
      <c r="AH220" s="139">
        <v>32.200000000000003</v>
      </c>
      <c r="AI220" s="139">
        <v>97.5</v>
      </c>
      <c r="AJ220" s="147">
        <v>109</v>
      </c>
      <c r="AK220" s="139">
        <v>77.3</v>
      </c>
      <c r="AL220" s="139">
        <v>88.8</v>
      </c>
      <c r="AM220" s="141">
        <v>28.875</v>
      </c>
      <c r="AN220" s="141">
        <v>5.5</v>
      </c>
    </row>
    <row r="221" spans="1:40" x14ac:dyDescent="0.3">
      <c r="A221" s="138" t="s">
        <v>894</v>
      </c>
      <c r="B221" s="138" t="s">
        <v>677</v>
      </c>
      <c r="C221" s="147">
        <v>130</v>
      </c>
      <c r="D221" s="139">
        <v>38.299999999999997</v>
      </c>
      <c r="E221" s="139">
        <v>33.1</v>
      </c>
      <c r="F221" s="141">
        <v>33.125</v>
      </c>
      <c r="G221" s="139">
        <v>11.5</v>
      </c>
      <c r="H221" s="141">
        <v>11.5</v>
      </c>
      <c r="I221" s="142">
        <v>0.57999999999999996</v>
      </c>
      <c r="J221" s="141">
        <v>0.5625</v>
      </c>
      <c r="K221" s="143">
        <v>0.3125</v>
      </c>
      <c r="L221" s="142">
        <v>0.85499999999999998</v>
      </c>
      <c r="M221" s="143">
        <v>0.875</v>
      </c>
      <c r="N221" s="148">
        <v>1.56</v>
      </c>
      <c r="O221" s="145">
        <v>2.125</v>
      </c>
      <c r="P221" s="145">
        <v>1.5</v>
      </c>
      <c r="Q221" s="140">
        <v>6.73</v>
      </c>
      <c r="R221" s="139">
        <v>51.7</v>
      </c>
      <c r="S221" s="147">
        <v>6710</v>
      </c>
      <c r="T221" s="147">
        <v>467</v>
      </c>
      <c r="U221" s="147">
        <v>406</v>
      </c>
      <c r="V221" s="139">
        <v>13.2</v>
      </c>
      <c r="W221" s="147">
        <v>218</v>
      </c>
      <c r="X221" s="139">
        <v>59.5</v>
      </c>
      <c r="Y221" s="139">
        <v>37.9</v>
      </c>
      <c r="Z221" s="140">
        <v>2.39</v>
      </c>
      <c r="AA221" s="140">
        <v>7.37</v>
      </c>
      <c r="AB221" s="147">
        <v>56600</v>
      </c>
      <c r="AC221" s="139">
        <v>92.7</v>
      </c>
      <c r="AD221" s="147">
        <v>228</v>
      </c>
      <c r="AE221" s="139">
        <v>75.3</v>
      </c>
      <c r="AF221" s="147">
        <v>230</v>
      </c>
      <c r="AG221" s="140">
        <v>2.94</v>
      </c>
      <c r="AH221" s="139">
        <v>32.200000000000003</v>
      </c>
      <c r="AI221" s="139">
        <v>98.5</v>
      </c>
      <c r="AJ221" s="147">
        <v>110</v>
      </c>
      <c r="AK221" s="139">
        <v>77.7</v>
      </c>
      <c r="AL221" s="139">
        <v>89.2</v>
      </c>
      <c r="AM221" s="141">
        <v>28.875</v>
      </c>
      <c r="AN221" s="141">
        <v>5.5</v>
      </c>
    </row>
    <row r="222" spans="1:40" x14ac:dyDescent="0.3">
      <c r="A222" s="138" t="s">
        <v>895</v>
      </c>
      <c r="B222" s="138" t="s">
        <v>675</v>
      </c>
      <c r="C222" s="147">
        <v>391</v>
      </c>
      <c r="D222" s="147">
        <v>115</v>
      </c>
      <c r="E222" s="139">
        <v>33.200000000000003</v>
      </c>
      <c r="F222" s="141">
        <v>33.25</v>
      </c>
      <c r="G222" s="139">
        <v>15.6</v>
      </c>
      <c r="H222" s="141">
        <v>15.625</v>
      </c>
      <c r="I222" s="140">
        <v>1.36</v>
      </c>
      <c r="J222" s="141">
        <v>1.375</v>
      </c>
      <c r="K222" s="143">
        <v>0.6875</v>
      </c>
      <c r="L222" s="140">
        <v>2.44</v>
      </c>
      <c r="M222" s="143">
        <v>2.4375</v>
      </c>
      <c r="N222" s="148">
        <v>3.23</v>
      </c>
      <c r="O222" s="145">
        <v>3.75</v>
      </c>
      <c r="P222" s="145">
        <v>1.875</v>
      </c>
      <c r="Q222" s="140">
        <v>3.19</v>
      </c>
      <c r="R222" s="139">
        <v>19.7</v>
      </c>
      <c r="S222" s="147">
        <v>20700</v>
      </c>
      <c r="T222" s="147">
        <v>1450</v>
      </c>
      <c r="U222" s="147">
        <v>1250</v>
      </c>
      <c r="V222" s="139">
        <v>13.4</v>
      </c>
      <c r="W222" s="147">
        <v>1550</v>
      </c>
      <c r="X222" s="147">
        <v>310</v>
      </c>
      <c r="Y222" s="147">
        <v>198</v>
      </c>
      <c r="Z222" s="140">
        <v>3.67</v>
      </c>
      <c r="AA222" s="147">
        <v>173</v>
      </c>
      <c r="AB222" s="147">
        <v>366000</v>
      </c>
      <c r="AC222" s="147">
        <v>120</v>
      </c>
      <c r="AD222" s="147">
        <v>1140</v>
      </c>
      <c r="AE222" s="147">
        <v>267</v>
      </c>
      <c r="AF222" s="147">
        <v>722</v>
      </c>
      <c r="AG222" s="140">
        <v>4.37</v>
      </c>
      <c r="AH222" s="139">
        <v>30.8</v>
      </c>
      <c r="AI222" s="147">
        <v>109</v>
      </c>
      <c r="AJ222" s="147">
        <v>125</v>
      </c>
      <c r="AK222" s="139">
        <v>82</v>
      </c>
      <c r="AL222" s="139">
        <v>97.6</v>
      </c>
      <c r="AM222" s="141">
        <v>25.75</v>
      </c>
      <c r="AN222" s="141">
        <v>5.5</v>
      </c>
    </row>
    <row r="223" spans="1:40" x14ac:dyDescent="0.3">
      <c r="A223" s="138" t="s">
        <v>896</v>
      </c>
      <c r="B223" s="138" t="s">
        <v>677</v>
      </c>
      <c r="C223" s="147">
        <v>141</v>
      </c>
      <c r="D223" s="139">
        <v>41.5</v>
      </c>
      <c r="E223" s="139">
        <v>33.299999999999997</v>
      </c>
      <c r="F223" s="141">
        <v>33.25</v>
      </c>
      <c r="G223" s="139">
        <v>11.5</v>
      </c>
      <c r="H223" s="141">
        <v>11.5</v>
      </c>
      <c r="I223" s="142">
        <v>0.60499999999999998</v>
      </c>
      <c r="J223" s="141">
        <v>0.625</v>
      </c>
      <c r="K223" s="143">
        <v>0.3125</v>
      </c>
      <c r="L223" s="142">
        <v>0.96</v>
      </c>
      <c r="M223" s="143">
        <v>0.9375</v>
      </c>
      <c r="N223" s="148">
        <v>1.66</v>
      </c>
      <c r="O223" s="145">
        <v>2.1875</v>
      </c>
      <c r="P223" s="145">
        <v>1.5</v>
      </c>
      <c r="Q223" s="140">
        <v>6.01</v>
      </c>
      <c r="R223" s="139">
        <v>49.6</v>
      </c>
      <c r="S223" s="147">
        <v>7450</v>
      </c>
      <c r="T223" s="147">
        <v>514</v>
      </c>
      <c r="U223" s="147">
        <v>448</v>
      </c>
      <c r="V223" s="139">
        <v>13.4</v>
      </c>
      <c r="W223" s="147">
        <v>246</v>
      </c>
      <c r="X223" s="139">
        <v>66.900000000000006</v>
      </c>
      <c r="Y223" s="139">
        <v>42.7</v>
      </c>
      <c r="Z223" s="140">
        <v>2.4300000000000002</v>
      </c>
      <c r="AA223" s="140">
        <v>9.6999999999999993</v>
      </c>
      <c r="AB223" s="147">
        <v>64400</v>
      </c>
      <c r="AC223" s="139">
        <v>93</v>
      </c>
      <c r="AD223" s="147">
        <v>257</v>
      </c>
      <c r="AE223" s="139">
        <v>84.6</v>
      </c>
      <c r="AF223" s="147">
        <v>253</v>
      </c>
      <c r="AG223" s="140">
        <v>2.98</v>
      </c>
      <c r="AH223" s="139">
        <v>32.299999999999997</v>
      </c>
      <c r="AI223" s="139">
        <v>98.5</v>
      </c>
      <c r="AJ223" s="147">
        <v>110</v>
      </c>
      <c r="AK223" s="139">
        <v>78.099999999999994</v>
      </c>
      <c r="AL223" s="139">
        <v>89.6</v>
      </c>
      <c r="AM223" s="141">
        <v>28.875</v>
      </c>
      <c r="AN223" s="141">
        <v>5.5</v>
      </c>
    </row>
    <row r="224" spans="1:40" x14ac:dyDescent="0.3">
      <c r="A224" s="138" t="s">
        <v>897</v>
      </c>
      <c r="B224" s="138" t="s">
        <v>677</v>
      </c>
      <c r="C224" s="147">
        <v>152</v>
      </c>
      <c r="D224" s="139">
        <v>44.9</v>
      </c>
      <c r="E224" s="139">
        <v>33.5</v>
      </c>
      <c r="F224" s="141">
        <v>33.5</v>
      </c>
      <c r="G224" s="139">
        <v>11.6</v>
      </c>
      <c r="H224" s="141">
        <v>11.625</v>
      </c>
      <c r="I224" s="142">
        <v>0.63500000000000001</v>
      </c>
      <c r="J224" s="141">
        <v>0.625</v>
      </c>
      <c r="K224" s="143">
        <v>0.3125</v>
      </c>
      <c r="L224" s="140">
        <v>1.06</v>
      </c>
      <c r="M224" s="143">
        <v>1.0625</v>
      </c>
      <c r="N224" s="148">
        <v>1.76</v>
      </c>
      <c r="O224" s="145">
        <v>2.3125</v>
      </c>
      <c r="P224" s="145">
        <v>1.5</v>
      </c>
      <c r="Q224" s="140">
        <v>5.48</v>
      </c>
      <c r="R224" s="139">
        <v>47.2</v>
      </c>
      <c r="S224" s="147">
        <v>8160</v>
      </c>
      <c r="T224" s="147">
        <v>559</v>
      </c>
      <c r="U224" s="147">
        <v>487</v>
      </c>
      <c r="V224" s="139">
        <v>13.5</v>
      </c>
      <c r="W224" s="147">
        <v>273</v>
      </c>
      <c r="X224" s="139">
        <v>73.900000000000006</v>
      </c>
      <c r="Y224" s="139">
        <v>47.2</v>
      </c>
      <c r="Z224" s="140">
        <v>2.4700000000000002</v>
      </c>
      <c r="AA224" s="139">
        <v>12.4</v>
      </c>
      <c r="AB224" s="147">
        <v>71700</v>
      </c>
      <c r="AC224" s="139">
        <v>94.1</v>
      </c>
      <c r="AD224" s="147">
        <v>289</v>
      </c>
      <c r="AE224" s="139">
        <v>94.3</v>
      </c>
      <c r="AF224" s="147">
        <v>278</v>
      </c>
      <c r="AG224" s="140">
        <v>3.01</v>
      </c>
      <c r="AH224" s="139">
        <v>32.4</v>
      </c>
      <c r="AI224" s="139">
        <v>99.4</v>
      </c>
      <c r="AJ224" s="147">
        <v>111</v>
      </c>
      <c r="AK224" s="139">
        <v>78.599999999999994</v>
      </c>
      <c r="AL224" s="139">
        <v>90.2</v>
      </c>
      <c r="AM224" s="141">
        <v>28.875</v>
      </c>
      <c r="AN224" s="141">
        <v>5.5</v>
      </c>
    </row>
    <row r="225" spans="1:40" x14ac:dyDescent="0.3">
      <c r="A225" s="138" t="s">
        <v>898</v>
      </c>
      <c r="B225" s="138" t="s">
        <v>677</v>
      </c>
      <c r="C225" s="147">
        <v>201</v>
      </c>
      <c r="D225" s="139">
        <v>59.1</v>
      </c>
      <c r="E225" s="139">
        <v>33.700000000000003</v>
      </c>
      <c r="F225" s="141">
        <v>33.625</v>
      </c>
      <c r="G225" s="139">
        <v>15.7</v>
      </c>
      <c r="H225" s="141">
        <v>15.75</v>
      </c>
      <c r="I225" s="142">
        <v>0.71499999999999997</v>
      </c>
      <c r="J225" s="141">
        <v>0.6875</v>
      </c>
      <c r="K225" s="143">
        <v>0.375</v>
      </c>
      <c r="L225" s="140">
        <v>1.1499999999999999</v>
      </c>
      <c r="M225" s="143">
        <v>1.125</v>
      </c>
      <c r="N225" s="148">
        <v>1.94</v>
      </c>
      <c r="O225" s="145">
        <v>2.4375</v>
      </c>
      <c r="P225" s="145">
        <v>1.5625</v>
      </c>
      <c r="Q225" s="140">
        <v>6.85</v>
      </c>
      <c r="R225" s="139">
        <v>41.7</v>
      </c>
      <c r="S225" s="147">
        <v>11600</v>
      </c>
      <c r="T225" s="147">
        <v>773</v>
      </c>
      <c r="U225" s="147">
        <v>686</v>
      </c>
      <c r="V225" s="139">
        <v>14</v>
      </c>
      <c r="W225" s="147">
        <v>749</v>
      </c>
      <c r="X225" s="138">
        <v>147</v>
      </c>
      <c r="Y225" s="139">
        <v>95.2</v>
      </c>
      <c r="Z225" s="140">
        <v>3.56</v>
      </c>
      <c r="AA225" s="139">
        <v>20.8</v>
      </c>
      <c r="AB225" s="147">
        <v>198000</v>
      </c>
      <c r="AC225" s="147">
        <v>128</v>
      </c>
      <c r="AD225" s="147">
        <v>577</v>
      </c>
      <c r="AE225" s="147">
        <v>140</v>
      </c>
      <c r="AF225" s="147">
        <v>382</v>
      </c>
      <c r="AG225" s="140">
        <v>4.21</v>
      </c>
      <c r="AH225" s="139">
        <v>32.6</v>
      </c>
      <c r="AI225" s="147">
        <v>111</v>
      </c>
      <c r="AJ225" s="147">
        <v>127</v>
      </c>
      <c r="AK225" s="139">
        <v>83.1</v>
      </c>
      <c r="AL225" s="139">
        <v>98.8</v>
      </c>
      <c r="AM225" s="141">
        <v>28.875</v>
      </c>
      <c r="AN225" s="141">
        <v>5.5</v>
      </c>
    </row>
    <row r="226" spans="1:40" x14ac:dyDescent="0.3">
      <c r="A226" s="138" t="s">
        <v>899</v>
      </c>
      <c r="B226" s="138" t="s">
        <v>677</v>
      </c>
      <c r="C226" s="147">
        <v>169</v>
      </c>
      <c r="D226" s="139">
        <v>49.5</v>
      </c>
      <c r="E226" s="139">
        <v>33.799999999999997</v>
      </c>
      <c r="F226" s="141">
        <v>33.875</v>
      </c>
      <c r="G226" s="139">
        <v>11.5</v>
      </c>
      <c r="H226" s="141">
        <v>11.5</v>
      </c>
      <c r="I226" s="142">
        <v>0.67</v>
      </c>
      <c r="J226" s="141">
        <v>0.6875</v>
      </c>
      <c r="K226" s="143">
        <v>0.375</v>
      </c>
      <c r="L226" s="140">
        <v>1.22</v>
      </c>
      <c r="M226" s="143">
        <v>1.25</v>
      </c>
      <c r="N226" s="148">
        <v>1.92</v>
      </c>
      <c r="O226" s="145">
        <v>2.4375</v>
      </c>
      <c r="P226" s="145">
        <v>1.5625</v>
      </c>
      <c r="Q226" s="140">
        <v>4.71</v>
      </c>
      <c r="R226" s="139">
        <v>44.7</v>
      </c>
      <c r="S226" s="147">
        <v>9290</v>
      </c>
      <c r="T226" s="147">
        <v>629</v>
      </c>
      <c r="U226" s="147">
        <v>549</v>
      </c>
      <c r="V226" s="139">
        <v>13.7</v>
      </c>
      <c r="W226" s="147">
        <v>310</v>
      </c>
      <c r="X226" s="139">
        <v>84.4</v>
      </c>
      <c r="Y226" s="139">
        <v>53.9</v>
      </c>
      <c r="Z226" s="140">
        <v>2.5</v>
      </c>
      <c r="AA226" s="139">
        <v>17.7</v>
      </c>
      <c r="AB226" s="147">
        <v>82400</v>
      </c>
      <c r="AC226" s="139">
        <v>93.7</v>
      </c>
      <c r="AD226" s="147">
        <v>329</v>
      </c>
      <c r="AE226" s="147">
        <v>108</v>
      </c>
      <c r="AF226" s="147">
        <v>311</v>
      </c>
      <c r="AG226" s="140">
        <v>3.03</v>
      </c>
      <c r="AH226" s="139">
        <v>32.6</v>
      </c>
      <c r="AI226" s="139">
        <v>99.5</v>
      </c>
      <c r="AJ226" s="147">
        <v>111</v>
      </c>
      <c r="AK226" s="139">
        <v>79.099999999999994</v>
      </c>
      <c r="AL226" s="139">
        <v>90.6</v>
      </c>
      <c r="AM226" s="141">
        <v>28.875</v>
      </c>
      <c r="AN226" s="141">
        <v>5.5</v>
      </c>
    </row>
    <row r="227" spans="1:40" x14ac:dyDescent="0.3">
      <c r="A227" s="138" t="s">
        <v>900</v>
      </c>
      <c r="B227" s="138" t="s">
        <v>677</v>
      </c>
      <c r="C227" s="147">
        <v>221</v>
      </c>
      <c r="D227" s="139">
        <v>65.3</v>
      </c>
      <c r="E227" s="139">
        <v>33.9</v>
      </c>
      <c r="F227" s="141">
        <v>33.875</v>
      </c>
      <c r="G227" s="139">
        <v>15.8</v>
      </c>
      <c r="H227" s="141">
        <v>15.75</v>
      </c>
      <c r="I227" s="142">
        <v>0.77500000000000002</v>
      </c>
      <c r="J227" s="141">
        <v>0.75</v>
      </c>
      <c r="K227" s="143">
        <v>0.375</v>
      </c>
      <c r="L227" s="140">
        <v>1.28</v>
      </c>
      <c r="M227" s="143">
        <v>1.25</v>
      </c>
      <c r="N227" s="148">
        <v>2.06</v>
      </c>
      <c r="O227" s="145">
        <v>2.5</v>
      </c>
      <c r="P227" s="145">
        <v>1.625</v>
      </c>
      <c r="Q227" s="140">
        <v>6.2</v>
      </c>
      <c r="R227" s="139">
        <v>38.5</v>
      </c>
      <c r="S227" s="147">
        <v>12900</v>
      </c>
      <c r="T227" s="147">
        <v>857</v>
      </c>
      <c r="U227" s="147">
        <v>759</v>
      </c>
      <c r="V227" s="139">
        <v>14.1</v>
      </c>
      <c r="W227" s="147">
        <v>840</v>
      </c>
      <c r="X227" s="138">
        <v>164</v>
      </c>
      <c r="Y227" s="147">
        <v>106</v>
      </c>
      <c r="Z227" s="140">
        <v>3.59</v>
      </c>
      <c r="AA227" s="139">
        <v>27.8</v>
      </c>
      <c r="AB227" s="147">
        <v>224000</v>
      </c>
      <c r="AC227" s="147">
        <v>129</v>
      </c>
      <c r="AD227" s="147">
        <v>647</v>
      </c>
      <c r="AE227" s="147">
        <v>156</v>
      </c>
      <c r="AF227" s="147">
        <v>423</v>
      </c>
      <c r="AG227" s="140">
        <v>4.25</v>
      </c>
      <c r="AH227" s="139">
        <v>32.6</v>
      </c>
      <c r="AI227" s="147">
        <v>112</v>
      </c>
      <c r="AJ227" s="147">
        <v>128</v>
      </c>
      <c r="AK227" s="139">
        <v>83.6</v>
      </c>
      <c r="AL227" s="139">
        <v>99.4</v>
      </c>
      <c r="AM227" s="141">
        <v>28.875</v>
      </c>
      <c r="AN227" s="141">
        <v>5.5</v>
      </c>
    </row>
    <row r="228" spans="1:40" x14ac:dyDescent="0.3">
      <c r="A228" s="138" t="s">
        <v>901</v>
      </c>
      <c r="B228" s="138" t="s">
        <v>677</v>
      </c>
      <c r="C228" s="147">
        <v>241</v>
      </c>
      <c r="D228" s="139">
        <v>71.099999999999994</v>
      </c>
      <c r="E228" s="139">
        <v>34.200000000000003</v>
      </c>
      <c r="F228" s="141">
        <v>34.125</v>
      </c>
      <c r="G228" s="139">
        <v>15.9</v>
      </c>
      <c r="H228" s="141">
        <v>15.875</v>
      </c>
      <c r="I228" s="142">
        <v>0.83</v>
      </c>
      <c r="J228" s="141">
        <v>0.8125</v>
      </c>
      <c r="K228" s="143">
        <v>0.4375</v>
      </c>
      <c r="L228" s="140">
        <v>1.4</v>
      </c>
      <c r="M228" s="143">
        <v>1.375</v>
      </c>
      <c r="N228" s="148">
        <v>2.19</v>
      </c>
      <c r="O228" s="145">
        <v>2.6875</v>
      </c>
      <c r="P228" s="145">
        <v>1.625</v>
      </c>
      <c r="Q228" s="140">
        <v>5.66</v>
      </c>
      <c r="R228" s="139">
        <v>35.9</v>
      </c>
      <c r="S228" s="147">
        <v>14200</v>
      </c>
      <c r="T228" s="147">
        <v>940</v>
      </c>
      <c r="U228" s="147">
        <v>831</v>
      </c>
      <c r="V228" s="139">
        <v>14.1</v>
      </c>
      <c r="W228" s="147">
        <v>933</v>
      </c>
      <c r="X228" s="138">
        <v>182</v>
      </c>
      <c r="Y228" s="147">
        <v>118</v>
      </c>
      <c r="Z228" s="140">
        <v>3.62</v>
      </c>
      <c r="AA228" s="139">
        <v>36.200000000000003</v>
      </c>
      <c r="AB228" s="147">
        <v>251000</v>
      </c>
      <c r="AC228" s="147">
        <v>130</v>
      </c>
      <c r="AD228" s="147">
        <v>726</v>
      </c>
      <c r="AE228" s="147">
        <v>173</v>
      </c>
      <c r="AF228" s="147">
        <v>467</v>
      </c>
      <c r="AG228" s="140">
        <v>4.29</v>
      </c>
      <c r="AH228" s="139">
        <v>32.799999999999997</v>
      </c>
      <c r="AI228" s="147">
        <v>113</v>
      </c>
      <c r="AJ228" s="147">
        <v>129</v>
      </c>
      <c r="AK228" s="139">
        <v>84.3</v>
      </c>
      <c r="AL228" s="147">
        <v>100</v>
      </c>
      <c r="AM228" s="141">
        <v>28.875</v>
      </c>
      <c r="AN228" s="141">
        <v>5.5</v>
      </c>
    </row>
    <row r="229" spans="1:40" x14ac:dyDescent="0.3">
      <c r="A229" s="138" t="s">
        <v>902</v>
      </c>
      <c r="B229" s="138" t="s">
        <v>677</v>
      </c>
      <c r="C229" s="147">
        <v>263</v>
      </c>
      <c r="D229" s="139">
        <v>77.400000000000006</v>
      </c>
      <c r="E229" s="139">
        <v>34.5</v>
      </c>
      <c r="F229" s="141">
        <v>34.5</v>
      </c>
      <c r="G229" s="139">
        <v>15.8</v>
      </c>
      <c r="H229" s="141">
        <v>15.75</v>
      </c>
      <c r="I229" s="142">
        <v>0.87</v>
      </c>
      <c r="J229" s="141">
        <v>0.875</v>
      </c>
      <c r="K229" s="143">
        <v>0.4375</v>
      </c>
      <c r="L229" s="140">
        <v>1.57</v>
      </c>
      <c r="M229" s="143">
        <v>1.5625</v>
      </c>
      <c r="N229" s="148">
        <v>2.36</v>
      </c>
      <c r="O229" s="145">
        <v>2.8125</v>
      </c>
      <c r="P229" s="145">
        <v>1.625</v>
      </c>
      <c r="Q229" s="140">
        <v>5.03</v>
      </c>
      <c r="R229" s="139">
        <v>34.299999999999997</v>
      </c>
      <c r="S229" s="147">
        <v>15900</v>
      </c>
      <c r="T229" s="147">
        <v>1040</v>
      </c>
      <c r="U229" s="147">
        <v>919</v>
      </c>
      <c r="V229" s="139">
        <v>14.3</v>
      </c>
      <c r="W229" s="147">
        <v>1040</v>
      </c>
      <c r="X229" s="138">
        <v>202</v>
      </c>
      <c r="Y229" s="147">
        <v>131</v>
      </c>
      <c r="Z229" s="140">
        <v>3.66</v>
      </c>
      <c r="AA229" s="139">
        <v>48.7</v>
      </c>
      <c r="AB229" s="147">
        <v>281000</v>
      </c>
      <c r="AC229" s="147">
        <v>130</v>
      </c>
      <c r="AD229" s="147">
        <v>807</v>
      </c>
      <c r="AE229" s="147">
        <v>193</v>
      </c>
      <c r="AF229" s="147">
        <v>515</v>
      </c>
      <c r="AG229" s="140">
        <v>4.3099999999999996</v>
      </c>
      <c r="AH229" s="139">
        <v>32.9</v>
      </c>
      <c r="AI229" s="147">
        <v>113</v>
      </c>
      <c r="AJ229" s="147">
        <v>129</v>
      </c>
      <c r="AK229" s="139">
        <v>84.8</v>
      </c>
      <c r="AL229" s="147">
        <v>101</v>
      </c>
      <c r="AM229" s="141">
        <v>28.875</v>
      </c>
      <c r="AN229" s="141">
        <v>5.5</v>
      </c>
    </row>
    <row r="230" spans="1:40" x14ac:dyDescent="0.3">
      <c r="A230" s="138" t="s">
        <v>903</v>
      </c>
      <c r="B230" s="138" t="s">
        <v>677</v>
      </c>
      <c r="C230" s="147">
        <v>291</v>
      </c>
      <c r="D230" s="139">
        <v>85.6</v>
      </c>
      <c r="E230" s="139">
        <v>34.799999999999997</v>
      </c>
      <c r="F230" s="141">
        <v>34.875</v>
      </c>
      <c r="G230" s="139">
        <v>15.9</v>
      </c>
      <c r="H230" s="141">
        <v>15.875</v>
      </c>
      <c r="I230" s="142">
        <v>0.96</v>
      </c>
      <c r="J230" s="141">
        <v>0.9375</v>
      </c>
      <c r="K230" s="143">
        <v>0.5</v>
      </c>
      <c r="L230" s="140">
        <v>1.73</v>
      </c>
      <c r="M230" s="143">
        <v>1.75</v>
      </c>
      <c r="N230" s="148">
        <v>2.52</v>
      </c>
      <c r="O230" s="145">
        <v>2.9375</v>
      </c>
      <c r="P230" s="145">
        <v>1.6875</v>
      </c>
      <c r="Q230" s="140">
        <v>4.5999999999999996</v>
      </c>
      <c r="R230" s="139">
        <v>31</v>
      </c>
      <c r="S230" s="147">
        <v>17700</v>
      </c>
      <c r="T230" s="147">
        <v>1160</v>
      </c>
      <c r="U230" s="147">
        <v>1020</v>
      </c>
      <c r="V230" s="139">
        <v>14.4</v>
      </c>
      <c r="W230" s="147">
        <v>1160</v>
      </c>
      <c r="X230" s="138">
        <v>226</v>
      </c>
      <c r="Y230" s="147">
        <v>146</v>
      </c>
      <c r="Z230" s="140">
        <v>3.68</v>
      </c>
      <c r="AA230" s="139">
        <v>65.099999999999994</v>
      </c>
      <c r="AB230" s="147">
        <v>319000</v>
      </c>
      <c r="AC230" s="147">
        <v>131</v>
      </c>
      <c r="AD230" s="147">
        <v>904</v>
      </c>
      <c r="AE230" s="147">
        <v>214</v>
      </c>
      <c r="AF230" s="147">
        <v>573</v>
      </c>
      <c r="AG230" s="140">
        <v>4.34</v>
      </c>
      <c r="AH230" s="139">
        <v>33.1</v>
      </c>
      <c r="AI230" s="147">
        <v>114</v>
      </c>
      <c r="AJ230" s="147">
        <v>130</v>
      </c>
      <c r="AK230" s="139">
        <v>85.5</v>
      </c>
      <c r="AL230" s="147">
        <v>101</v>
      </c>
      <c r="AM230" s="141">
        <v>28.875</v>
      </c>
      <c r="AN230" s="141">
        <v>5.5</v>
      </c>
    </row>
    <row r="231" spans="1:40" x14ac:dyDescent="0.3">
      <c r="A231" s="138" t="s">
        <v>904</v>
      </c>
      <c r="B231" s="138" t="s">
        <v>677</v>
      </c>
      <c r="C231" s="147">
        <v>318</v>
      </c>
      <c r="D231" s="139">
        <v>93.7</v>
      </c>
      <c r="E231" s="139">
        <v>35.200000000000003</v>
      </c>
      <c r="F231" s="141">
        <v>35.125</v>
      </c>
      <c r="G231" s="139">
        <v>16</v>
      </c>
      <c r="H231" s="141">
        <v>16</v>
      </c>
      <c r="I231" s="140">
        <v>1.04</v>
      </c>
      <c r="J231" s="141">
        <v>1.0625</v>
      </c>
      <c r="K231" s="143">
        <v>0.5625</v>
      </c>
      <c r="L231" s="140">
        <v>1.89</v>
      </c>
      <c r="M231" s="143">
        <v>1.875</v>
      </c>
      <c r="N231" s="148">
        <v>2.68</v>
      </c>
      <c r="O231" s="145">
        <v>3.1875</v>
      </c>
      <c r="P231" s="145">
        <v>1.75</v>
      </c>
      <c r="Q231" s="140">
        <v>4.2300000000000004</v>
      </c>
      <c r="R231" s="139">
        <v>28.7</v>
      </c>
      <c r="S231" s="147">
        <v>19500</v>
      </c>
      <c r="T231" s="147">
        <v>1270</v>
      </c>
      <c r="U231" s="147">
        <v>1110</v>
      </c>
      <c r="V231" s="139">
        <v>14.5</v>
      </c>
      <c r="W231" s="147">
        <v>1290</v>
      </c>
      <c r="X231" s="138">
        <v>250</v>
      </c>
      <c r="Y231" s="147">
        <v>161</v>
      </c>
      <c r="Z231" s="140">
        <v>3.71</v>
      </c>
      <c r="AA231" s="139">
        <v>84.4</v>
      </c>
      <c r="AB231" s="147">
        <v>357000</v>
      </c>
      <c r="AC231" s="147">
        <v>133</v>
      </c>
      <c r="AD231" s="147">
        <v>1010</v>
      </c>
      <c r="AE231" s="147">
        <v>235</v>
      </c>
      <c r="AF231" s="147">
        <v>632</v>
      </c>
      <c r="AG231" s="140">
        <v>4.4000000000000004</v>
      </c>
      <c r="AH231" s="139">
        <v>33.299999999999997</v>
      </c>
      <c r="AI231" s="147">
        <v>115</v>
      </c>
      <c r="AJ231" s="147">
        <v>131</v>
      </c>
      <c r="AK231" s="139">
        <v>86.4</v>
      </c>
      <c r="AL231" s="147">
        <v>102</v>
      </c>
      <c r="AM231" s="141">
        <v>28.875</v>
      </c>
      <c r="AN231" s="141">
        <v>5.5</v>
      </c>
    </row>
    <row r="232" spans="1:40" x14ac:dyDescent="0.3">
      <c r="A232" s="138" t="s">
        <v>905</v>
      </c>
      <c r="B232" s="138" t="s">
        <v>677</v>
      </c>
      <c r="C232" s="147">
        <v>135</v>
      </c>
      <c r="D232" s="139">
        <v>39.9</v>
      </c>
      <c r="E232" s="139">
        <v>35.6</v>
      </c>
      <c r="F232" s="141">
        <v>35.5</v>
      </c>
      <c r="G232" s="139">
        <v>12</v>
      </c>
      <c r="H232" s="141">
        <v>12</v>
      </c>
      <c r="I232" s="142">
        <v>0.6</v>
      </c>
      <c r="J232" s="141">
        <v>0.625</v>
      </c>
      <c r="K232" s="143">
        <v>0.3125</v>
      </c>
      <c r="L232" s="142">
        <v>0.79</v>
      </c>
      <c r="M232" s="143">
        <v>0.8125</v>
      </c>
      <c r="N232" s="148">
        <v>1.54</v>
      </c>
      <c r="O232" s="145">
        <v>2.0625</v>
      </c>
      <c r="P232" s="145">
        <v>1.5</v>
      </c>
      <c r="Q232" s="140">
        <v>7.56</v>
      </c>
      <c r="R232" s="139">
        <v>54.1</v>
      </c>
      <c r="S232" s="147">
        <v>7800</v>
      </c>
      <c r="T232" s="147">
        <v>509</v>
      </c>
      <c r="U232" s="147">
        <v>439</v>
      </c>
      <c r="V232" s="139">
        <v>14</v>
      </c>
      <c r="W232" s="147">
        <v>225</v>
      </c>
      <c r="X232" s="139">
        <v>59.7</v>
      </c>
      <c r="Y232" s="139">
        <v>37.700000000000003</v>
      </c>
      <c r="Z232" s="140">
        <v>2.38</v>
      </c>
      <c r="AA232" s="140">
        <v>7</v>
      </c>
      <c r="AB232" s="147">
        <v>68100</v>
      </c>
      <c r="AC232" s="147">
        <v>104</v>
      </c>
      <c r="AD232" s="147">
        <v>245</v>
      </c>
      <c r="AE232" s="139">
        <v>77.900000000000006</v>
      </c>
      <c r="AF232" s="147">
        <v>251</v>
      </c>
      <c r="AG232" s="140">
        <v>2.99</v>
      </c>
      <c r="AH232" s="139">
        <v>34.799999999999997</v>
      </c>
      <c r="AI232" s="147">
        <v>105</v>
      </c>
      <c r="AJ232" s="147">
        <v>117</v>
      </c>
      <c r="AK232" s="139">
        <v>83.2</v>
      </c>
      <c r="AL232" s="139">
        <v>95.2</v>
      </c>
      <c r="AM232" s="141">
        <v>31.5</v>
      </c>
      <c r="AN232" s="141">
        <v>5.5</v>
      </c>
    </row>
    <row r="233" spans="1:40" x14ac:dyDescent="0.3">
      <c r="A233" s="138" t="s">
        <v>906</v>
      </c>
      <c r="B233" s="138" t="s">
        <v>675</v>
      </c>
      <c r="C233" s="147">
        <v>354</v>
      </c>
      <c r="D233" s="147">
        <v>104</v>
      </c>
      <c r="E233" s="139">
        <v>35.6</v>
      </c>
      <c r="F233" s="141">
        <v>35.5</v>
      </c>
      <c r="G233" s="139">
        <v>16.100000000000001</v>
      </c>
      <c r="H233" s="141">
        <v>16.125</v>
      </c>
      <c r="I233" s="140">
        <v>1.1599999999999999</v>
      </c>
      <c r="J233" s="141">
        <v>1.1875</v>
      </c>
      <c r="K233" s="143">
        <v>0.625</v>
      </c>
      <c r="L233" s="140">
        <v>2.09</v>
      </c>
      <c r="M233" s="143">
        <v>2.0625</v>
      </c>
      <c r="N233" s="148">
        <v>2.88</v>
      </c>
      <c r="O233" s="145">
        <v>3.375</v>
      </c>
      <c r="P233" s="145">
        <v>1.8125</v>
      </c>
      <c r="Q233" s="140">
        <v>3.85</v>
      </c>
      <c r="R233" s="139">
        <v>25.7</v>
      </c>
      <c r="S233" s="147">
        <v>22000</v>
      </c>
      <c r="T233" s="147">
        <v>1420</v>
      </c>
      <c r="U233" s="147">
        <v>1240</v>
      </c>
      <c r="V233" s="139">
        <v>14.5</v>
      </c>
      <c r="W233" s="147">
        <v>1460</v>
      </c>
      <c r="X233" s="138">
        <v>282</v>
      </c>
      <c r="Y233" s="147">
        <v>181</v>
      </c>
      <c r="Z233" s="140">
        <v>3.74</v>
      </c>
      <c r="AA233" s="147">
        <v>115</v>
      </c>
      <c r="AB233" s="147">
        <v>408000</v>
      </c>
      <c r="AC233" s="147">
        <v>135</v>
      </c>
      <c r="AD233" s="147">
        <v>1130</v>
      </c>
      <c r="AE233" s="147">
        <v>262</v>
      </c>
      <c r="AF233" s="147">
        <v>707</v>
      </c>
      <c r="AG233" s="140">
        <v>4.4400000000000004</v>
      </c>
      <c r="AH233" s="139">
        <v>33.5</v>
      </c>
      <c r="AI233" s="147">
        <v>116</v>
      </c>
      <c r="AJ233" s="147">
        <v>132</v>
      </c>
      <c r="AK233" s="139">
        <v>87.3</v>
      </c>
      <c r="AL233" s="147">
        <v>103</v>
      </c>
      <c r="AM233" s="141">
        <v>28.875</v>
      </c>
      <c r="AN233" s="141">
        <v>5.5</v>
      </c>
    </row>
    <row r="234" spans="1:40" x14ac:dyDescent="0.3">
      <c r="A234" s="138" t="s">
        <v>907</v>
      </c>
      <c r="B234" s="138" t="s">
        <v>677</v>
      </c>
      <c r="C234" s="147">
        <v>150</v>
      </c>
      <c r="D234" s="139">
        <v>44.3</v>
      </c>
      <c r="E234" s="139">
        <v>35.9</v>
      </c>
      <c r="F234" s="141">
        <v>35.875</v>
      </c>
      <c r="G234" s="139">
        <v>12</v>
      </c>
      <c r="H234" s="141">
        <v>12</v>
      </c>
      <c r="I234" s="142">
        <v>0.625</v>
      </c>
      <c r="J234" s="141">
        <v>0.625</v>
      </c>
      <c r="K234" s="143">
        <v>0.3125</v>
      </c>
      <c r="L234" s="142">
        <v>0.94</v>
      </c>
      <c r="M234" s="143">
        <v>0.9375</v>
      </c>
      <c r="N234" s="148">
        <v>1.69</v>
      </c>
      <c r="O234" s="145">
        <v>2.1875</v>
      </c>
      <c r="P234" s="145">
        <v>1.5</v>
      </c>
      <c r="Q234" s="140">
        <v>6.37</v>
      </c>
      <c r="R234" s="139">
        <v>51.9</v>
      </c>
      <c r="S234" s="147">
        <v>9040</v>
      </c>
      <c r="T234" s="147">
        <v>581</v>
      </c>
      <c r="U234" s="147">
        <v>504</v>
      </c>
      <c r="V234" s="139">
        <v>14.3</v>
      </c>
      <c r="W234" s="147">
        <v>270</v>
      </c>
      <c r="X234" s="139">
        <v>70.900000000000006</v>
      </c>
      <c r="Y234" s="139">
        <v>45.1</v>
      </c>
      <c r="Z234" s="140">
        <v>2.4700000000000002</v>
      </c>
      <c r="AA234" s="139">
        <v>10.1</v>
      </c>
      <c r="AB234" s="147">
        <v>82200</v>
      </c>
      <c r="AC234" s="147">
        <v>105</v>
      </c>
      <c r="AD234" s="147">
        <v>294</v>
      </c>
      <c r="AE234" s="139">
        <v>93.1</v>
      </c>
      <c r="AF234" s="147">
        <v>287</v>
      </c>
      <c r="AG234" s="140">
        <v>3.06</v>
      </c>
      <c r="AH234" s="139">
        <v>35</v>
      </c>
      <c r="AI234" s="147">
        <v>105</v>
      </c>
      <c r="AJ234" s="147">
        <v>117</v>
      </c>
      <c r="AK234" s="139">
        <v>83.8</v>
      </c>
      <c r="AL234" s="139">
        <v>95.8</v>
      </c>
      <c r="AM234" s="141">
        <v>31.5</v>
      </c>
      <c r="AN234" s="141">
        <v>5.5</v>
      </c>
    </row>
    <row r="235" spans="1:40" x14ac:dyDescent="0.3">
      <c r="A235" s="138" t="s">
        <v>908</v>
      </c>
      <c r="B235" s="138" t="s">
        <v>677</v>
      </c>
      <c r="C235" s="147">
        <v>160</v>
      </c>
      <c r="D235" s="139">
        <v>47</v>
      </c>
      <c r="E235" s="139">
        <v>36</v>
      </c>
      <c r="F235" s="141">
        <v>36</v>
      </c>
      <c r="G235" s="139">
        <v>12</v>
      </c>
      <c r="H235" s="141">
        <v>12</v>
      </c>
      <c r="I235" s="142">
        <v>0.65</v>
      </c>
      <c r="J235" s="141">
        <v>0.625</v>
      </c>
      <c r="K235" s="143">
        <v>0.3125</v>
      </c>
      <c r="L235" s="140">
        <v>1.02</v>
      </c>
      <c r="M235" s="143">
        <v>1</v>
      </c>
      <c r="N235" s="148">
        <v>1.77</v>
      </c>
      <c r="O235" s="145">
        <v>2.25</v>
      </c>
      <c r="P235" s="145">
        <v>1.5625</v>
      </c>
      <c r="Q235" s="140">
        <v>5.88</v>
      </c>
      <c r="R235" s="139">
        <v>49.9</v>
      </c>
      <c r="S235" s="147">
        <v>9760</v>
      </c>
      <c r="T235" s="147">
        <v>624</v>
      </c>
      <c r="U235" s="147">
        <v>542</v>
      </c>
      <c r="V235" s="139">
        <v>14.4</v>
      </c>
      <c r="W235" s="147">
        <v>295</v>
      </c>
      <c r="X235" s="139">
        <v>77.3</v>
      </c>
      <c r="Y235" s="139">
        <v>49.1</v>
      </c>
      <c r="Z235" s="140">
        <v>2.5</v>
      </c>
      <c r="AA235" s="139">
        <v>12.4</v>
      </c>
      <c r="AB235" s="147">
        <v>90200</v>
      </c>
      <c r="AC235" s="147">
        <v>105</v>
      </c>
      <c r="AD235" s="147">
        <v>321</v>
      </c>
      <c r="AE235" s="147">
        <v>101</v>
      </c>
      <c r="AF235" s="147">
        <v>308</v>
      </c>
      <c r="AG235" s="140">
        <v>3.09</v>
      </c>
      <c r="AH235" s="139">
        <v>35</v>
      </c>
      <c r="AI235" s="147">
        <v>105</v>
      </c>
      <c r="AJ235" s="147">
        <v>117</v>
      </c>
      <c r="AK235" s="139">
        <v>84</v>
      </c>
      <c r="AL235" s="139">
        <v>96</v>
      </c>
      <c r="AM235" s="141">
        <v>31.5</v>
      </c>
      <c r="AN235" s="141">
        <v>5.5</v>
      </c>
    </row>
    <row r="236" spans="1:40" x14ac:dyDescent="0.3">
      <c r="A236" s="138" t="s">
        <v>909</v>
      </c>
      <c r="B236" s="138" t="s">
        <v>675</v>
      </c>
      <c r="C236" s="147">
        <v>387</v>
      </c>
      <c r="D236" s="147">
        <v>114</v>
      </c>
      <c r="E236" s="139">
        <v>36</v>
      </c>
      <c r="F236" s="141">
        <v>36</v>
      </c>
      <c r="G236" s="139">
        <v>16.2</v>
      </c>
      <c r="H236" s="141">
        <v>16.25</v>
      </c>
      <c r="I236" s="140">
        <v>1.26</v>
      </c>
      <c r="J236" s="141">
        <v>1.25</v>
      </c>
      <c r="K236" s="143">
        <v>0.625</v>
      </c>
      <c r="L236" s="140">
        <v>2.2799999999999998</v>
      </c>
      <c r="M236" s="143">
        <v>2.25</v>
      </c>
      <c r="N236" s="148">
        <v>3.07</v>
      </c>
      <c r="O236" s="145">
        <v>3.5625</v>
      </c>
      <c r="P236" s="145">
        <v>1.8125</v>
      </c>
      <c r="Q236" s="140">
        <v>3.55</v>
      </c>
      <c r="R236" s="139">
        <v>23.7</v>
      </c>
      <c r="S236" s="147">
        <v>24300</v>
      </c>
      <c r="T236" s="147">
        <v>1560</v>
      </c>
      <c r="U236" s="147">
        <v>1350</v>
      </c>
      <c r="V236" s="139">
        <v>14.6</v>
      </c>
      <c r="W236" s="147">
        <v>1620</v>
      </c>
      <c r="X236" s="138">
        <v>312</v>
      </c>
      <c r="Y236" s="147">
        <v>200</v>
      </c>
      <c r="Z236" s="140">
        <v>3.77</v>
      </c>
      <c r="AA236" s="147">
        <v>148</v>
      </c>
      <c r="AB236" s="147">
        <v>459000</v>
      </c>
      <c r="AC236" s="147">
        <v>137</v>
      </c>
      <c r="AD236" s="147">
        <v>1260</v>
      </c>
      <c r="AE236" s="147">
        <v>287</v>
      </c>
      <c r="AF236" s="147">
        <v>778</v>
      </c>
      <c r="AG236" s="140">
        <v>4.49</v>
      </c>
      <c r="AH236" s="139">
        <v>33.700000000000003</v>
      </c>
      <c r="AI236" s="147">
        <v>117</v>
      </c>
      <c r="AJ236" s="147">
        <v>133</v>
      </c>
      <c r="AK236" s="139">
        <v>88.2</v>
      </c>
      <c r="AL236" s="147">
        <v>104</v>
      </c>
      <c r="AM236" s="141">
        <v>28.875</v>
      </c>
      <c r="AN236" s="141">
        <v>5.5</v>
      </c>
    </row>
    <row r="237" spans="1:40" x14ac:dyDescent="0.3">
      <c r="A237" s="138" t="s">
        <v>910</v>
      </c>
      <c r="B237" s="138" t="s">
        <v>677</v>
      </c>
      <c r="C237" s="147">
        <v>170</v>
      </c>
      <c r="D237" s="139">
        <v>50</v>
      </c>
      <c r="E237" s="139">
        <v>36.200000000000003</v>
      </c>
      <c r="F237" s="141">
        <v>36.125</v>
      </c>
      <c r="G237" s="139">
        <v>12</v>
      </c>
      <c r="H237" s="141">
        <v>12</v>
      </c>
      <c r="I237" s="142">
        <v>0.68</v>
      </c>
      <c r="J237" s="141">
        <v>0.6875</v>
      </c>
      <c r="K237" s="143">
        <v>0.375</v>
      </c>
      <c r="L237" s="140">
        <v>1.1000000000000001</v>
      </c>
      <c r="M237" s="143">
        <v>1.125</v>
      </c>
      <c r="N237" s="148">
        <v>1.85</v>
      </c>
      <c r="O237" s="145">
        <v>2.375</v>
      </c>
      <c r="P237" s="145">
        <v>1.5625</v>
      </c>
      <c r="Q237" s="140">
        <v>5.47</v>
      </c>
      <c r="R237" s="139">
        <v>47.7</v>
      </c>
      <c r="S237" s="147">
        <v>10500</v>
      </c>
      <c r="T237" s="147">
        <v>668</v>
      </c>
      <c r="U237" s="147">
        <v>581</v>
      </c>
      <c r="V237" s="139">
        <v>14.5</v>
      </c>
      <c r="W237" s="147">
        <v>320</v>
      </c>
      <c r="X237" s="139">
        <v>83.8</v>
      </c>
      <c r="Y237" s="139">
        <v>53.2</v>
      </c>
      <c r="Z237" s="140">
        <v>2.5299999999999998</v>
      </c>
      <c r="AA237" s="139">
        <v>15.1</v>
      </c>
      <c r="AB237" s="147">
        <v>98500</v>
      </c>
      <c r="AC237" s="147">
        <v>105</v>
      </c>
      <c r="AD237" s="147">
        <v>349</v>
      </c>
      <c r="AE237" s="147">
        <v>109</v>
      </c>
      <c r="AF237" s="147">
        <v>330</v>
      </c>
      <c r="AG237" s="140">
        <v>3.11</v>
      </c>
      <c r="AH237" s="139">
        <v>35.1</v>
      </c>
      <c r="AI237" s="147">
        <v>106</v>
      </c>
      <c r="AJ237" s="147">
        <v>118</v>
      </c>
      <c r="AK237" s="139">
        <v>84.4</v>
      </c>
      <c r="AL237" s="139">
        <v>96.4</v>
      </c>
      <c r="AM237" s="141">
        <v>31.5</v>
      </c>
      <c r="AN237" s="141">
        <v>5.5</v>
      </c>
    </row>
    <row r="238" spans="1:40" x14ac:dyDescent="0.3">
      <c r="A238" s="138" t="s">
        <v>911</v>
      </c>
      <c r="B238" s="138" t="s">
        <v>677</v>
      </c>
      <c r="C238" s="147">
        <v>182</v>
      </c>
      <c r="D238" s="139">
        <v>53.6</v>
      </c>
      <c r="E238" s="139">
        <v>36.299999999999997</v>
      </c>
      <c r="F238" s="141">
        <v>36.375</v>
      </c>
      <c r="G238" s="139">
        <v>12.1</v>
      </c>
      <c r="H238" s="141">
        <v>12.125</v>
      </c>
      <c r="I238" s="142">
        <v>0.72499999999999998</v>
      </c>
      <c r="J238" s="141">
        <v>0.75</v>
      </c>
      <c r="K238" s="143">
        <v>0.375</v>
      </c>
      <c r="L238" s="140">
        <v>1.18</v>
      </c>
      <c r="M238" s="143">
        <v>1.1875</v>
      </c>
      <c r="N238" s="148">
        <v>1.93</v>
      </c>
      <c r="O238" s="145">
        <v>2.375</v>
      </c>
      <c r="P238" s="145">
        <v>1.5625</v>
      </c>
      <c r="Q238" s="140">
        <v>5.12</v>
      </c>
      <c r="R238" s="139">
        <v>44.8</v>
      </c>
      <c r="S238" s="147">
        <v>11300</v>
      </c>
      <c r="T238" s="147">
        <v>718</v>
      </c>
      <c r="U238" s="147">
        <v>623</v>
      </c>
      <c r="V238" s="139">
        <v>14.5</v>
      </c>
      <c r="W238" s="147">
        <v>347</v>
      </c>
      <c r="X238" s="139">
        <v>90.7</v>
      </c>
      <c r="Y238" s="139">
        <v>57.6</v>
      </c>
      <c r="Z238" s="140">
        <v>2.5499999999999998</v>
      </c>
      <c r="AA238" s="139">
        <v>18.5</v>
      </c>
      <c r="AB238" s="147">
        <v>107000</v>
      </c>
      <c r="AC238" s="147">
        <v>106</v>
      </c>
      <c r="AD238" s="147">
        <v>378</v>
      </c>
      <c r="AE238" s="147">
        <v>118</v>
      </c>
      <c r="AF238" s="147">
        <v>355</v>
      </c>
      <c r="AG238" s="140">
        <v>3.13</v>
      </c>
      <c r="AH238" s="139">
        <v>35.1</v>
      </c>
      <c r="AI238" s="147">
        <v>106</v>
      </c>
      <c r="AJ238" s="147">
        <v>118</v>
      </c>
      <c r="AK238" s="139">
        <v>84.7</v>
      </c>
      <c r="AL238" s="139">
        <v>96.8</v>
      </c>
      <c r="AM238" s="141">
        <v>31.5</v>
      </c>
      <c r="AN238" s="141">
        <v>5.5</v>
      </c>
    </row>
    <row r="239" spans="1:40" x14ac:dyDescent="0.3">
      <c r="A239" s="138" t="s">
        <v>912</v>
      </c>
      <c r="B239" s="138" t="s">
        <v>677</v>
      </c>
      <c r="C239" s="147">
        <v>194</v>
      </c>
      <c r="D239" s="139">
        <v>57</v>
      </c>
      <c r="E239" s="139">
        <v>36.5</v>
      </c>
      <c r="F239" s="141">
        <v>36.5</v>
      </c>
      <c r="G239" s="139">
        <v>12.1</v>
      </c>
      <c r="H239" s="141">
        <v>12.125</v>
      </c>
      <c r="I239" s="142">
        <v>0.76500000000000001</v>
      </c>
      <c r="J239" s="141">
        <v>0.75</v>
      </c>
      <c r="K239" s="143">
        <v>0.375</v>
      </c>
      <c r="L239" s="140">
        <v>1.26</v>
      </c>
      <c r="M239" s="143">
        <v>1.25</v>
      </c>
      <c r="N239" s="148">
        <v>2.0099999999999998</v>
      </c>
      <c r="O239" s="145">
        <v>2.5</v>
      </c>
      <c r="P239" s="145">
        <v>1.5625</v>
      </c>
      <c r="Q239" s="140">
        <v>4.8099999999999996</v>
      </c>
      <c r="R239" s="139">
        <v>42.4</v>
      </c>
      <c r="S239" s="147">
        <v>12100</v>
      </c>
      <c r="T239" s="147">
        <v>767</v>
      </c>
      <c r="U239" s="147">
        <v>664</v>
      </c>
      <c r="V239" s="139">
        <v>14.6</v>
      </c>
      <c r="W239" s="147">
        <v>375</v>
      </c>
      <c r="X239" s="139">
        <v>97.7</v>
      </c>
      <c r="Y239" s="139">
        <v>61.9</v>
      </c>
      <c r="Z239" s="140">
        <v>2.56</v>
      </c>
      <c r="AA239" s="139">
        <v>22.2</v>
      </c>
      <c r="AB239" s="147">
        <v>116000</v>
      </c>
      <c r="AC239" s="147">
        <v>107</v>
      </c>
      <c r="AD239" s="147">
        <v>407</v>
      </c>
      <c r="AE239" s="147">
        <v>126</v>
      </c>
      <c r="AF239" s="147">
        <v>379</v>
      </c>
      <c r="AG239" s="140">
        <v>3.15</v>
      </c>
      <c r="AH239" s="139">
        <v>35.200000000000003</v>
      </c>
      <c r="AI239" s="147">
        <v>107</v>
      </c>
      <c r="AJ239" s="147">
        <v>119</v>
      </c>
      <c r="AK239" s="139">
        <v>85.1</v>
      </c>
      <c r="AL239" s="139">
        <v>97.2</v>
      </c>
      <c r="AM239" s="141">
        <v>31.5</v>
      </c>
      <c r="AN239" s="141">
        <v>5.5</v>
      </c>
    </row>
    <row r="240" spans="1:40" x14ac:dyDescent="0.3">
      <c r="A240" s="138" t="s">
        <v>913</v>
      </c>
      <c r="B240" s="138" t="s">
        <v>677</v>
      </c>
      <c r="C240" s="147">
        <v>231</v>
      </c>
      <c r="D240" s="139">
        <v>68.2</v>
      </c>
      <c r="E240" s="139">
        <v>36.5</v>
      </c>
      <c r="F240" s="141">
        <v>36.5</v>
      </c>
      <c r="G240" s="139">
        <v>16.5</v>
      </c>
      <c r="H240" s="141">
        <v>16.5</v>
      </c>
      <c r="I240" s="142">
        <v>0.76</v>
      </c>
      <c r="J240" s="141">
        <v>0.75</v>
      </c>
      <c r="K240" s="143">
        <v>0.375</v>
      </c>
      <c r="L240" s="140">
        <v>1.26</v>
      </c>
      <c r="M240" s="143">
        <v>1.25</v>
      </c>
      <c r="N240" s="148">
        <v>2.21</v>
      </c>
      <c r="O240" s="145">
        <v>2.5625</v>
      </c>
      <c r="P240" s="145">
        <v>1.5625</v>
      </c>
      <c r="Q240" s="140">
        <v>6.54</v>
      </c>
      <c r="R240" s="139">
        <v>42.2</v>
      </c>
      <c r="S240" s="147">
        <v>15600</v>
      </c>
      <c r="T240" s="147">
        <v>963</v>
      </c>
      <c r="U240" s="147">
        <v>854</v>
      </c>
      <c r="V240" s="139">
        <v>15.1</v>
      </c>
      <c r="W240" s="147">
        <v>940</v>
      </c>
      <c r="X240" s="147">
        <v>176</v>
      </c>
      <c r="Y240" s="147">
        <v>114</v>
      </c>
      <c r="Z240" s="140">
        <v>3.71</v>
      </c>
      <c r="AA240" s="139">
        <v>28.7</v>
      </c>
      <c r="AB240" s="147">
        <v>292000</v>
      </c>
      <c r="AC240" s="147">
        <v>145</v>
      </c>
      <c r="AD240" s="147">
        <v>756</v>
      </c>
      <c r="AE240" s="147">
        <v>175</v>
      </c>
      <c r="AF240" s="147">
        <v>476</v>
      </c>
      <c r="AG240" s="140">
        <v>4.4000000000000004</v>
      </c>
      <c r="AH240" s="139">
        <v>35.200000000000003</v>
      </c>
      <c r="AI240" s="147">
        <v>120</v>
      </c>
      <c r="AJ240" s="147">
        <v>136</v>
      </c>
      <c r="AK240" s="139">
        <v>89.5</v>
      </c>
      <c r="AL240" s="147">
        <v>106</v>
      </c>
      <c r="AM240" s="141">
        <v>31.375</v>
      </c>
      <c r="AN240" s="141">
        <v>7.5</v>
      </c>
    </row>
    <row r="241" spans="1:40" x14ac:dyDescent="0.3">
      <c r="A241" s="138" t="s">
        <v>915</v>
      </c>
      <c r="B241" s="138" t="s">
        <v>677</v>
      </c>
      <c r="C241" s="147">
        <v>247</v>
      </c>
      <c r="D241" s="139">
        <v>72.5</v>
      </c>
      <c r="E241" s="139">
        <v>36.700000000000003</v>
      </c>
      <c r="F241" s="141">
        <v>36.625</v>
      </c>
      <c r="G241" s="139">
        <v>16.5</v>
      </c>
      <c r="H241" s="141">
        <v>16.5</v>
      </c>
      <c r="I241" s="142">
        <v>0.8</v>
      </c>
      <c r="J241" s="141">
        <v>0.8125</v>
      </c>
      <c r="K241" s="143">
        <v>0.4375</v>
      </c>
      <c r="L241" s="140">
        <v>1.35</v>
      </c>
      <c r="M241" s="143">
        <v>1.375</v>
      </c>
      <c r="N241" s="148">
        <v>2.2999999999999998</v>
      </c>
      <c r="O241" s="145">
        <v>2.625</v>
      </c>
      <c r="P241" s="145">
        <v>1.625</v>
      </c>
      <c r="Q241" s="140">
        <v>6.11</v>
      </c>
      <c r="R241" s="139">
        <v>40.1</v>
      </c>
      <c r="S241" s="147">
        <v>16700</v>
      </c>
      <c r="T241" s="147">
        <v>1030</v>
      </c>
      <c r="U241" s="147">
        <v>913</v>
      </c>
      <c r="V241" s="139">
        <v>15.2</v>
      </c>
      <c r="W241" s="147">
        <v>1010</v>
      </c>
      <c r="X241" s="147">
        <v>190</v>
      </c>
      <c r="Y241" s="147">
        <v>123</v>
      </c>
      <c r="Z241" s="140">
        <v>3.74</v>
      </c>
      <c r="AA241" s="139">
        <v>34.700000000000003</v>
      </c>
      <c r="AB241" s="147">
        <v>316000</v>
      </c>
      <c r="AC241" s="147">
        <v>146</v>
      </c>
      <c r="AD241" s="147">
        <v>812</v>
      </c>
      <c r="AE241" s="147">
        <v>187</v>
      </c>
      <c r="AF241" s="147">
        <v>509</v>
      </c>
      <c r="AG241" s="140">
        <v>4.42</v>
      </c>
      <c r="AH241" s="139">
        <v>35.4</v>
      </c>
      <c r="AI241" s="147">
        <v>120</v>
      </c>
      <c r="AJ241" s="147">
        <v>136</v>
      </c>
      <c r="AK241" s="139">
        <v>89.9</v>
      </c>
      <c r="AL241" s="147">
        <v>106</v>
      </c>
      <c r="AM241" s="141">
        <v>31.375</v>
      </c>
      <c r="AN241" s="141">
        <v>7.5</v>
      </c>
    </row>
    <row r="242" spans="1:40" x14ac:dyDescent="0.3">
      <c r="A242" s="138" t="s">
        <v>914</v>
      </c>
      <c r="B242" s="138" t="s">
        <v>677</v>
      </c>
      <c r="C242" s="147">
        <v>210</v>
      </c>
      <c r="D242" s="139">
        <v>61.9</v>
      </c>
      <c r="E242" s="139">
        <v>36.700000000000003</v>
      </c>
      <c r="F242" s="141">
        <v>36.75</v>
      </c>
      <c r="G242" s="139">
        <v>12.2</v>
      </c>
      <c r="H242" s="141">
        <v>12.125</v>
      </c>
      <c r="I242" s="142">
        <v>0.83</v>
      </c>
      <c r="J242" s="141">
        <v>0.8125</v>
      </c>
      <c r="K242" s="143">
        <v>0.4375</v>
      </c>
      <c r="L242" s="140">
        <v>1.36</v>
      </c>
      <c r="M242" s="143">
        <v>1.375</v>
      </c>
      <c r="N242" s="148">
        <v>2.11</v>
      </c>
      <c r="O242" s="145">
        <v>2.625</v>
      </c>
      <c r="P242" s="145">
        <v>1.625</v>
      </c>
      <c r="Q242" s="140">
        <v>4.4800000000000004</v>
      </c>
      <c r="R242" s="139">
        <v>39.1</v>
      </c>
      <c r="S242" s="147">
        <v>13200</v>
      </c>
      <c r="T242" s="147">
        <v>833</v>
      </c>
      <c r="U242" s="147">
        <v>719</v>
      </c>
      <c r="V242" s="139">
        <v>14.6</v>
      </c>
      <c r="W242" s="147">
        <v>411</v>
      </c>
      <c r="X242" s="147">
        <v>107</v>
      </c>
      <c r="Y242" s="139">
        <v>67.5</v>
      </c>
      <c r="Z242" s="140">
        <v>2.58</v>
      </c>
      <c r="AA242" s="139">
        <v>28</v>
      </c>
      <c r="AB242" s="147">
        <v>128000</v>
      </c>
      <c r="AC242" s="147">
        <v>108</v>
      </c>
      <c r="AD242" s="147">
        <v>446</v>
      </c>
      <c r="AE242" s="147">
        <v>136</v>
      </c>
      <c r="AF242" s="147">
        <v>412</v>
      </c>
      <c r="AG242" s="140">
        <v>3.18</v>
      </c>
      <c r="AH242" s="139">
        <v>35.299999999999997</v>
      </c>
      <c r="AI242" s="147">
        <v>107</v>
      </c>
      <c r="AJ242" s="147">
        <v>119</v>
      </c>
      <c r="AK242" s="139">
        <v>85.6</v>
      </c>
      <c r="AL242" s="139">
        <v>97.8</v>
      </c>
      <c r="AM242" s="141">
        <v>31.5</v>
      </c>
      <c r="AN242" s="141">
        <v>5.5</v>
      </c>
    </row>
    <row r="243" spans="1:40" x14ac:dyDescent="0.3">
      <c r="A243" s="138" t="s">
        <v>916</v>
      </c>
      <c r="B243" s="138" t="s">
        <v>677</v>
      </c>
      <c r="C243" s="147">
        <v>262</v>
      </c>
      <c r="D243" s="139">
        <v>77.2</v>
      </c>
      <c r="E243" s="139">
        <v>36.9</v>
      </c>
      <c r="F243" s="141">
        <v>36.875</v>
      </c>
      <c r="G243" s="139">
        <v>16.600000000000001</v>
      </c>
      <c r="H243" s="141">
        <v>16.5</v>
      </c>
      <c r="I243" s="142">
        <v>0.84</v>
      </c>
      <c r="J243" s="141">
        <v>0.8125</v>
      </c>
      <c r="K243" s="143">
        <v>0.4375</v>
      </c>
      <c r="L243" s="140">
        <v>1.44</v>
      </c>
      <c r="M243" s="143">
        <v>1.4375</v>
      </c>
      <c r="N243" s="148">
        <v>2.39</v>
      </c>
      <c r="O243" s="145">
        <v>2.75</v>
      </c>
      <c r="P243" s="145">
        <v>1.625</v>
      </c>
      <c r="Q243" s="140">
        <v>5.75</v>
      </c>
      <c r="R243" s="139">
        <v>38.200000000000003</v>
      </c>
      <c r="S243" s="147">
        <v>17900</v>
      </c>
      <c r="T243" s="147">
        <v>1100</v>
      </c>
      <c r="U243" s="147">
        <v>972</v>
      </c>
      <c r="V243" s="139">
        <v>15.3</v>
      </c>
      <c r="W243" s="147">
        <v>1090</v>
      </c>
      <c r="X243" s="147">
        <v>204</v>
      </c>
      <c r="Y243" s="147">
        <v>132</v>
      </c>
      <c r="Z243" s="140">
        <v>3.76</v>
      </c>
      <c r="AA243" s="139">
        <v>41.6</v>
      </c>
      <c r="AB243" s="147">
        <v>342000</v>
      </c>
      <c r="AC243" s="147">
        <v>147</v>
      </c>
      <c r="AD243" s="147">
        <v>873</v>
      </c>
      <c r="AE243" s="147">
        <v>200</v>
      </c>
      <c r="AF243" s="147">
        <v>543</v>
      </c>
      <c r="AG243" s="140">
        <v>4.46</v>
      </c>
      <c r="AH243" s="139">
        <v>35.5</v>
      </c>
      <c r="AI243" s="147">
        <v>120</v>
      </c>
      <c r="AJ243" s="147">
        <v>137</v>
      </c>
      <c r="AK243" s="139">
        <v>90.4</v>
      </c>
      <c r="AL243" s="147">
        <v>107</v>
      </c>
      <c r="AM243" s="141">
        <v>31.375</v>
      </c>
      <c r="AN243" s="141">
        <v>7.5</v>
      </c>
    </row>
    <row r="244" spans="1:40" x14ac:dyDescent="0.3">
      <c r="A244" s="138" t="s">
        <v>917</v>
      </c>
      <c r="B244" s="138" t="s">
        <v>677</v>
      </c>
      <c r="C244" s="147">
        <v>232</v>
      </c>
      <c r="D244" s="139">
        <v>68</v>
      </c>
      <c r="E244" s="139">
        <v>37.1</v>
      </c>
      <c r="F244" s="141">
        <v>37.125</v>
      </c>
      <c r="G244" s="139">
        <v>12.1</v>
      </c>
      <c r="H244" s="141">
        <v>12.125</v>
      </c>
      <c r="I244" s="142">
        <v>0.87</v>
      </c>
      <c r="J244" s="141">
        <v>0.875</v>
      </c>
      <c r="K244" s="143">
        <v>0.4375</v>
      </c>
      <c r="L244" s="140">
        <v>1.57</v>
      </c>
      <c r="M244" s="143">
        <v>1.5625</v>
      </c>
      <c r="N244" s="148">
        <v>2.3199999999999998</v>
      </c>
      <c r="O244" s="145">
        <v>2.8125</v>
      </c>
      <c r="P244" s="145">
        <v>1.625</v>
      </c>
      <c r="Q244" s="140">
        <v>3.86</v>
      </c>
      <c r="R244" s="139">
        <v>37.299999999999997</v>
      </c>
      <c r="S244" s="147">
        <v>15000</v>
      </c>
      <c r="T244" s="147">
        <v>936</v>
      </c>
      <c r="U244" s="147">
        <v>809</v>
      </c>
      <c r="V244" s="139">
        <v>14.8</v>
      </c>
      <c r="W244" s="147">
        <v>468</v>
      </c>
      <c r="X244" s="147">
        <v>122</v>
      </c>
      <c r="Y244" s="139">
        <v>77.2</v>
      </c>
      <c r="Z244" s="140">
        <v>2.62</v>
      </c>
      <c r="AA244" s="139">
        <v>39.6</v>
      </c>
      <c r="AB244" s="147">
        <v>148000</v>
      </c>
      <c r="AC244" s="147">
        <v>108</v>
      </c>
      <c r="AD244" s="147">
        <v>512</v>
      </c>
      <c r="AE244" s="147">
        <v>157</v>
      </c>
      <c r="AF244" s="147">
        <v>464</v>
      </c>
      <c r="AG244" s="140">
        <v>3.21</v>
      </c>
      <c r="AH244" s="139">
        <v>35.5</v>
      </c>
      <c r="AI244" s="147">
        <v>108</v>
      </c>
      <c r="AJ244" s="147">
        <v>120</v>
      </c>
      <c r="AK244" s="139">
        <v>86.3</v>
      </c>
      <c r="AL244" s="139">
        <v>98.4</v>
      </c>
      <c r="AM244" s="141">
        <v>31.5</v>
      </c>
      <c r="AN244" s="141">
        <v>5.5</v>
      </c>
    </row>
    <row r="245" spans="1:40" x14ac:dyDescent="0.3">
      <c r="A245" s="138" t="s">
        <v>918</v>
      </c>
      <c r="B245" s="138" t="s">
        <v>677</v>
      </c>
      <c r="C245" s="147">
        <v>282</v>
      </c>
      <c r="D245" s="139">
        <v>82.9</v>
      </c>
      <c r="E245" s="139">
        <v>37.1</v>
      </c>
      <c r="F245" s="141">
        <v>37.125</v>
      </c>
      <c r="G245" s="139">
        <v>16.600000000000001</v>
      </c>
      <c r="H245" s="141">
        <v>16.625</v>
      </c>
      <c r="I245" s="142">
        <v>0.88500000000000001</v>
      </c>
      <c r="J245" s="141">
        <v>0.875</v>
      </c>
      <c r="K245" s="143">
        <v>0.4375</v>
      </c>
      <c r="L245" s="140">
        <v>1.57</v>
      </c>
      <c r="M245" s="143">
        <v>1.5625</v>
      </c>
      <c r="N245" s="148">
        <v>2.52</v>
      </c>
      <c r="O245" s="145">
        <v>2.875</v>
      </c>
      <c r="P245" s="145">
        <v>1.625</v>
      </c>
      <c r="Q245" s="140">
        <v>5.29</v>
      </c>
      <c r="R245" s="139">
        <v>36.200000000000003</v>
      </c>
      <c r="S245" s="147">
        <v>19600</v>
      </c>
      <c r="T245" s="147">
        <v>1190</v>
      </c>
      <c r="U245" s="147">
        <v>1050</v>
      </c>
      <c r="V245" s="139">
        <v>15.4</v>
      </c>
      <c r="W245" s="147">
        <v>1200</v>
      </c>
      <c r="X245" s="147">
        <v>223</v>
      </c>
      <c r="Y245" s="147">
        <v>144</v>
      </c>
      <c r="Z245" s="140">
        <v>3.8</v>
      </c>
      <c r="AA245" s="139">
        <v>52.7</v>
      </c>
      <c r="AB245" s="147">
        <v>378000</v>
      </c>
      <c r="AC245" s="147">
        <v>147</v>
      </c>
      <c r="AD245" s="147">
        <v>960</v>
      </c>
      <c r="AE245" s="147">
        <v>219</v>
      </c>
      <c r="AF245" s="147">
        <v>591</v>
      </c>
      <c r="AG245" s="140">
        <v>4.5</v>
      </c>
      <c r="AH245" s="139">
        <v>35.5</v>
      </c>
      <c r="AI245" s="147">
        <v>120</v>
      </c>
      <c r="AJ245" s="147">
        <v>137</v>
      </c>
      <c r="AK245" s="139">
        <v>90.8</v>
      </c>
      <c r="AL245" s="147">
        <v>107</v>
      </c>
      <c r="AM245" s="141">
        <v>31.375</v>
      </c>
      <c r="AN245" s="141">
        <v>7.5</v>
      </c>
    </row>
    <row r="246" spans="1:40" x14ac:dyDescent="0.3">
      <c r="A246" s="138" t="s">
        <v>919</v>
      </c>
      <c r="B246" s="138" t="s">
        <v>677</v>
      </c>
      <c r="C246" s="147">
        <v>302</v>
      </c>
      <c r="D246" s="139">
        <v>89</v>
      </c>
      <c r="E246" s="139">
        <v>37.299999999999997</v>
      </c>
      <c r="F246" s="141">
        <v>37.375</v>
      </c>
      <c r="G246" s="139">
        <v>16.7</v>
      </c>
      <c r="H246" s="141">
        <v>16.625</v>
      </c>
      <c r="I246" s="142">
        <v>0.94499999999999995</v>
      </c>
      <c r="J246" s="141">
        <v>0.9375</v>
      </c>
      <c r="K246" s="143">
        <v>0.5</v>
      </c>
      <c r="L246" s="140">
        <v>1.68</v>
      </c>
      <c r="M246" s="143">
        <v>1.6875</v>
      </c>
      <c r="N246" s="148">
        <v>2.63</v>
      </c>
      <c r="O246" s="145">
        <v>3</v>
      </c>
      <c r="P246" s="145">
        <v>1.6875</v>
      </c>
      <c r="Q246" s="140">
        <v>4.96</v>
      </c>
      <c r="R246" s="139">
        <v>33.9</v>
      </c>
      <c r="S246" s="147">
        <v>21100</v>
      </c>
      <c r="T246" s="147">
        <v>1280</v>
      </c>
      <c r="U246" s="147">
        <v>1130</v>
      </c>
      <c r="V246" s="139">
        <v>15.4</v>
      </c>
      <c r="W246" s="147">
        <v>1300</v>
      </c>
      <c r="X246" s="147">
        <v>241</v>
      </c>
      <c r="Y246" s="147">
        <v>156</v>
      </c>
      <c r="Z246" s="140">
        <v>3.82</v>
      </c>
      <c r="AA246" s="139">
        <v>64.3</v>
      </c>
      <c r="AB246" s="147">
        <v>412000</v>
      </c>
      <c r="AC246" s="147">
        <v>148</v>
      </c>
      <c r="AD246" s="147">
        <v>1040</v>
      </c>
      <c r="AE246" s="147">
        <v>235</v>
      </c>
      <c r="AF246" s="147">
        <v>635</v>
      </c>
      <c r="AG246" s="140">
        <v>4.53</v>
      </c>
      <c r="AH246" s="139">
        <v>35.6</v>
      </c>
      <c r="AI246" s="147">
        <v>121</v>
      </c>
      <c r="AJ246" s="147">
        <v>138</v>
      </c>
      <c r="AK246" s="139">
        <v>91.3</v>
      </c>
      <c r="AL246" s="147">
        <v>108</v>
      </c>
      <c r="AM246" s="141">
        <v>31.375</v>
      </c>
      <c r="AN246" s="141">
        <v>7.5</v>
      </c>
    </row>
    <row r="247" spans="1:40" x14ac:dyDescent="0.3">
      <c r="A247" s="138" t="s">
        <v>920</v>
      </c>
      <c r="B247" s="138" t="s">
        <v>677</v>
      </c>
      <c r="C247" s="147">
        <v>256</v>
      </c>
      <c r="D247" s="139">
        <v>75.3</v>
      </c>
      <c r="E247" s="139">
        <v>37.4</v>
      </c>
      <c r="F247" s="141">
        <v>37.375</v>
      </c>
      <c r="G247" s="139">
        <v>12.2</v>
      </c>
      <c r="H247" s="141">
        <v>12.25</v>
      </c>
      <c r="I247" s="142">
        <v>0.96</v>
      </c>
      <c r="J247" s="141">
        <v>0.9375</v>
      </c>
      <c r="K247" s="143">
        <v>0.5</v>
      </c>
      <c r="L247" s="140">
        <v>1.73</v>
      </c>
      <c r="M247" s="143">
        <v>1.75</v>
      </c>
      <c r="N247" s="148">
        <v>2.48</v>
      </c>
      <c r="O247" s="145">
        <v>2.9375</v>
      </c>
      <c r="P247" s="145">
        <v>1.6875</v>
      </c>
      <c r="Q247" s="140">
        <v>3.53</v>
      </c>
      <c r="R247" s="139">
        <v>33.799999999999997</v>
      </c>
      <c r="S247" s="147">
        <v>16800</v>
      </c>
      <c r="T247" s="147">
        <v>1040</v>
      </c>
      <c r="U247" s="147">
        <v>895</v>
      </c>
      <c r="V247" s="139">
        <v>14.9</v>
      </c>
      <c r="W247" s="147">
        <v>528</v>
      </c>
      <c r="X247" s="147">
        <v>137</v>
      </c>
      <c r="Y247" s="139">
        <v>86.5</v>
      </c>
      <c r="Z247" s="140">
        <v>2.65</v>
      </c>
      <c r="AA247" s="139">
        <v>52.9</v>
      </c>
      <c r="AB247" s="147">
        <v>168000</v>
      </c>
      <c r="AC247" s="147">
        <v>109</v>
      </c>
      <c r="AD247" s="147">
        <v>576</v>
      </c>
      <c r="AE247" s="147">
        <v>174</v>
      </c>
      <c r="AF247" s="147">
        <v>516</v>
      </c>
      <c r="AG247" s="140">
        <v>3.24</v>
      </c>
      <c r="AH247" s="139">
        <v>35.700000000000003</v>
      </c>
      <c r="AI247" s="147">
        <v>108</v>
      </c>
      <c r="AJ247" s="147">
        <v>120</v>
      </c>
      <c r="AK247" s="139">
        <v>87</v>
      </c>
      <c r="AL247" s="139">
        <v>99.2</v>
      </c>
      <c r="AM247" s="141">
        <v>31.5</v>
      </c>
      <c r="AN247" s="141">
        <v>5.5</v>
      </c>
    </row>
    <row r="248" spans="1:40" x14ac:dyDescent="0.3">
      <c r="A248" s="138" t="s">
        <v>921</v>
      </c>
      <c r="B248" s="138" t="s">
        <v>677</v>
      </c>
      <c r="C248" s="147">
        <v>330</v>
      </c>
      <c r="D248" s="139">
        <v>96.9</v>
      </c>
      <c r="E248" s="139">
        <v>37.700000000000003</v>
      </c>
      <c r="F248" s="141">
        <v>37.625</v>
      </c>
      <c r="G248" s="139">
        <v>16.600000000000001</v>
      </c>
      <c r="H248" s="141">
        <v>16.625</v>
      </c>
      <c r="I248" s="140">
        <v>1.02</v>
      </c>
      <c r="J248" s="141">
        <v>1</v>
      </c>
      <c r="K248" s="143">
        <v>0.5</v>
      </c>
      <c r="L248" s="140">
        <v>1.85</v>
      </c>
      <c r="M248" s="143">
        <v>1.875</v>
      </c>
      <c r="N248" s="148">
        <v>2.8</v>
      </c>
      <c r="O248" s="145">
        <v>3.125</v>
      </c>
      <c r="P248" s="145">
        <v>1.75</v>
      </c>
      <c r="Q248" s="140">
        <v>4.49</v>
      </c>
      <c r="R248" s="139">
        <v>31.4</v>
      </c>
      <c r="S248" s="147">
        <v>23300</v>
      </c>
      <c r="T248" s="147">
        <v>1410</v>
      </c>
      <c r="U248" s="147">
        <v>1240</v>
      </c>
      <c r="V248" s="139">
        <v>15.5</v>
      </c>
      <c r="W248" s="147">
        <v>1420</v>
      </c>
      <c r="X248" s="147">
        <v>265</v>
      </c>
      <c r="Y248" s="147">
        <v>171</v>
      </c>
      <c r="Z248" s="140">
        <v>3.83</v>
      </c>
      <c r="AA248" s="139">
        <v>84.3</v>
      </c>
      <c r="AB248" s="147">
        <v>456000</v>
      </c>
      <c r="AC248" s="147">
        <v>149</v>
      </c>
      <c r="AD248" s="147">
        <v>1150</v>
      </c>
      <c r="AE248" s="147">
        <v>259</v>
      </c>
      <c r="AF248" s="147">
        <v>698</v>
      </c>
      <c r="AG248" s="140">
        <v>4.53</v>
      </c>
      <c r="AH248" s="139">
        <v>35.9</v>
      </c>
      <c r="AI248" s="147">
        <v>121</v>
      </c>
      <c r="AJ248" s="147">
        <v>138</v>
      </c>
      <c r="AK248" s="139">
        <v>92</v>
      </c>
      <c r="AL248" s="147">
        <v>109</v>
      </c>
      <c r="AM248" s="141">
        <v>31.375</v>
      </c>
      <c r="AN248" s="141">
        <v>7.5</v>
      </c>
    </row>
    <row r="249" spans="1:40" x14ac:dyDescent="0.3">
      <c r="A249" s="138" t="s">
        <v>922</v>
      </c>
      <c r="B249" s="138" t="s">
        <v>677</v>
      </c>
      <c r="C249" s="147">
        <v>286</v>
      </c>
      <c r="D249" s="139">
        <v>83.9</v>
      </c>
      <c r="E249" s="139">
        <v>37.799999999999997</v>
      </c>
      <c r="F249" s="141">
        <v>37.75</v>
      </c>
      <c r="G249" s="139">
        <v>12.3</v>
      </c>
      <c r="H249" s="141">
        <v>12.25</v>
      </c>
      <c r="I249" s="140">
        <v>1.06</v>
      </c>
      <c r="J249" s="141">
        <v>1.0625</v>
      </c>
      <c r="K249" s="143">
        <v>0.5625</v>
      </c>
      <c r="L249" s="140">
        <v>1.93</v>
      </c>
      <c r="M249" s="143">
        <v>1.9375</v>
      </c>
      <c r="N249" s="148">
        <v>2.68</v>
      </c>
      <c r="O249" s="145">
        <v>3.125</v>
      </c>
      <c r="P249" s="145">
        <v>1.75</v>
      </c>
      <c r="Q249" s="140">
        <v>3.19</v>
      </c>
      <c r="R249" s="139">
        <v>30.6</v>
      </c>
      <c r="S249" s="147">
        <v>18900</v>
      </c>
      <c r="T249" s="147">
        <v>1160</v>
      </c>
      <c r="U249" s="147">
        <v>1000</v>
      </c>
      <c r="V249" s="139">
        <v>15</v>
      </c>
      <c r="W249" s="147">
        <v>602</v>
      </c>
      <c r="X249" s="147">
        <v>156</v>
      </c>
      <c r="Y249" s="139">
        <v>97.9</v>
      </c>
      <c r="Z249" s="140">
        <v>2.68</v>
      </c>
      <c r="AA249" s="139">
        <v>72.8</v>
      </c>
      <c r="AB249" s="147">
        <v>194000</v>
      </c>
      <c r="AC249" s="147">
        <v>110</v>
      </c>
      <c r="AD249" s="147">
        <v>655</v>
      </c>
      <c r="AE249" s="147">
        <v>195</v>
      </c>
      <c r="AF249" s="147">
        <v>578</v>
      </c>
      <c r="AG249" s="140">
        <v>3.29</v>
      </c>
      <c r="AH249" s="139">
        <v>35.9</v>
      </c>
      <c r="AI249" s="147">
        <v>109</v>
      </c>
      <c r="AJ249" s="147">
        <v>121</v>
      </c>
      <c r="AK249" s="139">
        <v>87.9</v>
      </c>
      <c r="AL249" s="147">
        <v>100</v>
      </c>
      <c r="AM249" s="141">
        <v>31.5</v>
      </c>
      <c r="AN249" s="141">
        <v>5.5</v>
      </c>
    </row>
    <row r="250" spans="1:40" x14ac:dyDescent="0.3">
      <c r="A250" s="138" t="s">
        <v>923</v>
      </c>
      <c r="B250" s="138" t="s">
        <v>675</v>
      </c>
      <c r="C250" s="147">
        <v>361</v>
      </c>
      <c r="D250" s="147">
        <v>106</v>
      </c>
      <c r="E250" s="139">
        <v>38</v>
      </c>
      <c r="F250" s="141">
        <v>38</v>
      </c>
      <c r="G250" s="139">
        <v>16.7</v>
      </c>
      <c r="H250" s="141">
        <v>16.75</v>
      </c>
      <c r="I250" s="140">
        <v>1.1200000000000001</v>
      </c>
      <c r="J250" s="141">
        <v>1.125</v>
      </c>
      <c r="K250" s="143">
        <v>0.5625</v>
      </c>
      <c r="L250" s="140">
        <v>2.0099999999999998</v>
      </c>
      <c r="M250" s="143">
        <v>2</v>
      </c>
      <c r="N250" s="148">
        <v>2.96</v>
      </c>
      <c r="O250" s="145">
        <v>3.3125</v>
      </c>
      <c r="P250" s="145">
        <v>1.75</v>
      </c>
      <c r="Q250" s="140">
        <v>4.16</v>
      </c>
      <c r="R250" s="139">
        <v>28.6</v>
      </c>
      <c r="S250" s="147">
        <v>25700</v>
      </c>
      <c r="T250" s="147">
        <v>1550</v>
      </c>
      <c r="U250" s="147">
        <v>1350</v>
      </c>
      <c r="V250" s="139">
        <v>15.6</v>
      </c>
      <c r="W250" s="147">
        <v>1570</v>
      </c>
      <c r="X250" s="147">
        <v>293</v>
      </c>
      <c r="Y250" s="147">
        <v>188</v>
      </c>
      <c r="Z250" s="140">
        <v>3.85</v>
      </c>
      <c r="AA250" s="147">
        <v>109</v>
      </c>
      <c r="AB250" s="147">
        <v>509000</v>
      </c>
      <c r="AC250" s="147">
        <v>150</v>
      </c>
      <c r="AD250" s="147">
        <v>1270</v>
      </c>
      <c r="AE250" s="147">
        <v>282</v>
      </c>
      <c r="AF250" s="147">
        <v>767</v>
      </c>
      <c r="AG250" s="140">
        <v>4.58</v>
      </c>
      <c r="AH250" s="139">
        <v>36</v>
      </c>
      <c r="AI250" s="147">
        <v>122</v>
      </c>
      <c r="AJ250" s="147">
        <v>139</v>
      </c>
      <c r="AK250" s="139">
        <v>92.7</v>
      </c>
      <c r="AL250" s="147">
        <v>109</v>
      </c>
      <c r="AM250" s="141">
        <v>31.375</v>
      </c>
      <c r="AN250" s="141">
        <v>7.5</v>
      </c>
    </row>
    <row r="251" spans="1:40" x14ac:dyDescent="0.3">
      <c r="A251" s="138" t="s">
        <v>924</v>
      </c>
      <c r="B251" s="138" t="s">
        <v>677</v>
      </c>
      <c r="C251" s="147">
        <v>149</v>
      </c>
      <c r="D251" s="139">
        <v>43.8</v>
      </c>
      <c r="E251" s="139">
        <v>38.200000000000003</v>
      </c>
      <c r="F251" s="141">
        <v>38.25</v>
      </c>
      <c r="G251" s="139">
        <v>11.8</v>
      </c>
      <c r="H251" s="141">
        <v>11.75</v>
      </c>
      <c r="I251" s="142">
        <v>0.63</v>
      </c>
      <c r="J251" s="141">
        <v>0.625</v>
      </c>
      <c r="K251" s="143">
        <v>0.3125</v>
      </c>
      <c r="L251" s="142">
        <v>0.83</v>
      </c>
      <c r="M251" s="143">
        <v>0.8125</v>
      </c>
      <c r="N251" s="148">
        <v>2.0099999999999998</v>
      </c>
      <c r="O251" s="145">
        <v>2.125</v>
      </c>
      <c r="P251" s="145">
        <v>1.5</v>
      </c>
      <c r="Q251" s="140">
        <v>7.11</v>
      </c>
      <c r="R251" s="139">
        <v>54.3</v>
      </c>
      <c r="S251" s="147">
        <v>9800</v>
      </c>
      <c r="T251" s="147">
        <v>598</v>
      </c>
      <c r="U251" s="147">
        <v>513</v>
      </c>
      <c r="V251" s="139">
        <v>15</v>
      </c>
      <c r="W251" s="147">
        <v>229</v>
      </c>
      <c r="X251" s="139">
        <v>62.2</v>
      </c>
      <c r="Y251" s="139">
        <v>38.799999999999997</v>
      </c>
      <c r="Z251" s="140">
        <v>2.29</v>
      </c>
      <c r="AA251" s="140">
        <v>9.36</v>
      </c>
      <c r="AB251" s="147">
        <v>80000</v>
      </c>
      <c r="AC251" s="147">
        <v>110</v>
      </c>
      <c r="AD251" s="147">
        <v>270</v>
      </c>
      <c r="AE251" s="139">
        <v>86.7</v>
      </c>
      <c r="AF251" s="147">
        <v>288</v>
      </c>
      <c r="AG251" s="140">
        <v>2.89</v>
      </c>
      <c r="AH251" s="139">
        <v>37.4</v>
      </c>
      <c r="AI251" s="147">
        <v>108</v>
      </c>
      <c r="AJ251" s="147">
        <v>120</v>
      </c>
      <c r="AK251" s="139">
        <v>88.2</v>
      </c>
      <c r="AL251" s="147">
        <v>100</v>
      </c>
      <c r="AM251" s="141">
        <v>34</v>
      </c>
      <c r="AN251" s="141">
        <v>7.5</v>
      </c>
    </row>
    <row r="252" spans="1:40" x14ac:dyDescent="0.3">
      <c r="A252" s="138" t="s">
        <v>925</v>
      </c>
      <c r="B252" s="138" t="s">
        <v>675</v>
      </c>
      <c r="C252" s="147">
        <v>318</v>
      </c>
      <c r="D252" s="139">
        <v>93.4</v>
      </c>
      <c r="E252" s="139">
        <v>38.200000000000003</v>
      </c>
      <c r="F252" s="141">
        <v>38.25</v>
      </c>
      <c r="G252" s="139">
        <v>12.4</v>
      </c>
      <c r="H252" s="141">
        <v>12.375</v>
      </c>
      <c r="I252" s="140">
        <v>1.18</v>
      </c>
      <c r="J252" s="141">
        <v>1.1875</v>
      </c>
      <c r="K252" s="143">
        <v>0.625</v>
      </c>
      <c r="L252" s="140">
        <v>2.13</v>
      </c>
      <c r="M252" s="143">
        <v>2.125</v>
      </c>
      <c r="N252" s="148">
        <v>2.88</v>
      </c>
      <c r="O252" s="145">
        <v>3.375</v>
      </c>
      <c r="P252" s="145">
        <v>1.8125</v>
      </c>
      <c r="Q252" s="140">
        <v>2.91</v>
      </c>
      <c r="R252" s="139">
        <v>27.5</v>
      </c>
      <c r="S252" s="147">
        <v>21200</v>
      </c>
      <c r="T252" s="147">
        <v>1300</v>
      </c>
      <c r="U252" s="147">
        <v>1110</v>
      </c>
      <c r="V252" s="139">
        <v>15.1</v>
      </c>
      <c r="W252" s="147">
        <v>682</v>
      </c>
      <c r="X252" s="147">
        <v>176</v>
      </c>
      <c r="Y252" s="147">
        <v>110</v>
      </c>
      <c r="Z252" s="140">
        <v>2.7</v>
      </c>
      <c r="AA252" s="139">
        <v>98.3</v>
      </c>
      <c r="AB252" s="147">
        <v>222000</v>
      </c>
      <c r="AC252" s="147">
        <v>112</v>
      </c>
      <c r="AD252" s="147">
        <v>738</v>
      </c>
      <c r="AE252" s="147">
        <v>216</v>
      </c>
      <c r="AF252" s="147">
        <v>646</v>
      </c>
      <c r="AG252" s="140">
        <v>3.33</v>
      </c>
      <c r="AH252" s="139">
        <v>36.1</v>
      </c>
      <c r="AI252" s="147">
        <v>110</v>
      </c>
      <c r="AJ252" s="147">
        <v>122</v>
      </c>
      <c r="AK252" s="139">
        <v>88.8</v>
      </c>
      <c r="AL252" s="147">
        <v>101</v>
      </c>
      <c r="AM252" s="141">
        <v>31.5</v>
      </c>
      <c r="AN252" s="141">
        <v>5.5</v>
      </c>
    </row>
    <row r="253" spans="1:40" x14ac:dyDescent="0.3">
      <c r="A253" s="138" t="s">
        <v>926</v>
      </c>
      <c r="B253" s="138" t="s">
        <v>675</v>
      </c>
      <c r="C253" s="147">
        <v>395</v>
      </c>
      <c r="D253" s="147">
        <v>116</v>
      </c>
      <c r="E253" s="139">
        <v>38.4</v>
      </c>
      <c r="F253" s="141">
        <v>38.375</v>
      </c>
      <c r="G253" s="139">
        <v>16.8</v>
      </c>
      <c r="H253" s="141">
        <v>16.875</v>
      </c>
      <c r="I253" s="140">
        <v>1.22</v>
      </c>
      <c r="J253" s="141">
        <v>1.25</v>
      </c>
      <c r="K253" s="143">
        <v>0.625</v>
      </c>
      <c r="L253" s="140">
        <v>2.2000000000000002</v>
      </c>
      <c r="M253" s="143">
        <v>2.1875</v>
      </c>
      <c r="N253" s="148">
        <v>3.15</v>
      </c>
      <c r="O253" s="145">
        <v>3.4375</v>
      </c>
      <c r="P253" s="145">
        <v>1.8125</v>
      </c>
      <c r="Q253" s="140">
        <v>3.83</v>
      </c>
      <c r="R253" s="139">
        <v>26.3</v>
      </c>
      <c r="S253" s="147">
        <v>28500</v>
      </c>
      <c r="T253" s="147">
        <v>1710</v>
      </c>
      <c r="U253" s="147">
        <v>1490</v>
      </c>
      <c r="V253" s="139">
        <v>15.7</v>
      </c>
      <c r="W253" s="147">
        <v>1750</v>
      </c>
      <c r="X253" s="147">
        <v>325</v>
      </c>
      <c r="Y253" s="147">
        <v>208</v>
      </c>
      <c r="Z253" s="140">
        <v>3.88</v>
      </c>
      <c r="AA253" s="147">
        <v>142</v>
      </c>
      <c r="AB253" s="147">
        <v>575000</v>
      </c>
      <c r="AC253" s="147">
        <v>152</v>
      </c>
      <c r="AD253" s="147">
        <v>1410</v>
      </c>
      <c r="AE253" s="147">
        <v>311</v>
      </c>
      <c r="AF253" s="147">
        <v>847</v>
      </c>
      <c r="AG253" s="140">
        <v>4.6100000000000003</v>
      </c>
      <c r="AH253" s="139">
        <v>36.200000000000003</v>
      </c>
      <c r="AI253" s="147">
        <v>123</v>
      </c>
      <c r="AJ253" s="147">
        <v>140</v>
      </c>
      <c r="AK253" s="139">
        <v>93.6</v>
      </c>
      <c r="AL253" s="147">
        <v>110</v>
      </c>
      <c r="AM253" s="141">
        <v>31.375</v>
      </c>
      <c r="AN253" s="141">
        <v>7.5</v>
      </c>
    </row>
    <row r="254" spans="1:40" x14ac:dyDescent="0.3">
      <c r="A254" s="138" t="s">
        <v>927</v>
      </c>
      <c r="B254" s="138" t="s">
        <v>677</v>
      </c>
      <c r="C254" s="147">
        <v>167</v>
      </c>
      <c r="D254" s="139">
        <v>49.3</v>
      </c>
      <c r="E254" s="139">
        <v>38.6</v>
      </c>
      <c r="F254" s="141">
        <v>38.625</v>
      </c>
      <c r="G254" s="139">
        <v>11.8</v>
      </c>
      <c r="H254" s="141">
        <v>11.75</v>
      </c>
      <c r="I254" s="142">
        <v>0.65</v>
      </c>
      <c r="J254" s="141">
        <v>0.625</v>
      </c>
      <c r="K254" s="143">
        <v>0.3125</v>
      </c>
      <c r="L254" s="140">
        <v>1.03</v>
      </c>
      <c r="M254" s="143">
        <v>1</v>
      </c>
      <c r="N254" s="148">
        <v>2.21</v>
      </c>
      <c r="O254" s="145">
        <v>2.3125</v>
      </c>
      <c r="P254" s="145">
        <v>1.5625</v>
      </c>
      <c r="Q254" s="140">
        <v>5.76</v>
      </c>
      <c r="R254" s="139">
        <v>52.6</v>
      </c>
      <c r="S254" s="147">
        <v>11600</v>
      </c>
      <c r="T254" s="147">
        <v>693</v>
      </c>
      <c r="U254" s="147">
        <v>600</v>
      </c>
      <c r="V254" s="139">
        <v>15.3</v>
      </c>
      <c r="W254" s="147">
        <v>283</v>
      </c>
      <c r="X254" s="139">
        <v>76</v>
      </c>
      <c r="Y254" s="139">
        <v>47.9</v>
      </c>
      <c r="Z254" s="140">
        <v>2.4</v>
      </c>
      <c r="AA254" s="139">
        <v>14</v>
      </c>
      <c r="AB254" s="147">
        <v>99700</v>
      </c>
      <c r="AC254" s="147">
        <v>111</v>
      </c>
      <c r="AD254" s="147">
        <v>336</v>
      </c>
      <c r="AE254" s="147">
        <v>107</v>
      </c>
      <c r="AF254" s="147">
        <v>336</v>
      </c>
      <c r="AG254" s="140">
        <v>2.98</v>
      </c>
      <c r="AH254" s="139">
        <v>37.6</v>
      </c>
      <c r="AI254" s="147">
        <v>109</v>
      </c>
      <c r="AJ254" s="147">
        <v>121</v>
      </c>
      <c r="AK254" s="139">
        <v>89</v>
      </c>
      <c r="AL254" s="147">
        <v>101</v>
      </c>
      <c r="AM254" s="141">
        <v>34</v>
      </c>
      <c r="AN254" s="141">
        <v>7.5</v>
      </c>
    </row>
    <row r="255" spans="1:40" x14ac:dyDescent="0.3">
      <c r="A255" s="138" t="s">
        <v>928</v>
      </c>
      <c r="B255" s="138" t="s">
        <v>675</v>
      </c>
      <c r="C255" s="147">
        <v>350</v>
      </c>
      <c r="D255" s="147">
        <v>103</v>
      </c>
      <c r="E255" s="139">
        <v>38.6</v>
      </c>
      <c r="F255" s="141">
        <v>38.625</v>
      </c>
      <c r="G255" s="139">
        <v>12.6</v>
      </c>
      <c r="H255" s="141">
        <v>12.625</v>
      </c>
      <c r="I255" s="140">
        <v>1.3</v>
      </c>
      <c r="J255" s="141">
        <v>1.3125</v>
      </c>
      <c r="K255" s="143">
        <v>0.6875</v>
      </c>
      <c r="L255" s="140">
        <v>2.3199999999999998</v>
      </c>
      <c r="M255" s="143">
        <v>2.3125</v>
      </c>
      <c r="N255" s="148">
        <v>3.07</v>
      </c>
      <c r="O255" s="145">
        <v>3.5625</v>
      </c>
      <c r="P255" s="145">
        <v>1.875</v>
      </c>
      <c r="Q255" s="140">
        <v>2.72</v>
      </c>
      <c r="R255" s="139">
        <v>25</v>
      </c>
      <c r="S255" s="147">
        <v>23600</v>
      </c>
      <c r="T255" s="147">
        <v>1440</v>
      </c>
      <c r="U255" s="147">
        <v>1220</v>
      </c>
      <c r="V255" s="139">
        <v>15.1</v>
      </c>
      <c r="W255" s="147">
        <v>780</v>
      </c>
      <c r="X255" s="147">
        <v>199</v>
      </c>
      <c r="Y255" s="147">
        <v>124</v>
      </c>
      <c r="Z255" s="140">
        <v>2.75</v>
      </c>
      <c r="AA255" s="147">
        <v>129</v>
      </c>
      <c r="AB255" s="147">
        <v>257000</v>
      </c>
      <c r="AC255" s="147">
        <v>114</v>
      </c>
      <c r="AD255" s="147">
        <v>835</v>
      </c>
      <c r="AE255" s="147">
        <v>238</v>
      </c>
      <c r="AF255" s="147">
        <v>718</v>
      </c>
      <c r="AG255" s="140">
        <v>3.41</v>
      </c>
      <c r="AH255" s="139">
        <v>36.299999999999997</v>
      </c>
      <c r="AI255" s="147">
        <v>111</v>
      </c>
      <c r="AJ255" s="147">
        <v>124</v>
      </c>
      <c r="AK255" s="139">
        <v>89.8</v>
      </c>
      <c r="AL255" s="147">
        <v>102</v>
      </c>
      <c r="AM255" s="141">
        <v>31.5</v>
      </c>
      <c r="AN255" s="141">
        <v>5.5</v>
      </c>
    </row>
    <row r="256" spans="1:40" x14ac:dyDescent="0.3">
      <c r="A256" s="138" t="s">
        <v>929</v>
      </c>
      <c r="B256" s="138" t="s">
        <v>677</v>
      </c>
      <c r="C256" s="147">
        <v>199</v>
      </c>
      <c r="D256" s="139">
        <v>58.8</v>
      </c>
      <c r="E256" s="139">
        <v>38.700000000000003</v>
      </c>
      <c r="F256" s="141">
        <v>38.625</v>
      </c>
      <c r="G256" s="139">
        <v>15.8</v>
      </c>
      <c r="H256" s="141">
        <v>15.75</v>
      </c>
      <c r="I256" s="142">
        <v>0.65</v>
      </c>
      <c r="J256" s="141">
        <v>0.625</v>
      </c>
      <c r="K256" s="143">
        <v>0.3125</v>
      </c>
      <c r="L256" s="140">
        <v>1.07</v>
      </c>
      <c r="M256" s="143">
        <v>1.0625</v>
      </c>
      <c r="N256" s="148">
        <v>2.25</v>
      </c>
      <c r="O256" s="145">
        <v>2.3125</v>
      </c>
      <c r="P256" s="145">
        <v>1.5625</v>
      </c>
      <c r="Q256" s="140">
        <v>7.39</v>
      </c>
      <c r="R256" s="139">
        <v>52.6</v>
      </c>
      <c r="S256" s="147">
        <v>14900</v>
      </c>
      <c r="T256" s="147">
        <v>869</v>
      </c>
      <c r="U256" s="147">
        <v>770</v>
      </c>
      <c r="V256" s="139">
        <v>16</v>
      </c>
      <c r="W256" s="147">
        <v>695</v>
      </c>
      <c r="X256" s="147">
        <v>137</v>
      </c>
      <c r="Y256" s="139">
        <v>88.2</v>
      </c>
      <c r="Z256" s="140">
        <v>3.45</v>
      </c>
      <c r="AA256" s="139">
        <v>18.3</v>
      </c>
      <c r="AB256" s="147">
        <v>246000</v>
      </c>
      <c r="AC256" s="147">
        <v>149</v>
      </c>
      <c r="AD256" s="147">
        <v>628</v>
      </c>
      <c r="AE256" s="147">
        <v>153</v>
      </c>
      <c r="AF256" s="147">
        <v>427</v>
      </c>
      <c r="AG256" s="140">
        <v>4.12</v>
      </c>
      <c r="AH256" s="139">
        <v>37.6</v>
      </c>
      <c r="AI256" s="147">
        <v>121</v>
      </c>
      <c r="AJ256" s="147">
        <v>137</v>
      </c>
      <c r="AK256" s="139">
        <v>93.2</v>
      </c>
      <c r="AL256" s="147">
        <v>109</v>
      </c>
      <c r="AM256" s="141">
        <v>34</v>
      </c>
      <c r="AN256" s="141">
        <v>7.5</v>
      </c>
    </row>
    <row r="257" spans="1:40" x14ac:dyDescent="0.3">
      <c r="A257" s="138" t="s">
        <v>930</v>
      </c>
      <c r="B257" s="138" t="s">
        <v>675</v>
      </c>
      <c r="C257" s="147">
        <v>441</v>
      </c>
      <c r="D257" s="147">
        <v>130</v>
      </c>
      <c r="E257" s="139">
        <v>38.9</v>
      </c>
      <c r="F257" s="141">
        <v>38.875</v>
      </c>
      <c r="G257" s="139">
        <v>17</v>
      </c>
      <c r="H257" s="141">
        <v>17</v>
      </c>
      <c r="I257" s="140">
        <v>1.36</v>
      </c>
      <c r="J257" s="141">
        <v>1.375</v>
      </c>
      <c r="K257" s="143">
        <v>0.6875</v>
      </c>
      <c r="L257" s="140">
        <v>2.44</v>
      </c>
      <c r="M257" s="143">
        <v>2.4375</v>
      </c>
      <c r="N257" s="148">
        <v>3.39</v>
      </c>
      <c r="O257" s="145">
        <v>3.75</v>
      </c>
      <c r="P257" s="145">
        <v>1.875</v>
      </c>
      <c r="Q257" s="140">
        <v>3.48</v>
      </c>
      <c r="R257" s="139">
        <v>23.6</v>
      </c>
      <c r="S257" s="147">
        <v>32100</v>
      </c>
      <c r="T257" s="147">
        <v>1910</v>
      </c>
      <c r="U257" s="147">
        <v>1650</v>
      </c>
      <c r="V257" s="139">
        <v>15.7</v>
      </c>
      <c r="W257" s="147">
        <v>1990</v>
      </c>
      <c r="X257" s="147">
        <v>368</v>
      </c>
      <c r="Y257" s="147">
        <v>235</v>
      </c>
      <c r="Z257" s="140">
        <v>3.92</v>
      </c>
      <c r="AA257" s="147">
        <v>194</v>
      </c>
      <c r="AB257" s="147">
        <v>661000</v>
      </c>
      <c r="AC257" s="147">
        <v>154</v>
      </c>
      <c r="AD257" s="147">
        <v>1600</v>
      </c>
      <c r="AE257" s="147">
        <v>347</v>
      </c>
      <c r="AF257" s="147">
        <v>950</v>
      </c>
      <c r="AG257" s="140">
        <v>4.6900000000000004</v>
      </c>
      <c r="AH257" s="139">
        <v>36.5</v>
      </c>
      <c r="AI257" s="147">
        <v>124</v>
      </c>
      <c r="AJ257" s="147">
        <v>141</v>
      </c>
      <c r="AK257" s="139">
        <v>94.8</v>
      </c>
      <c r="AL257" s="147">
        <v>112</v>
      </c>
      <c r="AM257" s="141">
        <v>31.375</v>
      </c>
      <c r="AN257" s="141">
        <v>7.5</v>
      </c>
    </row>
    <row r="258" spans="1:40" x14ac:dyDescent="0.3">
      <c r="A258" s="138" t="s">
        <v>931</v>
      </c>
      <c r="B258" s="138" t="s">
        <v>677</v>
      </c>
      <c r="C258" s="147">
        <v>183</v>
      </c>
      <c r="D258" s="139">
        <v>53.3</v>
      </c>
      <c r="E258" s="139">
        <v>39</v>
      </c>
      <c r="F258" s="141">
        <v>39</v>
      </c>
      <c r="G258" s="139">
        <v>11.8</v>
      </c>
      <c r="H258" s="141">
        <v>11.75</v>
      </c>
      <c r="I258" s="142">
        <v>0.65</v>
      </c>
      <c r="J258" s="141">
        <v>0.625</v>
      </c>
      <c r="K258" s="143">
        <v>0.3125</v>
      </c>
      <c r="L258" s="140">
        <v>1.2</v>
      </c>
      <c r="M258" s="143">
        <v>1.1875</v>
      </c>
      <c r="N258" s="148">
        <v>2.38</v>
      </c>
      <c r="O258" s="145">
        <v>2.5</v>
      </c>
      <c r="P258" s="145">
        <v>1.5625</v>
      </c>
      <c r="Q258" s="140">
        <v>4.92</v>
      </c>
      <c r="R258" s="139">
        <v>52.6</v>
      </c>
      <c r="S258" s="147">
        <v>13200</v>
      </c>
      <c r="T258" s="147">
        <v>774</v>
      </c>
      <c r="U258" s="147">
        <v>675</v>
      </c>
      <c r="V258" s="139">
        <v>15.7</v>
      </c>
      <c r="W258" s="147">
        <v>331</v>
      </c>
      <c r="X258" s="139">
        <v>88.3</v>
      </c>
      <c r="Y258" s="139">
        <v>56</v>
      </c>
      <c r="Z258" s="140">
        <v>2.4900000000000002</v>
      </c>
      <c r="AA258" s="139">
        <v>19.3</v>
      </c>
      <c r="AB258" s="147">
        <v>118000</v>
      </c>
      <c r="AC258" s="147">
        <v>112</v>
      </c>
      <c r="AD258" s="147">
        <v>395</v>
      </c>
      <c r="AE258" s="147">
        <v>126</v>
      </c>
      <c r="AF258" s="147">
        <v>376</v>
      </c>
      <c r="AG258" s="140">
        <v>3.04</v>
      </c>
      <c r="AH258" s="139">
        <v>37.799999999999997</v>
      </c>
      <c r="AI258" s="147">
        <v>110</v>
      </c>
      <c r="AJ258" s="147">
        <v>122</v>
      </c>
      <c r="AK258" s="139">
        <v>89.8</v>
      </c>
      <c r="AL258" s="147">
        <v>102</v>
      </c>
      <c r="AM258" s="141">
        <v>34</v>
      </c>
      <c r="AN258" s="141">
        <v>7.5</v>
      </c>
    </row>
    <row r="259" spans="1:40" x14ac:dyDescent="0.3">
      <c r="A259" s="138" t="s">
        <v>932</v>
      </c>
      <c r="B259" s="138" t="s">
        <v>677</v>
      </c>
      <c r="C259" s="147">
        <v>215</v>
      </c>
      <c r="D259" s="139">
        <v>63.5</v>
      </c>
      <c r="E259" s="139">
        <v>39</v>
      </c>
      <c r="F259" s="141">
        <v>39</v>
      </c>
      <c r="G259" s="139">
        <v>15.8</v>
      </c>
      <c r="H259" s="141">
        <v>15.75</v>
      </c>
      <c r="I259" s="142">
        <v>0.65</v>
      </c>
      <c r="J259" s="141">
        <v>0.625</v>
      </c>
      <c r="K259" s="143">
        <v>0.3125</v>
      </c>
      <c r="L259" s="140">
        <v>1.22</v>
      </c>
      <c r="M259" s="143">
        <v>1.25</v>
      </c>
      <c r="N259" s="148">
        <v>2.4</v>
      </c>
      <c r="O259" s="145">
        <v>2.5</v>
      </c>
      <c r="P259" s="145">
        <v>1.5625</v>
      </c>
      <c r="Q259" s="140">
        <v>6.45</v>
      </c>
      <c r="R259" s="139">
        <v>52.6</v>
      </c>
      <c r="S259" s="147">
        <v>16700</v>
      </c>
      <c r="T259" s="147">
        <v>964</v>
      </c>
      <c r="U259" s="147">
        <v>859</v>
      </c>
      <c r="V259" s="139">
        <v>16.2</v>
      </c>
      <c r="W259" s="147">
        <v>803</v>
      </c>
      <c r="X259" s="147">
        <v>156</v>
      </c>
      <c r="Y259" s="147">
        <v>101</v>
      </c>
      <c r="Z259" s="140">
        <v>3.54</v>
      </c>
      <c r="AA259" s="139">
        <v>24.8</v>
      </c>
      <c r="AB259" s="147">
        <v>284000</v>
      </c>
      <c r="AC259" s="147">
        <v>149</v>
      </c>
      <c r="AD259" s="147">
        <v>719</v>
      </c>
      <c r="AE259" s="147">
        <v>175</v>
      </c>
      <c r="AF259" s="147">
        <v>473</v>
      </c>
      <c r="AG259" s="140">
        <v>4.1900000000000004</v>
      </c>
      <c r="AH259" s="139">
        <v>37.799999999999997</v>
      </c>
      <c r="AI259" s="147">
        <v>122</v>
      </c>
      <c r="AJ259" s="147">
        <v>138</v>
      </c>
      <c r="AK259" s="139">
        <v>93.8</v>
      </c>
      <c r="AL259" s="147">
        <v>110</v>
      </c>
      <c r="AM259" s="141">
        <v>34</v>
      </c>
      <c r="AN259" s="141">
        <v>7.5</v>
      </c>
    </row>
    <row r="260" spans="1:40" x14ac:dyDescent="0.3">
      <c r="A260" s="138" t="s">
        <v>933</v>
      </c>
      <c r="B260" s="138" t="s">
        <v>675</v>
      </c>
      <c r="C260" s="147">
        <v>387</v>
      </c>
      <c r="D260" s="147">
        <v>114</v>
      </c>
      <c r="E260" s="139">
        <v>39.1</v>
      </c>
      <c r="F260" s="141">
        <v>39.125</v>
      </c>
      <c r="G260" s="139">
        <v>12.7</v>
      </c>
      <c r="H260" s="141">
        <v>12.75</v>
      </c>
      <c r="I260" s="140">
        <v>1.42</v>
      </c>
      <c r="J260" s="141">
        <v>1.4375</v>
      </c>
      <c r="K260" s="143">
        <v>0.75</v>
      </c>
      <c r="L260" s="140">
        <v>2.56</v>
      </c>
      <c r="M260" s="143">
        <v>2.5625</v>
      </c>
      <c r="N260" s="148">
        <v>3.31</v>
      </c>
      <c r="O260" s="145">
        <v>3.8125</v>
      </c>
      <c r="P260" s="145">
        <v>1.9375</v>
      </c>
      <c r="Q260" s="140">
        <v>2.48</v>
      </c>
      <c r="R260" s="139">
        <v>22.9</v>
      </c>
      <c r="S260" s="147">
        <v>26500</v>
      </c>
      <c r="T260" s="147">
        <v>1610</v>
      </c>
      <c r="U260" s="147">
        <v>1360</v>
      </c>
      <c r="V260" s="139">
        <v>15.2</v>
      </c>
      <c r="W260" s="147">
        <v>882</v>
      </c>
      <c r="X260" s="147">
        <v>224</v>
      </c>
      <c r="Y260" s="147">
        <v>139</v>
      </c>
      <c r="Z260" s="140">
        <v>2.78</v>
      </c>
      <c r="AA260" s="147">
        <v>172</v>
      </c>
      <c r="AB260" s="147">
        <v>294000</v>
      </c>
      <c r="AC260" s="147">
        <v>116</v>
      </c>
      <c r="AD260" s="147">
        <v>943</v>
      </c>
      <c r="AE260" s="147">
        <v>264</v>
      </c>
      <c r="AF260" s="147">
        <v>799</v>
      </c>
      <c r="AG260" s="140">
        <v>3.44</v>
      </c>
      <c r="AH260" s="139">
        <v>36.5</v>
      </c>
      <c r="AI260" s="147">
        <v>112</v>
      </c>
      <c r="AJ260" s="147">
        <v>125</v>
      </c>
      <c r="AK260" s="139">
        <v>90.9</v>
      </c>
      <c r="AL260" s="147">
        <v>104</v>
      </c>
      <c r="AM260" s="141">
        <v>31.5</v>
      </c>
      <c r="AN260" s="141">
        <v>5.5</v>
      </c>
    </row>
    <row r="261" spans="1:40" x14ac:dyDescent="0.3">
      <c r="A261" s="138" t="s">
        <v>934</v>
      </c>
      <c r="B261" s="138" t="s">
        <v>675</v>
      </c>
      <c r="C261" s="147">
        <v>487</v>
      </c>
      <c r="D261" s="147">
        <v>143</v>
      </c>
      <c r="E261" s="139">
        <v>39.299999999999997</v>
      </c>
      <c r="F261" s="141">
        <v>39.375</v>
      </c>
      <c r="G261" s="139">
        <v>17.100000000000001</v>
      </c>
      <c r="H261" s="141">
        <v>17.125</v>
      </c>
      <c r="I261" s="140">
        <v>1.5</v>
      </c>
      <c r="J261" s="141">
        <v>1.5</v>
      </c>
      <c r="K261" s="143">
        <v>0.75</v>
      </c>
      <c r="L261" s="140">
        <v>2.68</v>
      </c>
      <c r="M261" s="143">
        <v>2.6875</v>
      </c>
      <c r="N261" s="148">
        <v>3.63</v>
      </c>
      <c r="O261" s="145">
        <v>4</v>
      </c>
      <c r="P261" s="145">
        <v>1.875</v>
      </c>
      <c r="Q261" s="140">
        <v>3.19</v>
      </c>
      <c r="R261" s="139">
        <v>21.4</v>
      </c>
      <c r="S261" s="147">
        <v>36000</v>
      </c>
      <c r="T261" s="147">
        <v>2130</v>
      </c>
      <c r="U261" s="147">
        <v>1830</v>
      </c>
      <c r="V261" s="139">
        <v>15.8</v>
      </c>
      <c r="W261" s="147">
        <v>2250</v>
      </c>
      <c r="X261" s="147">
        <v>412</v>
      </c>
      <c r="Y261" s="147">
        <v>263</v>
      </c>
      <c r="Z261" s="140">
        <v>3.96</v>
      </c>
      <c r="AA261" s="147">
        <v>258</v>
      </c>
      <c r="AB261" s="147">
        <v>754000</v>
      </c>
      <c r="AC261" s="147">
        <v>157</v>
      </c>
      <c r="AD261" s="147">
        <v>1800</v>
      </c>
      <c r="AE261" s="147">
        <v>383</v>
      </c>
      <c r="AF261" s="147">
        <v>1060</v>
      </c>
      <c r="AG261" s="140">
        <v>4.74</v>
      </c>
      <c r="AH261" s="139">
        <v>36.6</v>
      </c>
      <c r="AI261" s="147">
        <v>125</v>
      </c>
      <c r="AJ261" s="147">
        <v>142</v>
      </c>
      <c r="AK261" s="139">
        <v>95.7</v>
      </c>
      <c r="AL261" s="147">
        <v>113</v>
      </c>
      <c r="AM261" s="141">
        <v>31.375</v>
      </c>
      <c r="AN261" s="141">
        <v>7.5</v>
      </c>
    </row>
    <row r="262" spans="1:40" x14ac:dyDescent="0.3">
      <c r="A262" s="138" t="s">
        <v>935</v>
      </c>
      <c r="B262" s="138" t="s">
        <v>677</v>
      </c>
      <c r="C262" s="147">
        <v>211</v>
      </c>
      <c r="D262" s="139">
        <v>62.1</v>
      </c>
      <c r="E262" s="139">
        <v>39.4</v>
      </c>
      <c r="F262" s="141">
        <v>39.375</v>
      </c>
      <c r="G262" s="139">
        <v>11.8</v>
      </c>
      <c r="H262" s="141">
        <v>11.75</v>
      </c>
      <c r="I262" s="142">
        <v>0.75</v>
      </c>
      <c r="J262" s="141">
        <v>0.75</v>
      </c>
      <c r="K262" s="143">
        <v>0.375</v>
      </c>
      <c r="L262" s="140">
        <v>1.42</v>
      </c>
      <c r="M262" s="143">
        <v>1.4375</v>
      </c>
      <c r="N262" s="148">
        <v>2.6</v>
      </c>
      <c r="O262" s="145">
        <v>2.6875</v>
      </c>
      <c r="P262" s="145">
        <v>1.5625</v>
      </c>
      <c r="Q262" s="140">
        <v>4.17</v>
      </c>
      <c r="R262" s="139">
        <v>45.6</v>
      </c>
      <c r="S262" s="147">
        <v>15500</v>
      </c>
      <c r="T262" s="147">
        <v>906</v>
      </c>
      <c r="U262" s="147">
        <v>786</v>
      </c>
      <c r="V262" s="139">
        <v>15.8</v>
      </c>
      <c r="W262" s="147">
        <v>390</v>
      </c>
      <c r="X262" s="147">
        <v>105</v>
      </c>
      <c r="Y262" s="139">
        <v>66.099999999999994</v>
      </c>
      <c r="Z262" s="140">
        <v>2.5099999999999998</v>
      </c>
      <c r="AA262" s="139">
        <v>30.4</v>
      </c>
      <c r="AB262" s="147">
        <v>141000</v>
      </c>
      <c r="AC262" s="147">
        <v>112</v>
      </c>
      <c r="AD262" s="147">
        <v>468</v>
      </c>
      <c r="AE262" s="147">
        <v>148</v>
      </c>
      <c r="AF262" s="147">
        <v>442</v>
      </c>
      <c r="AG262" s="140">
        <v>3.07</v>
      </c>
      <c r="AH262" s="139">
        <v>38</v>
      </c>
      <c r="AI262" s="147">
        <v>110</v>
      </c>
      <c r="AJ262" s="147">
        <v>122</v>
      </c>
      <c r="AK262" s="139">
        <v>90.6</v>
      </c>
      <c r="AL262" s="147">
        <v>102</v>
      </c>
      <c r="AM262" s="141">
        <v>34</v>
      </c>
      <c r="AN262" s="141">
        <v>7.5</v>
      </c>
    </row>
    <row r="263" spans="1:40" x14ac:dyDescent="0.3">
      <c r="A263" s="138" t="s">
        <v>936</v>
      </c>
      <c r="B263" s="138" t="s">
        <v>677</v>
      </c>
      <c r="C263" s="147">
        <v>249</v>
      </c>
      <c r="D263" s="139">
        <v>73.5</v>
      </c>
      <c r="E263" s="139">
        <v>39.4</v>
      </c>
      <c r="F263" s="141">
        <v>39.375</v>
      </c>
      <c r="G263" s="139">
        <v>15.8</v>
      </c>
      <c r="H263" s="141">
        <v>15.75</v>
      </c>
      <c r="I263" s="142">
        <v>0.75</v>
      </c>
      <c r="J263" s="141">
        <v>0.75</v>
      </c>
      <c r="K263" s="143">
        <v>0.375</v>
      </c>
      <c r="L263" s="140">
        <v>1.42</v>
      </c>
      <c r="M263" s="143">
        <v>1.4375</v>
      </c>
      <c r="N263" s="148">
        <v>2.6</v>
      </c>
      <c r="O263" s="145">
        <v>2.6875</v>
      </c>
      <c r="P263" s="145">
        <v>1.5625</v>
      </c>
      <c r="Q263" s="140">
        <v>5.55</v>
      </c>
      <c r="R263" s="139">
        <v>45.6</v>
      </c>
      <c r="S263" s="147">
        <v>19600</v>
      </c>
      <c r="T263" s="147">
        <v>1120</v>
      </c>
      <c r="U263" s="147">
        <v>993</v>
      </c>
      <c r="V263" s="139">
        <v>16.3</v>
      </c>
      <c r="W263" s="147">
        <v>926</v>
      </c>
      <c r="X263" s="147">
        <v>182</v>
      </c>
      <c r="Y263" s="147">
        <v>118</v>
      </c>
      <c r="Z263" s="140">
        <v>3.55</v>
      </c>
      <c r="AA263" s="139">
        <v>38.1</v>
      </c>
      <c r="AB263" s="147">
        <v>334000</v>
      </c>
      <c r="AC263" s="147">
        <v>150</v>
      </c>
      <c r="AD263" s="147">
        <v>841</v>
      </c>
      <c r="AE263" s="147">
        <v>203</v>
      </c>
      <c r="AF263" s="147">
        <v>551</v>
      </c>
      <c r="AG263" s="140">
        <v>4.21</v>
      </c>
      <c r="AH263" s="139">
        <v>38</v>
      </c>
      <c r="AI263" s="147">
        <v>122</v>
      </c>
      <c r="AJ263" s="147">
        <v>138</v>
      </c>
      <c r="AK263" s="139">
        <v>94.6</v>
      </c>
      <c r="AL263" s="147">
        <v>110</v>
      </c>
      <c r="AM263" s="141">
        <v>34</v>
      </c>
      <c r="AN263" s="141">
        <v>7.5</v>
      </c>
    </row>
    <row r="264" spans="1:40" x14ac:dyDescent="0.3">
      <c r="A264" s="138" t="s">
        <v>937</v>
      </c>
      <c r="B264" s="138" t="s">
        <v>677</v>
      </c>
      <c r="C264" s="147">
        <v>235</v>
      </c>
      <c r="D264" s="139">
        <v>69.099999999999994</v>
      </c>
      <c r="E264" s="139">
        <v>39.700000000000003</v>
      </c>
      <c r="F264" s="141">
        <v>39.75</v>
      </c>
      <c r="G264" s="139">
        <v>11.9</v>
      </c>
      <c r="H264" s="141">
        <v>11.875</v>
      </c>
      <c r="I264" s="142">
        <v>0.83</v>
      </c>
      <c r="J264" s="141">
        <v>0.8125</v>
      </c>
      <c r="K264" s="143">
        <v>0.4375</v>
      </c>
      <c r="L264" s="140">
        <v>1.58</v>
      </c>
      <c r="M264" s="143">
        <v>1.5625</v>
      </c>
      <c r="N264" s="148">
        <v>2.76</v>
      </c>
      <c r="O264" s="145">
        <v>2.875</v>
      </c>
      <c r="P264" s="145">
        <v>1.625</v>
      </c>
      <c r="Q264" s="140">
        <v>3.77</v>
      </c>
      <c r="R264" s="139">
        <v>41.2</v>
      </c>
      <c r="S264" s="147">
        <v>17400</v>
      </c>
      <c r="T264" s="147">
        <v>1010</v>
      </c>
      <c r="U264" s="147">
        <v>875</v>
      </c>
      <c r="V264" s="139">
        <v>15.9</v>
      </c>
      <c r="W264" s="147">
        <v>444</v>
      </c>
      <c r="X264" s="147">
        <v>118</v>
      </c>
      <c r="Y264" s="139">
        <v>74.599999999999994</v>
      </c>
      <c r="Z264" s="140">
        <v>2.54</v>
      </c>
      <c r="AA264" s="139">
        <v>41.3</v>
      </c>
      <c r="AB264" s="147">
        <v>161000</v>
      </c>
      <c r="AC264" s="147">
        <v>113</v>
      </c>
      <c r="AD264" s="147">
        <v>530</v>
      </c>
      <c r="AE264" s="147">
        <v>166</v>
      </c>
      <c r="AF264" s="147">
        <v>495</v>
      </c>
      <c r="AG264" s="140">
        <v>3.11</v>
      </c>
      <c r="AH264" s="139">
        <v>38.1</v>
      </c>
      <c r="AI264" s="147">
        <v>111</v>
      </c>
      <c r="AJ264" s="147">
        <v>123</v>
      </c>
      <c r="AK264" s="139">
        <v>91.3</v>
      </c>
      <c r="AL264" s="147">
        <v>103</v>
      </c>
      <c r="AM264" s="141">
        <v>34</v>
      </c>
      <c r="AN264" s="141">
        <v>7.5</v>
      </c>
    </row>
    <row r="265" spans="1:40" x14ac:dyDescent="0.3">
      <c r="A265" s="138" t="s">
        <v>938</v>
      </c>
      <c r="B265" s="138" t="s">
        <v>677</v>
      </c>
      <c r="C265" s="147">
        <v>277</v>
      </c>
      <c r="D265" s="139">
        <v>81.5</v>
      </c>
      <c r="E265" s="139">
        <v>39.700000000000003</v>
      </c>
      <c r="F265" s="141">
        <v>39.75</v>
      </c>
      <c r="G265" s="139">
        <v>15.8</v>
      </c>
      <c r="H265" s="141">
        <v>15.875</v>
      </c>
      <c r="I265" s="142">
        <v>0.83</v>
      </c>
      <c r="J265" s="141">
        <v>0.8125</v>
      </c>
      <c r="K265" s="143">
        <v>0.4375</v>
      </c>
      <c r="L265" s="140">
        <v>1.58</v>
      </c>
      <c r="M265" s="143">
        <v>1.5625</v>
      </c>
      <c r="N265" s="148">
        <v>2.76</v>
      </c>
      <c r="O265" s="145">
        <v>2.875</v>
      </c>
      <c r="P265" s="145">
        <v>1.625</v>
      </c>
      <c r="Q265" s="140">
        <v>5.03</v>
      </c>
      <c r="R265" s="139">
        <v>41.2</v>
      </c>
      <c r="S265" s="147">
        <v>21900</v>
      </c>
      <c r="T265" s="147">
        <v>1250</v>
      </c>
      <c r="U265" s="147">
        <v>1100</v>
      </c>
      <c r="V265" s="139">
        <v>16.399999999999999</v>
      </c>
      <c r="W265" s="147">
        <v>1040</v>
      </c>
      <c r="X265" s="147">
        <v>204</v>
      </c>
      <c r="Y265" s="147">
        <v>132</v>
      </c>
      <c r="Z265" s="140">
        <v>3.58</v>
      </c>
      <c r="AA265" s="139">
        <v>51.5</v>
      </c>
      <c r="AB265" s="147">
        <v>379000</v>
      </c>
      <c r="AC265" s="147">
        <v>151</v>
      </c>
      <c r="AD265" s="147">
        <v>940</v>
      </c>
      <c r="AE265" s="147">
        <v>225</v>
      </c>
      <c r="AF265" s="147">
        <v>614</v>
      </c>
      <c r="AG265" s="140">
        <v>4.25</v>
      </c>
      <c r="AH265" s="139">
        <v>38.1</v>
      </c>
      <c r="AI265" s="147">
        <v>123</v>
      </c>
      <c r="AJ265" s="147">
        <v>139</v>
      </c>
      <c r="AK265" s="139">
        <v>95.2</v>
      </c>
      <c r="AL265" s="147">
        <v>111</v>
      </c>
      <c r="AM265" s="141">
        <v>34</v>
      </c>
      <c r="AN265" s="141">
        <v>7.5</v>
      </c>
    </row>
    <row r="266" spans="1:40" x14ac:dyDescent="0.3">
      <c r="A266" s="138" t="s">
        <v>940</v>
      </c>
      <c r="B266" s="138" t="s">
        <v>675</v>
      </c>
      <c r="C266" s="147">
        <v>529</v>
      </c>
      <c r="D266" s="147">
        <v>156</v>
      </c>
      <c r="E266" s="139">
        <v>39.799999999999997</v>
      </c>
      <c r="F266" s="141">
        <v>39.75</v>
      </c>
      <c r="G266" s="139">
        <v>17.2</v>
      </c>
      <c r="H266" s="141">
        <v>17.25</v>
      </c>
      <c r="I266" s="140">
        <v>1.61</v>
      </c>
      <c r="J266" s="141">
        <v>1.625</v>
      </c>
      <c r="K266" s="143">
        <v>0.8125</v>
      </c>
      <c r="L266" s="140">
        <v>2.91</v>
      </c>
      <c r="M266" s="143">
        <v>2.9375</v>
      </c>
      <c r="N266" s="148">
        <v>3.86</v>
      </c>
      <c r="O266" s="145">
        <v>4.1875</v>
      </c>
      <c r="P266" s="145">
        <v>2</v>
      </c>
      <c r="Q266" s="140">
        <v>2.96</v>
      </c>
      <c r="R266" s="139">
        <v>19.899999999999999</v>
      </c>
      <c r="S266" s="147">
        <v>39600</v>
      </c>
      <c r="T266" s="147">
        <v>2330</v>
      </c>
      <c r="U266" s="147">
        <v>1990</v>
      </c>
      <c r="V266" s="139">
        <v>16</v>
      </c>
      <c r="W266" s="147">
        <v>2490</v>
      </c>
      <c r="X266" s="147">
        <v>454</v>
      </c>
      <c r="Y266" s="147">
        <v>289</v>
      </c>
      <c r="Z266" s="140">
        <v>4</v>
      </c>
      <c r="AA266" s="147">
        <v>327</v>
      </c>
      <c r="AB266" s="147">
        <v>846000</v>
      </c>
      <c r="AC266" s="147">
        <v>159</v>
      </c>
      <c r="AD266" s="147">
        <v>1990</v>
      </c>
      <c r="AE266" s="147">
        <v>419</v>
      </c>
      <c r="AF266" s="147">
        <v>1160</v>
      </c>
      <c r="AG266" s="140">
        <v>4.8</v>
      </c>
      <c r="AH266" s="139">
        <v>36.9</v>
      </c>
      <c r="AI266" s="147">
        <v>127</v>
      </c>
      <c r="AJ266" s="147">
        <v>144</v>
      </c>
      <c r="AK266" s="139">
        <v>96.8</v>
      </c>
      <c r="AL266" s="147">
        <v>114</v>
      </c>
      <c r="AM266" s="141">
        <v>31.375</v>
      </c>
      <c r="AN266" s="141">
        <v>7.5</v>
      </c>
    </row>
    <row r="267" spans="1:40" x14ac:dyDescent="0.3">
      <c r="A267" s="138" t="s">
        <v>939</v>
      </c>
      <c r="B267" s="138" t="s">
        <v>677</v>
      </c>
      <c r="C267" s="147">
        <v>297</v>
      </c>
      <c r="D267" s="139">
        <v>87.3</v>
      </c>
      <c r="E267" s="139">
        <v>39.799999999999997</v>
      </c>
      <c r="F267" s="141">
        <v>39.875</v>
      </c>
      <c r="G267" s="139">
        <v>15.8</v>
      </c>
      <c r="H267" s="141">
        <v>15.875</v>
      </c>
      <c r="I267" s="142">
        <v>0.93</v>
      </c>
      <c r="J267" s="141">
        <v>0.9375</v>
      </c>
      <c r="K267" s="143">
        <v>0.5</v>
      </c>
      <c r="L267" s="140">
        <v>1.65</v>
      </c>
      <c r="M267" s="143">
        <v>1.625</v>
      </c>
      <c r="N267" s="148">
        <v>2.83</v>
      </c>
      <c r="O267" s="145">
        <v>2.9375</v>
      </c>
      <c r="P267" s="145">
        <v>1.6875</v>
      </c>
      <c r="Q267" s="140">
        <v>4.8</v>
      </c>
      <c r="R267" s="139">
        <v>36.799999999999997</v>
      </c>
      <c r="S267" s="147">
        <v>23200</v>
      </c>
      <c r="T267" s="147">
        <v>1330</v>
      </c>
      <c r="U267" s="147">
        <v>1170</v>
      </c>
      <c r="V267" s="139">
        <v>16.3</v>
      </c>
      <c r="W267" s="147">
        <v>1090</v>
      </c>
      <c r="X267" s="147">
        <v>215</v>
      </c>
      <c r="Y267" s="147">
        <v>138</v>
      </c>
      <c r="Z267" s="140">
        <v>3.54</v>
      </c>
      <c r="AA267" s="139">
        <v>61.2</v>
      </c>
      <c r="AB267" s="147">
        <v>399000</v>
      </c>
      <c r="AC267" s="147">
        <v>151</v>
      </c>
      <c r="AD267" s="147">
        <v>982</v>
      </c>
      <c r="AE267" s="147">
        <v>234</v>
      </c>
      <c r="AF267" s="147">
        <v>652</v>
      </c>
      <c r="AG267" s="140">
        <v>4.22</v>
      </c>
      <c r="AH267" s="139">
        <v>38.200000000000003</v>
      </c>
      <c r="AI267" s="147">
        <v>123</v>
      </c>
      <c r="AJ267" s="147">
        <v>139</v>
      </c>
      <c r="AK267" s="139">
        <v>95.4</v>
      </c>
      <c r="AL267" s="147">
        <v>111</v>
      </c>
      <c r="AM267" s="141">
        <v>34</v>
      </c>
      <c r="AN267" s="141">
        <v>7.5</v>
      </c>
    </row>
    <row r="268" spans="1:40" x14ac:dyDescent="0.3">
      <c r="A268" s="138" t="s">
        <v>941</v>
      </c>
      <c r="B268" s="138" t="s">
        <v>677</v>
      </c>
      <c r="C268" s="147">
        <v>264</v>
      </c>
      <c r="D268" s="139">
        <v>77.400000000000006</v>
      </c>
      <c r="E268" s="139">
        <v>40</v>
      </c>
      <c r="F268" s="141">
        <v>40</v>
      </c>
      <c r="G268" s="139">
        <v>11.9</v>
      </c>
      <c r="H268" s="141">
        <v>11.875</v>
      </c>
      <c r="I268" s="142">
        <v>0.96</v>
      </c>
      <c r="J268" s="141">
        <v>0.9375</v>
      </c>
      <c r="K268" s="143">
        <v>0.5</v>
      </c>
      <c r="L268" s="140">
        <v>1.73</v>
      </c>
      <c r="M268" s="143">
        <v>1.75</v>
      </c>
      <c r="N268" s="148">
        <v>2.91</v>
      </c>
      <c r="O268" s="145">
        <v>3</v>
      </c>
      <c r="P268" s="145">
        <v>1.6875</v>
      </c>
      <c r="Q268" s="140">
        <v>3.45</v>
      </c>
      <c r="R268" s="139">
        <v>35.6</v>
      </c>
      <c r="S268" s="147">
        <v>19400</v>
      </c>
      <c r="T268" s="147">
        <v>1130</v>
      </c>
      <c r="U268" s="147">
        <v>971</v>
      </c>
      <c r="V268" s="139">
        <v>15.8</v>
      </c>
      <c r="W268" s="147">
        <v>493</v>
      </c>
      <c r="X268" s="147">
        <v>132</v>
      </c>
      <c r="Y268" s="139">
        <v>82.6</v>
      </c>
      <c r="Z268" s="140">
        <v>2.52</v>
      </c>
      <c r="AA268" s="139">
        <v>56.1</v>
      </c>
      <c r="AB268" s="147">
        <v>181000</v>
      </c>
      <c r="AC268" s="147">
        <v>114</v>
      </c>
      <c r="AD268" s="147">
        <v>589</v>
      </c>
      <c r="AE268" s="147">
        <v>182</v>
      </c>
      <c r="AF268" s="147">
        <v>555</v>
      </c>
      <c r="AG268" s="140">
        <v>3.12</v>
      </c>
      <c r="AH268" s="139">
        <v>38.299999999999997</v>
      </c>
      <c r="AI268" s="147">
        <v>112</v>
      </c>
      <c r="AJ268" s="147">
        <v>124</v>
      </c>
      <c r="AK268" s="139">
        <v>91.9</v>
      </c>
      <c r="AL268" s="147">
        <v>104</v>
      </c>
      <c r="AM268" s="141">
        <v>34</v>
      </c>
      <c r="AN268" s="141">
        <v>7.5</v>
      </c>
    </row>
    <row r="269" spans="1:40" x14ac:dyDescent="0.3">
      <c r="A269" s="138" t="s">
        <v>942</v>
      </c>
      <c r="B269" s="138" t="s">
        <v>677</v>
      </c>
      <c r="C269" s="147">
        <v>278</v>
      </c>
      <c r="D269" s="139">
        <v>82.3</v>
      </c>
      <c r="E269" s="139">
        <v>40.200000000000003</v>
      </c>
      <c r="F269" s="141">
        <v>40.125</v>
      </c>
      <c r="G269" s="139">
        <v>12</v>
      </c>
      <c r="H269" s="141">
        <v>12</v>
      </c>
      <c r="I269" s="140">
        <v>1.03</v>
      </c>
      <c r="J269" s="141">
        <v>1</v>
      </c>
      <c r="K269" s="143">
        <v>0.5</v>
      </c>
      <c r="L269" s="140">
        <v>1.81</v>
      </c>
      <c r="M269" s="143">
        <v>1.8125</v>
      </c>
      <c r="N269" s="148">
        <v>2.99</v>
      </c>
      <c r="O269" s="145">
        <v>3.0625</v>
      </c>
      <c r="P269" s="145">
        <v>1.75</v>
      </c>
      <c r="Q269" s="140">
        <v>3.31</v>
      </c>
      <c r="R269" s="139">
        <v>33.299999999999997</v>
      </c>
      <c r="S269" s="147">
        <v>20500</v>
      </c>
      <c r="T269" s="147">
        <v>1190</v>
      </c>
      <c r="U269" s="147">
        <v>1020</v>
      </c>
      <c r="V269" s="139">
        <v>15.8</v>
      </c>
      <c r="W269" s="147">
        <v>521</v>
      </c>
      <c r="X269" s="147">
        <v>140</v>
      </c>
      <c r="Y269" s="139">
        <v>87.1</v>
      </c>
      <c r="Z269" s="140">
        <v>2.52</v>
      </c>
      <c r="AA269" s="139">
        <v>65</v>
      </c>
      <c r="AB269" s="147">
        <v>192000</v>
      </c>
      <c r="AC269" s="147">
        <v>115</v>
      </c>
      <c r="AD269" s="147">
        <v>622</v>
      </c>
      <c r="AE269" s="147">
        <v>190</v>
      </c>
      <c r="AF269" s="147">
        <v>587</v>
      </c>
      <c r="AG269" s="140">
        <v>3.13</v>
      </c>
      <c r="AH269" s="139">
        <v>38.4</v>
      </c>
      <c r="AI269" s="147">
        <v>112</v>
      </c>
      <c r="AJ269" s="147">
        <v>124</v>
      </c>
      <c r="AK269" s="139">
        <v>92.4</v>
      </c>
      <c r="AL269" s="147">
        <v>104</v>
      </c>
      <c r="AM269" s="141">
        <v>34</v>
      </c>
      <c r="AN269" s="141">
        <v>7.5</v>
      </c>
    </row>
    <row r="270" spans="1:40" x14ac:dyDescent="0.3">
      <c r="A270" s="138" t="s">
        <v>943</v>
      </c>
      <c r="B270" s="138" t="s">
        <v>677</v>
      </c>
      <c r="C270" s="147">
        <v>324</v>
      </c>
      <c r="D270" s="139">
        <v>95.3</v>
      </c>
      <c r="E270" s="139">
        <v>40.200000000000003</v>
      </c>
      <c r="F270" s="141">
        <v>40.125</v>
      </c>
      <c r="G270" s="139">
        <v>15.9</v>
      </c>
      <c r="H270" s="141">
        <v>15.875</v>
      </c>
      <c r="I270" s="140">
        <v>1</v>
      </c>
      <c r="J270" s="141">
        <v>1</v>
      </c>
      <c r="K270" s="143">
        <v>0.5</v>
      </c>
      <c r="L270" s="140">
        <v>1.81</v>
      </c>
      <c r="M270" s="143">
        <v>1.8125</v>
      </c>
      <c r="N270" s="148">
        <v>2.99</v>
      </c>
      <c r="O270" s="145">
        <v>3.0625</v>
      </c>
      <c r="P270" s="145">
        <v>1.6875</v>
      </c>
      <c r="Q270" s="140">
        <v>4.4000000000000004</v>
      </c>
      <c r="R270" s="139">
        <v>34.200000000000003</v>
      </c>
      <c r="S270" s="147">
        <v>25600</v>
      </c>
      <c r="T270" s="147">
        <v>1460</v>
      </c>
      <c r="U270" s="147">
        <v>1280</v>
      </c>
      <c r="V270" s="139">
        <v>16.399999999999999</v>
      </c>
      <c r="W270" s="147">
        <v>1220</v>
      </c>
      <c r="X270" s="147">
        <v>239</v>
      </c>
      <c r="Y270" s="147">
        <v>153</v>
      </c>
      <c r="Z270" s="140">
        <v>3.58</v>
      </c>
      <c r="AA270" s="139">
        <v>79.400000000000006</v>
      </c>
      <c r="AB270" s="147">
        <v>448000</v>
      </c>
      <c r="AC270" s="147">
        <v>153</v>
      </c>
      <c r="AD270" s="147">
        <v>1100</v>
      </c>
      <c r="AE270" s="147">
        <v>259</v>
      </c>
      <c r="AF270" s="147">
        <v>720</v>
      </c>
      <c r="AG270" s="140">
        <v>4.2699999999999996</v>
      </c>
      <c r="AH270" s="139">
        <v>38.4</v>
      </c>
      <c r="AI270" s="147">
        <v>124</v>
      </c>
      <c r="AJ270" s="147">
        <v>140</v>
      </c>
      <c r="AK270" s="139">
        <v>96.3</v>
      </c>
      <c r="AL270" s="147">
        <v>112</v>
      </c>
      <c r="AM270" s="141">
        <v>34</v>
      </c>
      <c r="AN270" s="141">
        <v>7.5</v>
      </c>
    </row>
    <row r="271" spans="1:40" x14ac:dyDescent="0.3">
      <c r="A271" s="138" t="s">
        <v>944</v>
      </c>
      <c r="B271" s="138" t="s">
        <v>677</v>
      </c>
      <c r="C271" s="147">
        <v>294</v>
      </c>
      <c r="D271" s="139">
        <v>86.2</v>
      </c>
      <c r="E271" s="139">
        <v>40.4</v>
      </c>
      <c r="F271" s="141">
        <v>40.375</v>
      </c>
      <c r="G271" s="139">
        <v>12</v>
      </c>
      <c r="H271" s="141">
        <v>12</v>
      </c>
      <c r="I271" s="140">
        <v>1.06</v>
      </c>
      <c r="J271" s="141">
        <v>1.0625</v>
      </c>
      <c r="K271" s="143">
        <v>0.5625</v>
      </c>
      <c r="L271" s="140">
        <v>1.93</v>
      </c>
      <c r="M271" s="143">
        <v>1.9375</v>
      </c>
      <c r="N271" s="148">
        <v>3.11</v>
      </c>
      <c r="O271" s="145">
        <v>3.1875</v>
      </c>
      <c r="P271" s="145">
        <v>1.75</v>
      </c>
      <c r="Q271" s="140">
        <v>3.11</v>
      </c>
      <c r="R271" s="139">
        <v>32.200000000000003</v>
      </c>
      <c r="S271" s="147">
        <v>21900</v>
      </c>
      <c r="T271" s="147">
        <v>1270</v>
      </c>
      <c r="U271" s="147">
        <v>1080</v>
      </c>
      <c r="V271" s="139">
        <v>15.9</v>
      </c>
      <c r="W271" s="147">
        <v>562</v>
      </c>
      <c r="X271" s="147">
        <v>150</v>
      </c>
      <c r="Y271" s="139">
        <v>93.5</v>
      </c>
      <c r="Z271" s="140">
        <v>2.5499999999999998</v>
      </c>
      <c r="AA271" s="139">
        <v>76.599999999999994</v>
      </c>
      <c r="AB271" s="147">
        <v>208000</v>
      </c>
      <c r="AC271" s="147">
        <v>115</v>
      </c>
      <c r="AD271" s="147">
        <v>668</v>
      </c>
      <c r="AE271" s="147">
        <v>203</v>
      </c>
      <c r="AF271" s="147">
        <v>622</v>
      </c>
      <c r="AG271" s="140">
        <v>3.16</v>
      </c>
      <c r="AH271" s="139">
        <v>38.5</v>
      </c>
      <c r="AI271" s="147">
        <v>113</v>
      </c>
      <c r="AJ271" s="147">
        <v>125</v>
      </c>
      <c r="AK271" s="139">
        <v>92.8</v>
      </c>
      <c r="AL271" s="147">
        <v>105</v>
      </c>
      <c r="AM271" s="141">
        <v>34</v>
      </c>
      <c r="AN271" s="141">
        <v>7.5</v>
      </c>
    </row>
    <row r="272" spans="1:40" x14ac:dyDescent="0.3">
      <c r="A272" s="138" t="s">
        <v>945</v>
      </c>
      <c r="B272" s="138" t="s">
        <v>675</v>
      </c>
      <c r="C272" s="147">
        <v>362</v>
      </c>
      <c r="D272" s="147">
        <v>106</v>
      </c>
      <c r="E272" s="139">
        <v>40.6</v>
      </c>
      <c r="F272" s="141">
        <v>40.5</v>
      </c>
      <c r="G272" s="139">
        <v>16</v>
      </c>
      <c r="H272" s="141">
        <v>16</v>
      </c>
      <c r="I272" s="140">
        <v>1.1200000000000001</v>
      </c>
      <c r="J272" s="141">
        <v>1.125</v>
      </c>
      <c r="K272" s="143">
        <v>0.5625</v>
      </c>
      <c r="L272" s="140">
        <v>2.0099999999999998</v>
      </c>
      <c r="M272" s="143">
        <v>2</v>
      </c>
      <c r="N272" s="148">
        <v>3.19</v>
      </c>
      <c r="O272" s="145">
        <v>3.25</v>
      </c>
      <c r="P272" s="145">
        <v>1.75</v>
      </c>
      <c r="Q272" s="140">
        <v>3.99</v>
      </c>
      <c r="R272" s="139">
        <v>30.5</v>
      </c>
      <c r="S272" s="147">
        <v>28900</v>
      </c>
      <c r="T272" s="147">
        <v>1640</v>
      </c>
      <c r="U272" s="147">
        <v>1420</v>
      </c>
      <c r="V272" s="139">
        <v>16.5</v>
      </c>
      <c r="W272" s="147">
        <v>1380</v>
      </c>
      <c r="X272" s="147">
        <v>270</v>
      </c>
      <c r="Y272" s="147">
        <v>173</v>
      </c>
      <c r="Z272" s="140">
        <v>3.6</v>
      </c>
      <c r="AA272" s="147">
        <v>109</v>
      </c>
      <c r="AB272" s="147">
        <v>513000</v>
      </c>
      <c r="AC272" s="147">
        <v>154</v>
      </c>
      <c r="AD272" s="147">
        <v>1240</v>
      </c>
      <c r="AE272" s="147">
        <v>289</v>
      </c>
      <c r="AF272" s="147">
        <v>808</v>
      </c>
      <c r="AG272" s="140">
        <v>4.33</v>
      </c>
      <c r="AH272" s="139">
        <v>38.6</v>
      </c>
      <c r="AI272" s="147">
        <v>125</v>
      </c>
      <c r="AJ272" s="147">
        <v>141</v>
      </c>
      <c r="AK272" s="139">
        <v>97.2</v>
      </c>
      <c r="AL272" s="147">
        <v>113</v>
      </c>
      <c r="AM272" s="141">
        <v>34</v>
      </c>
      <c r="AN272" s="141">
        <v>7.5</v>
      </c>
    </row>
    <row r="273" spans="1:40" x14ac:dyDescent="0.3">
      <c r="A273" s="138" t="s">
        <v>946</v>
      </c>
      <c r="B273" s="138" t="s">
        <v>675</v>
      </c>
      <c r="C273" s="147">
        <v>372</v>
      </c>
      <c r="D273" s="147">
        <v>110</v>
      </c>
      <c r="E273" s="139">
        <v>40.6</v>
      </c>
      <c r="F273" s="141">
        <v>40.625</v>
      </c>
      <c r="G273" s="139">
        <v>16.100000000000001</v>
      </c>
      <c r="H273" s="141">
        <v>16.125</v>
      </c>
      <c r="I273" s="140">
        <v>1.1599999999999999</v>
      </c>
      <c r="J273" s="141">
        <v>1.1875</v>
      </c>
      <c r="K273" s="143">
        <v>0.625</v>
      </c>
      <c r="L273" s="140">
        <v>2.0499999999999998</v>
      </c>
      <c r="M273" s="143">
        <v>2.0625</v>
      </c>
      <c r="N273" s="148">
        <v>3.23</v>
      </c>
      <c r="O273" s="145">
        <v>3.3125</v>
      </c>
      <c r="P273" s="145">
        <v>1.8125</v>
      </c>
      <c r="Q273" s="140">
        <v>3.93</v>
      </c>
      <c r="R273" s="139">
        <v>29.5</v>
      </c>
      <c r="S273" s="147">
        <v>29600</v>
      </c>
      <c r="T273" s="147">
        <v>1680</v>
      </c>
      <c r="U273" s="147">
        <v>1460</v>
      </c>
      <c r="V273" s="139">
        <v>16.5</v>
      </c>
      <c r="W273" s="147">
        <v>1420</v>
      </c>
      <c r="X273" s="147">
        <v>277</v>
      </c>
      <c r="Y273" s="147">
        <v>177</v>
      </c>
      <c r="Z273" s="140">
        <v>3.6</v>
      </c>
      <c r="AA273" s="147">
        <v>116</v>
      </c>
      <c r="AB273" s="147">
        <v>528000</v>
      </c>
      <c r="AC273" s="147">
        <v>155</v>
      </c>
      <c r="AD273" s="147">
        <v>1280</v>
      </c>
      <c r="AE273" s="147">
        <v>295</v>
      </c>
      <c r="AF273" s="147">
        <v>829</v>
      </c>
      <c r="AG273" s="140">
        <v>4.33</v>
      </c>
      <c r="AH273" s="139">
        <v>38.6</v>
      </c>
      <c r="AI273" s="147">
        <v>125</v>
      </c>
      <c r="AJ273" s="147">
        <v>141</v>
      </c>
      <c r="AK273" s="139">
        <v>97.3</v>
      </c>
      <c r="AL273" s="147">
        <v>113</v>
      </c>
      <c r="AM273" s="141">
        <v>34</v>
      </c>
      <c r="AN273" s="141">
        <v>7.5</v>
      </c>
    </row>
    <row r="274" spans="1:40" x14ac:dyDescent="0.3">
      <c r="A274" s="138" t="s">
        <v>947</v>
      </c>
      <c r="B274" s="138" t="s">
        <v>675</v>
      </c>
      <c r="C274" s="147">
        <v>327</v>
      </c>
      <c r="D274" s="139">
        <v>95.9</v>
      </c>
      <c r="E274" s="139">
        <v>40.799999999999997</v>
      </c>
      <c r="F274" s="141">
        <v>40.75</v>
      </c>
      <c r="G274" s="139">
        <v>12.1</v>
      </c>
      <c r="H274" s="141">
        <v>12.125</v>
      </c>
      <c r="I274" s="140">
        <v>1.18</v>
      </c>
      <c r="J274" s="141">
        <v>1.1875</v>
      </c>
      <c r="K274" s="143">
        <v>0.625</v>
      </c>
      <c r="L274" s="140">
        <v>2.13</v>
      </c>
      <c r="M274" s="143">
        <v>2.125</v>
      </c>
      <c r="N274" s="148">
        <v>3.31</v>
      </c>
      <c r="O274" s="145">
        <v>3.375</v>
      </c>
      <c r="P274" s="145">
        <v>1.8125</v>
      </c>
      <c r="Q274" s="140">
        <v>2.85</v>
      </c>
      <c r="R274" s="139">
        <v>29</v>
      </c>
      <c r="S274" s="147">
        <v>24500</v>
      </c>
      <c r="T274" s="147">
        <v>1410</v>
      </c>
      <c r="U274" s="147">
        <v>1200</v>
      </c>
      <c r="V274" s="139">
        <v>16</v>
      </c>
      <c r="W274" s="147">
        <v>640</v>
      </c>
      <c r="X274" s="147">
        <v>170</v>
      </c>
      <c r="Y274" s="147">
        <v>105</v>
      </c>
      <c r="Z274" s="140">
        <v>2.58</v>
      </c>
      <c r="AA274" s="147">
        <v>103</v>
      </c>
      <c r="AB274" s="147">
        <v>239000</v>
      </c>
      <c r="AC274" s="147">
        <v>117</v>
      </c>
      <c r="AD274" s="147">
        <v>754</v>
      </c>
      <c r="AE274" s="147">
        <v>225</v>
      </c>
      <c r="AF274" s="147">
        <v>695</v>
      </c>
      <c r="AG274" s="140">
        <v>3.21</v>
      </c>
      <c r="AH274" s="139">
        <v>38.700000000000003</v>
      </c>
      <c r="AI274" s="147">
        <v>114</v>
      </c>
      <c r="AJ274" s="147">
        <v>126</v>
      </c>
      <c r="AK274" s="139">
        <v>93.7</v>
      </c>
      <c r="AL274" s="147">
        <v>106</v>
      </c>
      <c r="AM274" s="141">
        <v>34</v>
      </c>
      <c r="AN274" s="141">
        <v>7.5</v>
      </c>
    </row>
    <row r="275" spans="1:40" x14ac:dyDescent="0.3">
      <c r="A275" s="138" t="s">
        <v>948</v>
      </c>
      <c r="B275" s="138" t="s">
        <v>675</v>
      </c>
      <c r="C275" s="147">
        <v>331</v>
      </c>
      <c r="D275" s="139">
        <v>97.7</v>
      </c>
      <c r="E275" s="139">
        <v>40.799999999999997</v>
      </c>
      <c r="F275" s="141">
        <v>40.75</v>
      </c>
      <c r="G275" s="139">
        <v>12.2</v>
      </c>
      <c r="H275" s="141">
        <v>12.125</v>
      </c>
      <c r="I275" s="140">
        <v>1.22</v>
      </c>
      <c r="J275" s="141">
        <v>1.25</v>
      </c>
      <c r="K275" s="143">
        <v>0.625</v>
      </c>
      <c r="L275" s="140">
        <v>2.13</v>
      </c>
      <c r="M275" s="143">
        <v>2.125</v>
      </c>
      <c r="N275" s="148">
        <v>3.31</v>
      </c>
      <c r="O275" s="145">
        <v>3.375</v>
      </c>
      <c r="P275" s="145">
        <v>1.8125</v>
      </c>
      <c r="Q275" s="140">
        <v>2.86</v>
      </c>
      <c r="R275" s="139">
        <v>28</v>
      </c>
      <c r="S275" s="147">
        <v>24700</v>
      </c>
      <c r="T275" s="147">
        <v>1430</v>
      </c>
      <c r="U275" s="147">
        <v>1210</v>
      </c>
      <c r="V275" s="139">
        <v>15.9</v>
      </c>
      <c r="W275" s="147">
        <v>644</v>
      </c>
      <c r="X275" s="147">
        <v>172</v>
      </c>
      <c r="Y275" s="147">
        <v>106</v>
      </c>
      <c r="Z275" s="140">
        <v>2.57</v>
      </c>
      <c r="AA275" s="147">
        <v>105</v>
      </c>
      <c r="AB275" s="147">
        <v>241000</v>
      </c>
      <c r="AC275" s="147">
        <v>118</v>
      </c>
      <c r="AD275" s="147">
        <v>766</v>
      </c>
      <c r="AE275" s="147">
        <v>226</v>
      </c>
      <c r="AF275" s="147">
        <v>706</v>
      </c>
      <c r="AG275" s="140">
        <v>3.21</v>
      </c>
      <c r="AH275" s="139">
        <v>38.700000000000003</v>
      </c>
      <c r="AI275" s="147">
        <v>114</v>
      </c>
      <c r="AJ275" s="147">
        <v>126</v>
      </c>
      <c r="AK275" s="139">
        <v>93.8</v>
      </c>
      <c r="AL275" s="147">
        <v>106</v>
      </c>
      <c r="AM275" s="141">
        <v>34</v>
      </c>
      <c r="AN275" s="141">
        <v>7.5</v>
      </c>
    </row>
    <row r="276" spans="1:40" x14ac:dyDescent="0.3">
      <c r="A276" s="138" t="s">
        <v>949</v>
      </c>
      <c r="B276" s="138" t="s">
        <v>675</v>
      </c>
      <c r="C276" s="147">
        <v>397</v>
      </c>
      <c r="D276" s="147">
        <v>117</v>
      </c>
      <c r="E276" s="139">
        <v>41</v>
      </c>
      <c r="F276" s="141">
        <v>41</v>
      </c>
      <c r="G276" s="139">
        <v>16.100000000000001</v>
      </c>
      <c r="H276" s="141">
        <v>16.125</v>
      </c>
      <c r="I276" s="140">
        <v>1.22</v>
      </c>
      <c r="J276" s="141">
        <v>1.25</v>
      </c>
      <c r="K276" s="143">
        <v>0.625</v>
      </c>
      <c r="L276" s="140">
        <v>2.2000000000000002</v>
      </c>
      <c r="M276" s="143">
        <v>2.1875</v>
      </c>
      <c r="N276" s="148">
        <v>3.38</v>
      </c>
      <c r="O276" s="145">
        <v>3.5</v>
      </c>
      <c r="P276" s="145">
        <v>1.8125</v>
      </c>
      <c r="Q276" s="140">
        <v>3.66</v>
      </c>
      <c r="R276" s="139">
        <v>28</v>
      </c>
      <c r="S276" s="147">
        <v>32000</v>
      </c>
      <c r="T276" s="147">
        <v>1800</v>
      </c>
      <c r="U276" s="147">
        <v>1560</v>
      </c>
      <c r="V276" s="139">
        <v>16.600000000000001</v>
      </c>
      <c r="W276" s="147">
        <v>1540</v>
      </c>
      <c r="X276" s="147">
        <v>300</v>
      </c>
      <c r="Y276" s="138">
        <v>191</v>
      </c>
      <c r="Z276" s="140">
        <v>3.64</v>
      </c>
      <c r="AA276" s="147">
        <v>142</v>
      </c>
      <c r="AB276" s="147">
        <v>579000</v>
      </c>
      <c r="AC276" s="147">
        <v>156</v>
      </c>
      <c r="AD276" s="147">
        <v>1380</v>
      </c>
      <c r="AE276" s="147">
        <v>318</v>
      </c>
      <c r="AF276" s="147">
        <v>891</v>
      </c>
      <c r="AG276" s="140">
        <v>4.38</v>
      </c>
      <c r="AH276" s="139">
        <v>38.799999999999997</v>
      </c>
      <c r="AI276" s="147">
        <v>126</v>
      </c>
      <c r="AJ276" s="147">
        <v>142</v>
      </c>
      <c r="AK276" s="139">
        <v>98.1</v>
      </c>
      <c r="AL276" s="147">
        <v>114</v>
      </c>
      <c r="AM276" s="141">
        <v>34</v>
      </c>
      <c r="AN276" s="141">
        <v>7.5</v>
      </c>
    </row>
    <row r="277" spans="1:40" x14ac:dyDescent="0.3">
      <c r="A277" s="138" t="s">
        <v>950</v>
      </c>
      <c r="B277" s="138" t="s">
        <v>675</v>
      </c>
      <c r="C277" s="147">
        <v>652</v>
      </c>
      <c r="D277" s="147">
        <v>192</v>
      </c>
      <c r="E277" s="139">
        <v>41.1</v>
      </c>
      <c r="F277" s="141">
        <v>41</v>
      </c>
      <c r="G277" s="139">
        <v>17.600000000000001</v>
      </c>
      <c r="H277" s="141">
        <v>17.625</v>
      </c>
      <c r="I277" s="140">
        <v>1.97</v>
      </c>
      <c r="J277" s="141">
        <v>2</v>
      </c>
      <c r="K277" s="143">
        <v>1</v>
      </c>
      <c r="L277" s="140">
        <v>3.54</v>
      </c>
      <c r="M277" s="143">
        <v>3.5625</v>
      </c>
      <c r="N277" s="148">
        <v>4.49</v>
      </c>
      <c r="O277" s="145">
        <v>4.8125</v>
      </c>
      <c r="P277" s="145">
        <v>2.1875</v>
      </c>
      <c r="Q277" s="140">
        <v>2.48</v>
      </c>
      <c r="R277" s="139">
        <v>16.3</v>
      </c>
      <c r="S277" s="147">
        <v>50600</v>
      </c>
      <c r="T277" s="147">
        <v>2910</v>
      </c>
      <c r="U277" s="147">
        <v>2460</v>
      </c>
      <c r="V277" s="139">
        <v>16.2</v>
      </c>
      <c r="W277" s="147">
        <v>3230</v>
      </c>
      <c r="X277" s="147">
        <v>581</v>
      </c>
      <c r="Y277" s="147">
        <v>367</v>
      </c>
      <c r="Z277" s="140">
        <v>4.0999999999999996</v>
      </c>
      <c r="AA277" s="147">
        <v>593</v>
      </c>
      <c r="AB277" s="147">
        <v>1130000</v>
      </c>
      <c r="AC277" s="147">
        <v>165</v>
      </c>
      <c r="AD277" s="147">
        <v>2560</v>
      </c>
      <c r="AE277" s="147">
        <v>518</v>
      </c>
      <c r="AF277" s="147">
        <v>1450</v>
      </c>
      <c r="AG277" s="140">
        <v>4.96</v>
      </c>
      <c r="AH277" s="139">
        <v>37.6</v>
      </c>
      <c r="AI277" s="147">
        <v>129</v>
      </c>
      <c r="AJ277" s="147">
        <v>147</v>
      </c>
      <c r="AK277" s="139">
        <v>99.8</v>
      </c>
      <c r="AL277" s="147">
        <v>117</v>
      </c>
      <c r="AM277" s="141">
        <v>31.375</v>
      </c>
      <c r="AN277" s="141">
        <v>7.5</v>
      </c>
    </row>
    <row r="278" spans="1:40" x14ac:dyDescent="0.3">
      <c r="A278" s="138" t="s">
        <v>951</v>
      </c>
      <c r="B278" s="138" t="s">
        <v>675</v>
      </c>
      <c r="C278" s="147">
        <v>431</v>
      </c>
      <c r="D278" s="147">
        <v>127</v>
      </c>
      <c r="E278" s="139">
        <v>41.3</v>
      </c>
      <c r="F278" s="141">
        <v>41.25</v>
      </c>
      <c r="G278" s="139">
        <v>16.2</v>
      </c>
      <c r="H278" s="141">
        <v>16.25</v>
      </c>
      <c r="I278" s="140">
        <v>1.34</v>
      </c>
      <c r="J278" s="141">
        <v>1.3125</v>
      </c>
      <c r="K278" s="143">
        <v>0.6875</v>
      </c>
      <c r="L278" s="140">
        <v>2.36</v>
      </c>
      <c r="M278" s="143">
        <v>2.375</v>
      </c>
      <c r="N278" s="148">
        <v>3.54</v>
      </c>
      <c r="O278" s="145">
        <v>3.625</v>
      </c>
      <c r="P278" s="145">
        <v>1.875</v>
      </c>
      <c r="Q278" s="140">
        <v>3.44</v>
      </c>
      <c r="R278" s="139">
        <v>25.5</v>
      </c>
      <c r="S278" s="147">
        <v>34800</v>
      </c>
      <c r="T278" s="147">
        <v>1960</v>
      </c>
      <c r="U278" s="147">
        <v>1690</v>
      </c>
      <c r="V278" s="139">
        <v>16.600000000000001</v>
      </c>
      <c r="W278" s="138">
        <v>1690</v>
      </c>
      <c r="X278" s="138">
        <v>328</v>
      </c>
      <c r="Y278" s="138">
        <v>208</v>
      </c>
      <c r="Z278" s="140">
        <v>3.65</v>
      </c>
      <c r="AA278" s="147">
        <v>177</v>
      </c>
      <c r="AB278" s="147">
        <v>638000</v>
      </c>
      <c r="AC278" s="147">
        <v>158</v>
      </c>
      <c r="AD278" s="147">
        <v>1510</v>
      </c>
      <c r="AE278" s="147">
        <v>341</v>
      </c>
      <c r="AF278" s="147">
        <v>969</v>
      </c>
      <c r="AG278" s="140">
        <v>4.41</v>
      </c>
      <c r="AH278" s="139">
        <v>38.9</v>
      </c>
      <c r="AI278" s="147">
        <v>127</v>
      </c>
      <c r="AJ278" s="147">
        <v>143</v>
      </c>
      <c r="AK278" s="139">
        <v>98.8</v>
      </c>
      <c r="AL278" s="147">
        <v>115</v>
      </c>
      <c r="AM278" s="141">
        <v>34</v>
      </c>
      <c r="AN278" s="141">
        <v>7.5</v>
      </c>
    </row>
    <row r="279" spans="1:40" x14ac:dyDescent="0.3">
      <c r="A279" s="138" t="s">
        <v>952</v>
      </c>
      <c r="B279" s="138" t="s">
        <v>675</v>
      </c>
      <c r="C279" s="147">
        <v>392</v>
      </c>
      <c r="D279" s="147">
        <v>116</v>
      </c>
      <c r="E279" s="139">
        <v>41.6</v>
      </c>
      <c r="F279" s="141">
        <v>41.625</v>
      </c>
      <c r="G279" s="139">
        <v>12.4</v>
      </c>
      <c r="H279" s="141">
        <v>12.375</v>
      </c>
      <c r="I279" s="140">
        <v>1.42</v>
      </c>
      <c r="J279" s="141">
        <v>1.4375</v>
      </c>
      <c r="K279" s="143">
        <v>0.75</v>
      </c>
      <c r="L279" s="140">
        <v>2.52</v>
      </c>
      <c r="M279" s="143">
        <v>2.5</v>
      </c>
      <c r="N279" s="148">
        <v>3.7</v>
      </c>
      <c r="O279" s="145">
        <v>3.8125</v>
      </c>
      <c r="P279" s="145">
        <v>1.9375</v>
      </c>
      <c r="Q279" s="140">
        <v>2.4500000000000002</v>
      </c>
      <c r="R279" s="139">
        <v>24.1</v>
      </c>
      <c r="S279" s="147">
        <v>29900</v>
      </c>
      <c r="T279" s="147">
        <v>1710</v>
      </c>
      <c r="U279" s="147">
        <v>1440</v>
      </c>
      <c r="V279" s="139">
        <v>16.100000000000001</v>
      </c>
      <c r="W279" s="147">
        <v>803</v>
      </c>
      <c r="X279" s="147">
        <v>212</v>
      </c>
      <c r="Y279" s="147">
        <v>130</v>
      </c>
      <c r="Z279" s="140">
        <v>2.64</v>
      </c>
      <c r="AA279" s="147">
        <v>172</v>
      </c>
      <c r="AB279" s="147">
        <v>306000</v>
      </c>
      <c r="AC279" s="147">
        <v>121</v>
      </c>
      <c r="AD279" s="147">
        <v>946</v>
      </c>
      <c r="AE279" s="147">
        <v>270</v>
      </c>
      <c r="AF279" s="147">
        <v>848</v>
      </c>
      <c r="AG279" s="140">
        <v>3.3</v>
      </c>
      <c r="AH279" s="139">
        <v>39.1</v>
      </c>
      <c r="AI279" s="147">
        <v>116</v>
      </c>
      <c r="AJ279" s="147">
        <v>128</v>
      </c>
      <c r="AK279" s="139">
        <v>95.6</v>
      </c>
      <c r="AL279" s="147">
        <v>108</v>
      </c>
      <c r="AM279" s="141">
        <v>34</v>
      </c>
      <c r="AN279" s="141">
        <v>7.5</v>
      </c>
    </row>
    <row r="280" spans="1:40" x14ac:dyDescent="0.3">
      <c r="A280" s="138" t="s">
        <v>953</v>
      </c>
      <c r="B280" s="138" t="s">
        <v>675</v>
      </c>
      <c r="C280" s="147">
        <v>723</v>
      </c>
      <c r="D280" s="147">
        <v>213</v>
      </c>
      <c r="E280" s="139">
        <v>41.8</v>
      </c>
      <c r="F280" s="141">
        <v>41.75</v>
      </c>
      <c r="G280" s="139">
        <v>17.8</v>
      </c>
      <c r="H280" s="141">
        <v>17.75</v>
      </c>
      <c r="I280" s="140">
        <v>2.17</v>
      </c>
      <c r="J280" s="141">
        <v>2.1875</v>
      </c>
      <c r="K280" s="143">
        <v>1.125</v>
      </c>
      <c r="L280" s="140">
        <v>3.9</v>
      </c>
      <c r="M280" s="143">
        <v>3.875</v>
      </c>
      <c r="N280" s="148">
        <v>4.6500000000000004</v>
      </c>
      <c r="O280" s="145">
        <v>4.6875</v>
      </c>
      <c r="P280" s="145">
        <v>1.875</v>
      </c>
      <c r="Q280" s="140">
        <v>2.2799999999999998</v>
      </c>
      <c r="R280" s="139">
        <v>15</v>
      </c>
      <c r="S280" s="147">
        <v>57300</v>
      </c>
      <c r="T280" s="147">
        <v>3270</v>
      </c>
      <c r="U280" s="147">
        <v>2740</v>
      </c>
      <c r="V280" s="139">
        <v>16.399999999999999</v>
      </c>
      <c r="W280" s="147">
        <v>3700</v>
      </c>
      <c r="X280" s="147">
        <v>658</v>
      </c>
      <c r="Y280" s="147">
        <v>416</v>
      </c>
      <c r="Z280" s="140">
        <v>4.17</v>
      </c>
      <c r="AA280" s="147">
        <v>785</v>
      </c>
      <c r="AB280" s="147">
        <v>1330000</v>
      </c>
      <c r="AC280" s="147">
        <v>169</v>
      </c>
      <c r="AD280" s="147">
        <v>2930</v>
      </c>
      <c r="AE280" s="147">
        <v>578</v>
      </c>
      <c r="AF280" s="147">
        <v>1630</v>
      </c>
      <c r="AG280" s="140">
        <v>5.0599999999999996</v>
      </c>
      <c r="AH280" s="139">
        <v>37.9</v>
      </c>
      <c r="AI280" s="147">
        <v>131</v>
      </c>
      <c r="AJ280" s="147">
        <v>149</v>
      </c>
      <c r="AK280" s="147">
        <v>101</v>
      </c>
      <c r="AL280" s="147">
        <v>119</v>
      </c>
      <c r="AM280" s="141">
        <v>32.375</v>
      </c>
      <c r="AN280" s="141">
        <v>7.5</v>
      </c>
    </row>
    <row r="281" spans="1:40" x14ac:dyDescent="0.3">
      <c r="A281" s="138" t="s">
        <v>954</v>
      </c>
      <c r="B281" s="138" t="s">
        <v>675</v>
      </c>
      <c r="C281" s="147">
        <v>503</v>
      </c>
      <c r="D281" s="147">
        <v>148</v>
      </c>
      <c r="E281" s="139">
        <v>42.1</v>
      </c>
      <c r="F281" s="141">
        <v>42</v>
      </c>
      <c r="G281" s="139">
        <v>16.399999999999999</v>
      </c>
      <c r="H281" s="141">
        <v>16.375</v>
      </c>
      <c r="I281" s="140">
        <v>1.54</v>
      </c>
      <c r="J281" s="141">
        <v>1.5625</v>
      </c>
      <c r="K281" s="143">
        <v>0.8125</v>
      </c>
      <c r="L281" s="140">
        <v>2.76</v>
      </c>
      <c r="M281" s="143">
        <v>2.75</v>
      </c>
      <c r="N281" s="148">
        <v>3.94</v>
      </c>
      <c r="O281" s="145">
        <v>4</v>
      </c>
      <c r="P281" s="145">
        <v>2</v>
      </c>
      <c r="Q281" s="140">
        <v>2.98</v>
      </c>
      <c r="R281" s="139">
        <v>22.3</v>
      </c>
      <c r="S281" s="147">
        <v>41600</v>
      </c>
      <c r="T281" s="147">
        <v>2320</v>
      </c>
      <c r="U281" s="147">
        <v>1980</v>
      </c>
      <c r="V281" s="139">
        <v>16.8</v>
      </c>
      <c r="W281" s="138">
        <v>2040</v>
      </c>
      <c r="X281" s="138">
        <v>394</v>
      </c>
      <c r="Y281" s="138">
        <v>249</v>
      </c>
      <c r="Z281" s="140">
        <v>3.72</v>
      </c>
      <c r="AA281" s="147">
        <v>277</v>
      </c>
      <c r="AB281" s="147">
        <v>789000</v>
      </c>
      <c r="AC281" s="147">
        <v>161</v>
      </c>
      <c r="AD281" s="147">
        <v>1830</v>
      </c>
      <c r="AE281" s="147">
        <v>403</v>
      </c>
      <c r="AF281" s="147">
        <v>1150</v>
      </c>
      <c r="AG281" s="140">
        <v>4.5</v>
      </c>
      <c r="AH281" s="139">
        <v>39.299999999999997</v>
      </c>
      <c r="AI281" s="147">
        <v>129</v>
      </c>
      <c r="AJ281" s="147">
        <v>145</v>
      </c>
      <c r="AK281" s="147">
        <v>101</v>
      </c>
      <c r="AL281" s="147">
        <v>117</v>
      </c>
      <c r="AM281" s="141">
        <v>34</v>
      </c>
      <c r="AN281" s="141">
        <v>7.5</v>
      </c>
    </row>
    <row r="282" spans="1:40" x14ac:dyDescent="0.3">
      <c r="A282" s="138" t="s">
        <v>955</v>
      </c>
      <c r="B282" s="138" t="s">
        <v>675</v>
      </c>
      <c r="C282" s="147">
        <v>802</v>
      </c>
      <c r="D282" s="147">
        <v>236</v>
      </c>
      <c r="E282" s="139">
        <v>42.6</v>
      </c>
      <c r="F282" s="141">
        <v>42.625</v>
      </c>
      <c r="G282" s="139">
        <v>18</v>
      </c>
      <c r="H282" s="141">
        <v>18</v>
      </c>
      <c r="I282" s="140">
        <v>2.38</v>
      </c>
      <c r="J282" s="141">
        <v>2.375</v>
      </c>
      <c r="K282" s="143">
        <v>1.1875</v>
      </c>
      <c r="L282" s="140">
        <v>4.29</v>
      </c>
      <c r="M282" s="143">
        <v>4.3125</v>
      </c>
      <c r="N282" s="148">
        <v>5.04</v>
      </c>
      <c r="O282" s="145">
        <v>5.125</v>
      </c>
      <c r="P282" s="145">
        <v>2</v>
      </c>
      <c r="Q282" s="140">
        <v>2.1</v>
      </c>
      <c r="R282" s="139">
        <v>13.7</v>
      </c>
      <c r="S282" s="147">
        <v>64800</v>
      </c>
      <c r="T282" s="147">
        <v>3660</v>
      </c>
      <c r="U282" s="147">
        <v>3040</v>
      </c>
      <c r="V282" s="139">
        <v>16.600000000000001</v>
      </c>
      <c r="W282" s="147">
        <v>4210</v>
      </c>
      <c r="X282" s="147">
        <v>744</v>
      </c>
      <c r="Y282" s="147">
        <v>468</v>
      </c>
      <c r="Z282" s="140">
        <v>4.22</v>
      </c>
      <c r="AA282" s="147">
        <v>1050</v>
      </c>
      <c r="AB282" s="147">
        <v>1540000</v>
      </c>
      <c r="AC282" s="147">
        <v>172</v>
      </c>
      <c r="AD282" s="147">
        <v>3330</v>
      </c>
      <c r="AE282" s="147">
        <v>642</v>
      </c>
      <c r="AF282" s="147">
        <v>1820</v>
      </c>
      <c r="AG282" s="140">
        <v>5.15</v>
      </c>
      <c r="AH282" s="139">
        <v>38.299999999999997</v>
      </c>
      <c r="AI282" s="147">
        <v>133</v>
      </c>
      <c r="AJ282" s="147">
        <v>151</v>
      </c>
      <c r="AK282" s="147">
        <v>103</v>
      </c>
      <c r="AL282" s="147">
        <v>121</v>
      </c>
      <c r="AM282" s="141">
        <v>32.375</v>
      </c>
      <c r="AN282" s="141">
        <v>7.5</v>
      </c>
    </row>
    <row r="283" spans="1:40" x14ac:dyDescent="0.3">
      <c r="A283" s="138" t="s">
        <v>956</v>
      </c>
      <c r="B283" s="138" t="s">
        <v>677</v>
      </c>
      <c r="C283" s="147">
        <v>230</v>
      </c>
      <c r="D283" s="139">
        <v>67.8</v>
      </c>
      <c r="E283" s="139">
        <v>42.9</v>
      </c>
      <c r="F283" s="141">
        <v>42.875</v>
      </c>
      <c r="G283" s="139">
        <v>15.8</v>
      </c>
      <c r="H283" s="141">
        <v>15.75</v>
      </c>
      <c r="I283" s="142">
        <v>0.71</v>
      </c>
      <c r="J283" s="141">
        <v>0.6875</v>
      </c>
      <c r="K283" s="143">
        <v>0.375</v>
      </c>
      <c r="L283" s="140">
        <v>1.22</v>
      </c>
      <c r="M283" s="143">
        <v>1.25</v>
      </c>
      <c r="N283" s="148">
        <v>2.0099999999999998</v>
      </c>
      <c r="O283" s="145">
        <v>2.4375</v>
      </c>
      <c r="P283" s="145">
        <v>1.5625</v>
      </c>
      <c r="Q283" s="140">
        <v>6.45</v>
      </c>
      <c r="R283" s="139">
        <v>54.8</v>
      </c>
      <c r="S283" s="147">
        <v>20800</v>
      </c>
      <c r="T283" s="147">
        <v>1100</v>
      </c>
      <c r="U283" s="147">
        <v>971</v>
      </c>
      <c r="V283" s="139">
        <v>17.5</v>
      </c>
      <c r="W283" s="138">
        <v>796</v>
      </c>
      <c r="X283" s="138">
        <v>157</v>
      </c>
      <c r="Y283" s="138">
        <v>101</v>
      </c>
      <c r="Z283" s="140">
        <v>3.43</v>
      </c>
      <c r="AA283" s="139">
        <v>24.9</v>
      </c>
      <c r="AB283" s="147">
        <v>346000</v>
      </c>
      <c r="AC283" s="147">
        <v>165</v>
      </c>
      <c r="AD283" s="147">
        <v>793</v>
      </c>
      <c r="AE283" s="147">
        <v>192</v>
      </c>
      <c r="AF283" s="147">
        <v>547</v>
      </c>
      <c r="AG283" s="140">
        <v>4.13</v>
      </c>
      <c r="AH283" s="139">
        <v>41.7</v>
      </c>
      <c r="AI283" s="147">
        <v>130</v>
      </c>
      <c r="AJ283" s="147">
        <v>146</v>
      </c>
      <c r="AK283" s="147">
        <v>102</v>
      </c>
      <c r="AL283" s="147">
        <v>118</v>
      </c>
      <c r="AM283" s="141">
        <v>38</v>
      </c>
      <c r="AN283" s="141">
        <v>5.5</v>
      </c>
    </row>
    <row r="284" spans="1:40" x14ac:dyDescent="0.3">
      <c r="A284" s="138" t="s">
        <v>957</v>
      </c>
      <c r="B284" s="138" t="s">
        <v>675</v>
      </c>
      <c r="C284" s="147">
        <v>593</v>
      </c>
      <c r="D284" s="147">
        <v>174</v>
      </c>
      <c r="E284" s="139">
        <v>43</v>
      </c>
      <c r="F284" s="141">
        <v>43</v>
      </c>
      <c r="G284" s="139">
        <v>16.7</v>
      </c>
      <c r="H284" s="141">
        <v>16.75</v>
      </c>
      <c r="I284" s="140">
        <v>1.79</v>
      </c>
      <c r="J284" s="141">
        <v>1.8125</v>
      </c>
      <c r="K284" s="143">
        <v>0.9375</v>
      </c>
      <c r="L284" s="140">
        <v>3.23</v>
      </c>
      <c r="M284" s="143">
        <v>3.25</v>
      </c>
      <c r="N284" s="148">
        <v>4.41</v>
      </c>
      <c r="O284" s="145">
        <v>4.5</v>
      </c>
      <c r="P284" s="145">
        <v>2.125</v>
      </c>
      <c r="Q284" s="140">
        <v>2.58</v>
      </c>
      <c r="R284" s="139">
        <v>19.100000000000001</v>
      </c>
      <c r="S284" s="147">
        <v>50400</v>
      </c>
      <c r="T284" s="147">
        <v>2760</v>
      </c>
      <c r="U284" s="147">
        <v>2340</v>
      </c>
      <c r="V284" s="139">
        <v>17</v>
      </c>
      <c r="W284" s="138">
        <v>2520</v>
      </c>
      <c r="X284" s="138">
        <v>481</v>
      </c>
      <c r="Y284" s="138">
        <v>302</v>
      </c>
      <c r="Z284" s="140">
        <v>3.8</v>
      </c>
      <c r="AA284" s="147">
        <v>445</v>
      </c>
      <c r="AB284" s="147">
        <v>997000</v>
      </c>
      <c r="AC284" s="147">
        <v>166</v>
      </c>
      <c r="AD284" s="147">
        <v>2240</v>
      </c>
      <c r="AE284" s="147">
        <v>479</v>
      </c>
      <c r="AF284" s="147">
        <v>1370</v>
      </c>
      <c r="AG284" s="140">
        <v>4.63</v>
      </c>
      <c r="AH284" s="139">
        <v>39.799999999999997</v>
      </c>
      <c r="AI284" s="147">
        <v>130</v>
      </c>
      <c r="AJ284" s="147">
        <v>147</v>
      </c>
      <c r="AK284" s="147">
        <v>103</v>
      </c>
      <c r="AL284" s="147">
        <v>120</v>
      </c>
      <c r="AM284" s="141">
        <v>34</v>
      </c>
      <c r="AN284" s="141">
        <v>7.5</v>
      </c>
    </row>
    <row r="285" spans="1:40" x14ac:dyDescent="0.3">
      <c r="A285" s="138" t="s">
        <v>958</v>
      </c>
      <c r="B285" s="138" t="s">
        <v>675</v>
      </c>
      <c r="C285" s="147">
        <v>853</v>
      </c>
      <c r="D285" s="147">
        <v>251</v>
      </c>
      <c r="E285" s="139">
        <v>43.1</v>
      </c>
      <c r="F285" s="141">
        <v>43.125</v>
      </c>
      <c r="G285" s="139">
        <v>18.2</v>
      </c>
      <c r="H285" s="141">
        <v>18.25</v>
      </c>
      <c r="I285" s="140">
        <v>2.52</v>
      </c>
      <c r="J285" s="141">
        <v>2.5</v>
      </c>
      <c r="K285" s="143">
        <v>1.25</v>
      </c>
      <c r="L285" s="140">
        <v>4.53</v>
      </c>
      <c r="M285" s="143">
        <v>4.5</v>
      </c>
      <c r="N285" s="148">
        <v>5.28</v>
      </c>
      <c r="O285" s="145">
        <v>5.375</v>
      </c>
      <c r="P285" s="145">
        <v>2.0625</v>
      </c>
      <c r="Q285" s="140">
        <v>2.0099999999999998</v>
      </c>
      <c r="R285" s="139">
        <v>12.9</v>
      </c>
      <c r="S285" s="147">
        <v>70000</v>
      </c>
      <c r="T285" s="147">
        <v>3920</v>
      </c>
      <c r="U285" s="147">
        <v>3250</v>
      </c>
      <c r="V285" s="139">
        <v>16.7</v>
      </c>
      <c r="W285" s="147">
        <v>4600</v>
      </c>
      <c r="X285" s="147">
        <v>805</v>
      </c>
      <c r="Y285" s="147">
        <v>505</v>
      </c>
      <c r="Z285" s="140">
        <v>4.28</v>
      </c>
      <c r="AA285" s="147">
        <v>1240</v>
      </c>
      <c r="AB285" s="147">
        <v>1710000</v>
      </c>
      <c r="AC285" s="147">
        <v>175</v>
      </c>
      <c r="AD285" s="147">
        <v>3620</v>
      </c>
      <c r="AE285" s="147">
        <v>685</v>
      </c>
      <c r="AF285" s="147">
        <v>1950</v>
      </c>
      <c r="AG285" s="140">
        <v>5.22</v>
      </c>
      <c r="AH285" s="139">
        <v>38.6</v>
      </c>
      <c r="AI285" s="147">
        <v>135</v>
      </c>
      <c r="AJ285" s="147">
        <v>153</v>
      </c>
      <c r="AK285" s="147">
        <v>104</v>
      </c>
      <c r="AL285" s="147">
        <v>122</v>
      </c>
      <c r="AM285" s="141">
        <v>32.375</v>
      </c>
      <c r="AN285" s="141">
        <v>7.5</v>
      </c>
    </row>
    <row r="286" spans="1:40" x14ac:dyDescent="0.3">
      <c r="A286" s="138" t="s">
        <v>959</v>
      </c>
      <c r="B286" s="138" t="s">
        <v>675</v>
      </c>
      <c r="C286" s="147">
        <v>925</v>
      </c>
      <c r="D286" s="147">
        <v>272</v>
      </c>
      <c r="E286" s="139">
        <v>43.1</v>
      </c>
      <c r="F286" s="141">
        <v>43.125</v>
      </c>
      <c r="G286" s="139">
        <v>18.600000000000001</v>
      </c>
      <c r="H286" s="141">
        <v>18.625</v>
      </c>
      <c r="I286" s="140">
        <v>3.02</v>
      </c>
      <c r="J286" s="141">
        <v>3</v>
      </c>
      <c r="K286" s="143">
        <v>1.5</v>
      </c>
      <c r="L286" s="140">
        <v>4.53</v>
      </c>
      <c r="M286" s="143">
        <v>4.5</v>
      </c>
      <c r="N286" s="148">
        <v>5.28</v>
      </c>
      <c r="O286" s="145">
        <v>5.375</v>
      </c>
      <c r="P286" s="145">
        <v>2.3125</v>
      </c>
      <c r="Q286" s="140">
        <v>2.0499999999999998</v>
      </c>
      <c r="R286" s="139">
        <v>10.8</v>
      </c>
      <c r="S286" s="147">
        <v>73000</v>
      </c>
      <c r="T286" s="147">
        <v>4130</v>
      </c>
      <c r="U286" s="147">
        <v>3390</v>
      </c>
      <c r="V286" s="139">
        <v>16.399999999999999</v>
      </c>
      <c r="W286" s="147">
        <v>4940</v>
      </c>
      <c r="X286" s="147">
        <v>862</v>
      </c>
      <c r="Y286" s="147">
        <v>531</v>
      </c>
      <c r="Z286" s="140">
        <v>4.26</v>
      </c>
      <c r="AA286" s="147">
        <v>1430</v>
      </c>
      <c r="AB286" s="147">
        <v>1840000</v>
      </c>
      <c r="AC286" s="147">
        <v>179</v>
      </c>
      <c r="AD286" s="147">
        <v>3780</v>
      </c>
      <c r="AE286" s="147">
        <v>681</v>
      </c>
      <c r="AF286" s="147">
        <v>2060</v>
      </c>
      <c r="AG286" s="140">
        <v>5.3</v>
      </c>
      <c r="AH286" s="139">
        <v>38.6</v>
      </c>
      <c r="AI286" s="147">
        <v>134</v>
      </c>
      <c r="AJ286" s="147">
        <v>153</v>
      </c>
      <c r="AK286" s="147">
        <v>105</v>
      </c>
      <c r="AL286" s="147">
        <v>124</v>
      </c>
      <c r="AM286" s="141">
        <v>32.375</v>
      </c>
      <c r="AN286" s="141">
        <v>7.5</v>
      </c>
    </row>
    <row r="287" spans="1:40" x14ac:dyDescent="0.3">
      <c r="A287" s="138" t="s">
        <v>960</v>
      </c>
      <c r="B287" s="138" t="s">
        <v>677</v>
      </c>
      <c r="C287" s="147">
        <v>262</v>
      </c>
      <c r="D287" s="139">
        <v>77.2</v>
      </c>
      <c r="E287" s="139">
        <v>43.3</v>
      </c>
      <c r="F287" s="141">
        <v>43.25</v>
      </c>
      <c r="G287" s="139">
        <v>15.8</v>
      </c>
      <c r="H287" s="141">
        <v>15.75</v>
      </c>
      <c r="I287" s="142">
        <v>0.78500000000000003</v>
      </c>
      <c r="J287" s="141">
        <v>0.8125</v>
      </c>
      <c r="K287" s="143">
        <v>0.4375</v>
      </c>
      <c r="L287" s="140">
        <v>1.42</v>
      </c>
      <c r="M287" s="143">
        <v>1.4375</v>
      </c>
      <c r="N287" s="148">
        <v>2.2000000000000002</v>
      </c>
      <c r="O287" s="145">
        <v>2.625</v>
      </c>
      <c r="P287" s="145">
        <v>1.625</v>
      </c>
      <c r="Q287" s="140">
        <v>5.57</v>
      </c>
      <c r="R287" s="139">
        <v>49.6</v>
      </c>
      <c r="S287" s="147">
        <v>24100</v>
      </c>
      <c r="T287" s="147">
        <v>1270</v>
      </c>
      <c r="U287" s="147">
        <v>1110</v>
      </c>
      <c r="V287" s="139">
        <v>17.7</v>
      </c>
      <c r="W287" s="138">
        <v>923</v>
      </c>
      <c r="X287" s="138">
        <v>182</v>
      </c>
      <c r="Y287" s="138">
        <v>117</v>
      </c>
      <c r="Z287" s="140">
        <v>3.47</v>
      </c>
      <c r="AA287" s="139">
        <v>37.299999999999997</v>
      </c>
      <c r="AB287" s="147">
        <v>405000</v>
      </c>
      <c r="AC287" s="147">
        <v>165</v>
      </c>
      <c r="AD287" s="147">
        <v>928</v>
      </c>
      <c r="AE287" s="147">
        <v>223</v>
      </c>
      <c r="AF287" s="147">
        <v>630</v>
      </c>
      <c r="AG287" s="140">
        <v>4.17</v>
      </c>
      <c r="AH287" s="139">
        <v>41.9</v>
      </c>
      <c r="AI287" s="147">
        <v>131</v>
      </c>
      <c r="AJ287" s="147">
        <v>147</v>
      </c>
      <c r="AK287" s="147">
        <v>102</v>
      </c>
      <c r="AL287" s="147">
        <v>118</v>
      </c>
      <c r="AM287" s="141">
        <v>38</v>
      </c>
      <c r="AN287" s="141">
        <v>5.5</v>
      </c>
    </row>
    <row r="288" spans="1:40" x14ac:dyDescent="0.3">
      <c r="A288" s="138" t="s">
        <v>961</v>
      </c>
      <c r="B288" s="138" t="s">
        <v>677</v>
      </c>
      <c r="C288" s="147">
        <v>290</v>
      </c>
      <c r="D288" s="139">
        <v>85.4</v>
      </c>
      <c r="E288" s="139">
        <v>43.6</v>
      </c>
      <c r="F288" s="141">
        <v>43.625</v>
      </c>
      <c r="G288" s="139">
        <v>15.8</v>
      </c>
      <c r="H288" s="141">
        <v>15.875</v>
      </c>
      <c r="I288" s="142">
        <v>0.86499999999999999</v>
      </c>
      <c r="J288" s="141">
        <v>0.875</v>
      </c>
      <c r="K288" s="143">
        <v>0.4375</v>
      </c>
      <c r="L288" s="140">
        <v>1.58</v>
      </c>
      <c r="M288" s="143">
        <v>1.5625</v>
      </c>
      <c r="N288" s="148">
        <v>2.36</v>
      </c>
      <c r="O288" s="145">
        <v>2.8125</v>
      </c>
      <c r="P288" s="145">
        <v>1.625</v>
      </c>
      <c r="Q288" s="140">
        <v>5.0199999999999996</v>
      </c>
      <c r="R288" s="139">
        <v>45</v>
      </c>
      <c r="S288" s="147">
        <v>27000</v>
      </c>
      <c r="T288" s="147">
        <v>1410</v>
      </c>
      <c r="U288" s="147">
        <v>1240</v>
      </c>
      <c r="V288" s="139">
        <v>17.8</v>
      </c>
      <c r="W288" s="138">
        <v>1040</v>
      </c>
      <c r="X288" s="138">
        <v>205</v>
      </c>
      <c r="Y288" s="138">
        <v>132</v>
      </c>
      <c r="Z288" s="140">
        <v>3.49</v>
      </c>
      <c r="AA288" s="139">
        <v>50.9</v>
      </c>
      <c r="AB288" s="147">
        <v>461000</v>
      </c>
      <c r="AC288" s="147">
        <v>166</v>
      </c>
      <c r="AD288" s="147">
        <v>1040</v>
      </c>
      <c r="AE288" s="147">
        <v>248</v>
      </c>
      <c r="AF288" s="147">
        <v>701</v>
      </c>
      <c r="AG288" s="140">
        <v>4.2</v>
      </c>
      <c r="AH288" s="139">
        <v>42</v>
      </c>
      <c r="AI288" s="147">
        <v>131</v>
      </c>
      <c r="AJ288" s="147">
        <v>147</v>
      </c>
      <c r="AK288" s="147">
        <v>103</v>
      </c>
      <c r="AL288" s="147">
        <v>119</v>
      </c>
      <c r="AM288" s="141">
        <v>38</v>
      </c>
      <c r="AN288" s="141">
        <v>5.5</v>
      </c>
    </row>
    <row r="289" spans="1:40" x14ac:dyDescent="0.3">
      <c r="A289" s="138" t="s">
        <v>962</v>
      </c>
      <c r="B289" s="138" t="s">
        <v>675</v>
      </c>
      <c r="C289" s="147">
        <v>655</v>
      </c>
      <c r="D289" s="147">
        <v>193</v>
      </c>
      <c r="E289" s="139">
        <v>43.6</v>
      </c>
      <c r="F289" s="141">
        <v>43.625</v>
      </c>
      <c r="G289" s="139">
        <v>16.899999999999999</v>
      </c>
      <c r="H289" s="141">
        <v>16.875</v>
      </c>
      <c r="I289" s="140">
        <v>1.97</v>
      </c>
      <c r="J289" s="141">
        <v>2</v>
      </c>
      <c r="K289" s="143">
        <v>1</v>
      </c>
      <c r="L289" s="140">
        <v>3.54</v>
      </c>
      <c r="M289" s="143">
        <v>3.5625</v>
      </c>
      <c r="N289" s="148">
        <v>4.72</v>
      </c>
      <c r="O289" s="145">
        <v>4.8125</v>
      </c>
      <c r="P289" s="145">
        <v>2.1875</v>
      </c>
      <c r="Q289" s="140">
        <v>2.39</v>
      </c>
      <c r="R289" s="139">
        <v>17.3</v>
      </c>
      <c r="S289" s="147">
        <v>56500</v>
      </c>
      <c r="T289" s="147">
        <v>3080</v>
      </c>
      <c r="U289" s="147">
        <v>2590</v>
      </c>
      <c r="V289" s="139">
        <v>17.100000000000001</v>
      </c>
      <c r="W289" s="138">
        <v>2870</v>
      </c>
      <c r="X289" s="138">
        <v>542</v>
      </c>
      <c r="Y289" s="138">
        <v>340</v>
      </c>
      <c r="Z289" s="140">
        <v>3.86</v>
      </c>
      <c r="AA289" s="147">
        <v>589</v>
      </c>
      <c r="AB289" s="147">
        <v>1150000</v>
      </c>
      <c r="AC289" s="147">
        <v>169</v>
      </c>
      <c r="AD289" s="147">
        <v>2530</v>
      </c>
      <c r="AE289" s="147">
        <v>529</v>
      </c>
      <c r="AF289" s="147">
        <v>1530</v>
      </c>
      <c r="AG289" s="140">
        <v>4.71</v>
      </c>
      <c r="AH289" s="139">
        <v>40.1</v>
      </c>
      <c r="AI289" s="147">
        <v>132</v>
      </c>
      <c r="AJ289" s="147">
        <v>149</v>
      </c>
      <c r="AK289" s="147">
        <v>104</v>
      </c>
      <c r="AL289" s="147">
        <v>121</v>
      </c>
      <c r="AM289" s="141">
        <v>34</v>
      </c>
      <c r="AN289" s="141">
        <v>7.5</v>
      </c>
    </row>
    <row r="290" spans="1:40" x14ac:dyDescent="0.3">
      <c r="A290" s="138" t="s">
        <v>963</v>
      </c>
      <c r="B290" s="138" t="s">
        <v>677</v>
      </c>
      <c r="C290" s="147">
        <v>335</v>
      </c>
      <c r="D290" s="139">
        <v>98.5</v>
      </c>
      <c r="E290" s="139">
        <v>44</v>
      </c>
      <c r="F290" s="141">
        <v>44</v>
      </c>
      <c r="G290" s="139">
        <v>15.9</v>
      </c>
      <c r="H290" s="141">
        <v>16</v>
      </c>
      <c r="I290" s="142">
        <v>1.03</v>
      </c>
      <c r="J290" s="141">
        <v>1</v>
      </c>
      <c r="K290" s="143">
        <v>0.5</v>
      </c>
      <c r="L290" s="140">
        <v>1.77</v>
      </c>
      <c r="M290" s="143">
        <v>1.75</v>
      </c>
      <c r="N290" s="148">
        <v>2.56</v>
      </c>
      <c r="O290" s="145">
        <v>3</v>
      </c>
      <c r="P290" s="145">
        <v>1.75</v>
      </c>
      <c r="Q290" s="140">
        <v>4.5</v>
      </c>
      <c r="R290" s="139">
        <v>38</v>
      </c>
      <c r="S290" s="147">
        <v>31100</v>
      </c>
      <c r="T290" s="147">
        <v>1620</v>
      </c>
      <c r="U290" s="147">
        <v>1410</v>
      </c>
      <c r="V290" s="139">
        <v>17.8</v>
      </c>
      <c r="W290" s="138">
        <v>1200</v>
      </c>
      <c r="X290" s="138">
        <v>236</v>
      </c>
      <c r="Y290" s="138">
        <v>150</v>
      </c>
      <c r="Z290" s="140">
        <v>3.49</v>
      </c>
      <c r="AA290" s="139">
        <v>74.7</v>
      </c>
      <c r="AB290" s="147">
        <v>535000</v>
      </c>
      <c r="AC290" s="147">
        <v>168</v>
      </c>
      <c r="AD290" s="147">
        <v>1180</v>
      </c>
      <c r="AE290" s="147">
        <v>278</v>
      </c>
      <c r="AF290" s="147">
        <v>805</v>
      </c>
      <c r="AG290" s="140">
        <v>4.24</v>
      </c>
      <c r="AH290" s="139">
        <v>42.2</v>
      </c>
      <c r="AI290" s="147">
        <v>132</v>
      </c>
      <c r="AJ290" s="147">
        <v>148</v>
      </c>
      <c r="AK290" s="147">
        <v>104</v>
      </c>
      <c r="AL290" s="147">
        <v>120</v>
      </c>
      <c r="AM290" s="141">
        <v>38</v>
      </c>
      <c r="AN290" s="141">
        <v>5.5</v>
      </c>
    </row>
    <row r="291" spans="1:40" x14ac:dyDescent="0.3">
      <c r="A291" s="138" t="s">
        <v>964</v>
      </c>
      <c r="B291" s="138" t="s">
        <v>677</v>
      </c>
      <c r="C291" s="147">
        <v>368</v>
      </c>
      <c r="D291" s="147">
        <v>108</v>
      </c>
      <c r="E291" s="139">
        <v>44.4</v>
      </c>
      <c r="F291" s="141">
        <v>44.375</v>
      </c>
      <c r="G291" s="139">
        <v>16</v>
      </c>
      <c r="H291" s="141">
        <v>16</v>
      </c>
      <c r="I291" s="140">
        <v>1.1000000000000001</v>
      </c>
      <c r="J291" s="141">
        <v>1.125</v>
      </c>
      <c r="K291" s="143">
        <v>0.5625</v>
      </c>
      <c r="L291" s="140">
        <v>1.97</v>
      </c>
      <c r="M291" s="143">
        <v>2</v>
      </c>
      <c r="N291" s="140">
        <v>2.76</v>
      </c>
      <c r="O291" s="143">
        <v>3.1875</v>
      </c>
      <c r="P291" s="143">
        <v>1.75</v>
      </c>
      <c r="Q291" s="140">
        <v>4.0599999999999996</v>
      </c>
      <c r="R291" s="139">
        <v>35.4</v>
      </c>
      <c r="S291" s="147">
        <v>34700</v>
      </c>
      <c r="T291" s="147">
        <v>1800</v>
      </c>
      <c r="U291" s="147">
        <v>1560</v>
      </c>
      <c r="V291" s="139">
        <v>17.899999999999999</v>
      </c>
      <c r="W291" s="138">
        <v>1350</v>
      </c>
      <c r="X291" s="138">
        <v>265</v>
      </c>
      <c r="Y291" s="138">
        <v>169</v>
      </c>
      <c r="Z291" s="140">
        <v>3.54</v>
      </c>
      <c r="AA291" s="147">
        <v>100</v>
      </c>
      <c r="AB291" s="147">
        <v>608000</v>
      </c>
      <c r="AC291" s="147">
        <v>170</v>
      </c>
      <c r="AD291" s="147">
        <v>1340</v>
      </c>
      <c r="AE291" s="147">
        <v>311</v>
      </c>
      <c r="AF291" s="147">
        <v>894</v>
      </c>
      <c r="AG291" s="140">
        <v>4.28</v>
      </c>
      <c r="AH291" s="139">
        <v>42.4</v>
      </c>
      <c r="AI291" s="147">
        <v>133</v>
      </c>
      <c r="AJ291" s="147">
        <v>149</v>
      </c>
      <c r="AK291" s="147">
        <v>105</v>
      </c>
      <c r="AL291" s="147">
        <v>121</v>
      </c>
      <c r="AM291" s="141">
        <v>38</v>
      </c>
      <c r="AN291" s="141">
        <v>5.5</v>
      </c>
    </row>
    <row r="292" spans="1:40" x14ac:dyDescent="0.3">
      <c r="A292" s="138" t="s">
        <v>965</v>
      </c>
      <c r="B292" s="138" t="s">
        <v>675</v>
      </c>
      <c r="C292" s="147">
        <v>408</v>
      </c>
      <c r="D292" s="147">
        <v>120</v>
      </c>
      <c r="E292" s="139">
        <v>44.8</v>
      </c>
      <c r="F292" s="141">
        <v>44.75</v>
      </c>
      <c r="G292" s="139">
        <v>16.100000000000001</v>
      </c>
      <c r="H292" s="141">
        <v>16.125</v>
      </c>
      <c r="I292" s="140">
        <v>1.22</v>
      </c>
      <c r="J292" s="141">
        <v>1.25</v>
      </c>
      <c r="K292" s="143">
        <v>0.625</v>
      </c>
      <c r="L292" s="140">
        <v>2.17</v>
      </c>
      <c r="M292" s="143">
        <v>2.1875</v>
      </c>
      <c r="N292" s="140">
        <v>2.96</v>
      </c>
      <c r="O292" s="143">
        <v>3.375</v>
      </c>
      <c r="P292" s="143">
        <v>1.8125</v>
      </c>
      <c r="Q292" s="140">
        <v>3.71</v>
      </c>
      <c r="R292" s="139">
        <v>31.9</v>
      </c>
      <c r="S292" s="147">
        <v>38700</v>
      </c>
      <c r="T292" s="147">
        <v>2000</v>
      </c>
      <c r="U292" s="147">
        <v>1730</v>
      </c>
      <c r="V292" s="139">
        <v>18</v>
      </c>
      <c r="W292" s="138">
        <v>1520</v>
      </c>
      <c r="X292" s="138">
        <v>297</v>
      </c>
      <c r="Y292" s="138">
        <v>189</v>
      </c>
      <c r="Z292" s="140">
        <v>3.56</v>
      </c>
      <c r="AA292" s="147">
        <v>134</v>
      </c>
      <c r="AB292" s="147">
        <v>691000</v>
      </c>
      <c r="AC292" s="147">
        <v>172</v>
      </c>
      <c r="AD292" s="147">
        <v>1500</v>
      </c>
      <c r="AE292" s="147">
        <v>344</v>
      </c>
      <c r="AF292" s="147">
        <v>994</v>
      </c>
      <c r="AG292" s="140">
        <v>4.33</v>
      </c>
      <c r="AH292" s="139">
        <v>42.6</v>
      </c>
      <c r="AI292" s="147">
        <v>134</v>
      </c>
      <c r="AJ292" s="147">
        <v>150</v>
      </c>
      <c r="AK292" s="147">
        <v>106</v>
      </c>
      <c r="AL292" s="147">
        <v>122</v>
      </c>
      <c r="AM292" s="141">
        <v>38</v>
      </c>
      <c r="AN292" s="141">
        <v>5.5</v>
      </c>
    </row>
    <row r="293" spans="1:40" x14ac:dyDescent="0.3">
      <c r="D293" s="138"/>
      <c r="F293" s="138"/>
      <c r="H293" s="149"/>
      <c r="J293" s="141"/>
      <c r="K293" s="143"/>
      <c r="M293" s="143"/>
      <c r="O293" s="143"/>
      <c r="P293" s="143"/>
    </row>
    <row r="294" spans="1:40" x14ac:dyDescent="0.3">
      <c r="D294" s="138"/>
      <c r="F294" s="138"/>
      <c r="H294" s="149"/>
      <c r="J294" s="141"/>
      <c r="K294" s="143"/>
      <c r="M294" s="143"/>
      <c r="O294" s="143"/>
      <c r="P294" s="143"/>
    </row>
  </sheetData>
  <autoFilter ref="A1:AN292" xr:uid="{00000000-0001-0000-0100-000000000000}">
    <sortState xmlns:xlrd2="http://schemas.microsoft.com/office/spreadsheetml/2017/richdata2" ref="A2:AN292">
      <sortCondition ref="E1:E292"/>
    </sortState>
  </autoFilter>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139B-0EFD-4265-9EDA-EDC6D1CBAD1B}">
  <sheetPr codeName="Settings">
    <tabColor theme="0" tint="-0.34998626667073579"/>
  </sheetPr>
  <dimension ref="A1:Q56"/>
  <sheetViews>
    <sheetView workbookViewId="0">
      <selection activeCell="E20" sqref="E20"/>
    </sheetView>
  </sheetViews>
  <sheetFormatPr defaultColWidth="9.109375" defaultRowHeight="13.8" x14ac:dyDescent="0.3"/>
  <cols>
    <col min="1" max="1" width="21.109375" style="69" customWidth="1"/>
    <col min="2" max="2" width="12.44140625" style="69" customWidth="1"/>
    <col min="3" max="3" width="9.109375" style="69"/>
    <col min="4" max="8" width="9.109375" style="150"/>
    <col min="9" max="9" width="9.109375" style="69"/>
    <col min="10" max="14" width="12.6640625" style="150" customWidth="1"/>
    <col min="15" max="15" width="38.6640625" style="69" customWidth="1"/>
    <col min="16" max="16" width="9.109375" style="69"/>
    <col min="17" max="17" width="25.33203125" style="69" customWidth="1"/>
    <col min="18" max="16384" width="9.109375" style="69"/>
  </cols>
  <sheetData>
    <row r="1" spans="1:17" x14ac:dyDescent="0.3">
      <c r="A1" s="69" t="s">
        <v>972</v>
      </c>
      <c r="B1" s="69" t="s">
        <v>974</v>
      </c>
    </row>
    <row r="2" spans="1:17" x14ac:dyDescent="0.3">
      <c r="A2" s="382" t="s">
        <v>973</v>
      </c>
      <c r="B2" s="382" t="str" cm="1">
        <f t="array" ref="B2">GetUser() &amp; "\Documents"</f>
        <v>C:\Users\SruthiRamya\Documents</v>
      </c>
    </row>
    <row r="3" spans="1:17" x14ac:dyDescent="0.3">
      <c r="A3" s="69" t="s">
        <v>997</v>
      </c>
      <c r="B3" s="69" t="str" cm="1">
        <f t="array" ref="B3">GetUser() &amp; "\LPile"</f>
        <v>C:\Users\SruthiRamya\LPile</v>
      </c>
    </row>
    <row r="4" spans="1:17" x14ac:dyDescent="0.3">
      <c r="D4" s="454" t="s">
        <v>1037</v>
      </c>
      <c r="E4" s="455"/>
      <c r="F4" s="455"/>
      <c r="G4" s="456"/>
      <c r="I4" s="454" t="s">
        <v>1025</v>
      </c>
      <c r="J4" s="455"/>
      <c r="K4" s="455"/>
      <c r="L4" s="455"/>
      <c r="M4" s="455"/>
      <c r="N4" s="455"/>
      <c r="O4" s="365" t="b">
        <v>1</v>
      </c>
    </row>
    <row r="5" spans="1:17" s="162" customFormat="1" x14ac:dyDescent="0.3">
      <c r="A5" s="162" t="s">
        <v>975</v>
      </c>
      <c r="B5" s="163" t="s">
        <v>976</v>
      </c>
      <c r="D5" s="302" t="s">
        <v>1029</v>
      </c>
      <c r="E5" s="303" t="s">
        <v>1026</v>
      </c>
      <c r="F5" s="303" t="s">
        <v>1033</v>
      </c>
      <c r="G5" s="304" t="s">
        <v>998</v>
      </c>
      <c r="I5" s="305" t="s">
        <v>1033</v>
      </c>
      <c r="J5" s="302" t="s">
        <v>1026</v>
      </c>
      <c r="K5" s="303" t="s">
        <v>1027</v>
      </c>
      <c r="L5" s="303" t="s">
        <v>968</v>
      </c>
      <c r="M5" s="303" t="s">
        <v>1028</v>
      </c>
      <c r="N5" s="303" t="s">
        <v>1029</v>
      </c>
      <c r="O5" s="307" t="s">
        <v>1036</v>
      </c>
      <c r="Q5" s="162" t="s">
        <v>1063</v>
      </c>
    </row>
    <row r="6" spans="1:17" x14ac:dyDescent="0.3">
      <c r="A6" s="69" t="s">
        <v>1074</v>
      </c>
      <c r="B6" s="274">
        <v>25</v>
      </c>
      <c r="C6" s="69" t="s">
        <v>58</v>
      </c>
      <c r="D6" s="368" t="s">
        <v>977</v>
      </c>
      <c r="E6" s="158">
        <v>0</v>
      </c>
      <c r="F6" s="158" cm="1">
        <f t="array" ref="F6:F11">_xlfn.UNIQUE(TOPLs!B5:B34)</f>
        <v>5.125</v>
      </c>
      <c r="G6" s="370">
        <v>50</v>
      </c>
      <c r="I6" s="306" t="s">
        <v>1030</v>
      </c>
      <c r="J6" s="360">
        <v>0</v>
      </c>
      <c r="K6" s="274" t="s">
        <v>967</v>
      </c>
      <c r="L6" s="274" t="s">
        <v>970</v>
      </c>
      <c r="M6" s="274">
        <v>65</v>
      </c>
      <c r="N6" s="274" t="s">
        <v>684</v>
      </c>
      <c r="O6" s="361" t="s">
        <v>1235</v>
      </c>
      <c r="Q6" s="131" t="s">
        <v>1064</v>
      </c>
    </row>
    <row r="7" spans="1:17" x14ac:dyDescent="0.3">
      <c r="A7" s="69" t="s">
        <v>984</v>
      </c>
      <c r="B7" s="274">
        <v>0.66700000000000004</v>
      </c>
      <c r="C7" s="69" t="s">
        <v>354</v>
      </c>
      <c r="D7" s="368" t="s">
        <v>680</v>
      </c>
      <c r="E7" s="158">
        <v>3</v>
      </c>
      <c r="F7" s="158">
        <v>5.625</v>
      </c>
      <c r="G7" s="370">
        <v>55</v>
      </c>
      <c r="I7" s="366">
        <v>12</v>
      </c>
      <c r="J7" s="360"/>
      <c r="K7" s="274"/>
      <c r="L7" s="274"/>
      <c r="M7" s="274"/>
      <c r="N7" s="274" t="s">
        <v>686</v>
      </c>
      <c r="O7" s="361" t="s">
        <v>1236</v>
      </c>
      <c r="Q7" s="131" t="s">
        <v>1065</v>
      </c>
    </row>
    <row r="8" spans="1:17" x14ac:dyDescent="0.3">
      <c r="A8" s="69" t="s">
        <v>985</v>
      </c>
      <c r="B8" s="274">
        <v>4</v>
      </c>
      <c r="C8" s="69" t="s">
        <v>354</v>
      </c>
      <c r="D8" s="368" t="s">
        <v>681</v>
      </c>
      <c r="E8" s="158">
        <v>3.3</v>
      </c>
      <c r="F8" s="158">
        <v>6.125</v>
      </c>
      <c r="G8" s="370">
        <v>60</v>
      </c>
      <c r="I8" s="306" t="s">
        <v>1031</v>
      </c>
      <c r="J8" s="360"/>
      <c r="K8" s="274"/>
      <c r="L8" s="274"/>
      <c r="M8" s="274"/>
      <c r="N8" s="274"/>
      <c r="O8" s="361" t="s">
        <v>1237</v>
      </c>
      <c r="Q8" s="131" t="s">
        <v>1066</v>
      </c>
    </row>
    <row r="9" spans="1:17" x14ac:dyDescent="0.3">
      <c r="D9" s="368" t="s">
        <v>978</v>
      </c>
      <c r="E9" s="158">
        <v>5</v>
      </c>
      <c r="F9" s="158">
        <v>6.625</v>
      </c>
      <c r="G9" s="370">
        <v>65</v>
      </c>
      <c r="I9" s="366">
        <v>13</v>
      </c>
      <c r="J9" s="360"/>
      <c r="K9" s="274"/>
      <c r="L9" s="274"/>
      <c r="M9" s="274"/>
      <c r="N9" s="274"/>
      <c r="O9" s="361" t="s">
        <v>1238</v>
      </c>
      <c r="Q9" s="131" t="s">
        <v>1166</v>
      </c>
    </row>
    <row r="10" spans="1:17" x14ac:dyDescent="0.3">
      <c r="D10" s="368" t="s">
        <v>683</v>
      </c>
      <c r="E10" s="158"/>
      <c r="F10" s="158">
        <v>7.125</v>
      </c>
      <c r="G10" s="370"/>
      <c r="I10" s="306" t="s">
        <v>1032</v>
      </c>
      <c r="J10" s="360"/>
      <c r="K10" s="274"/>
      <c r="L10" s="274"/>
      <c r="M10" s="274"/>
      <c r="N10" s="274"/>
      <c r="O10" s="361" t="s">
        <v>1239</v>
      </c>
      <c r="Q10" s="131" t="s">
        <v>1067</v>
      </c>
    </row>
    <row r="11" spans="1:17" x14ac:dyDescent="0.3">
      <c r="D11" s="368" t="s">
        <v>682</v>
      </c>
      <c r="E11" s="158"/>
      <c r="F11" s="158">
        <v>0</v>
      </c>
      <c r="G11" s="370"/>
      <c r="I11" s="367">
        <v>0.5</v>
      </c>
      <c r="J11" s="360"/>
      <c r="K11" s="274"/>
      <c r="L11" s="274"/>
      <c r="M11" s="274"/>
      <c r="N11" s="274"/>
      <c r="O11" s="361" t="s">
        <v>1240</v>
      </c>
      <c r="Q11" s="131" t="s">
        <v>1068</v>
      </c>
    </row>
    <row r="12" spans="1:17" x14ac:dyDescent="0.3">
      <c r="D12" s="368" t="s">
        <v>685</v>
      </c>
      <c r="E12" s="158"/>
      <c r="F12" s="158"/>
      <c r="G12" s="370"/>
      <c r="I12" s="305" t="s">
        <v>1212</v>
      </c>
      <c r="J12" s="360"/>
      <c r="K12" s="274"/>
      <c r="L12" s="274"/>
      <c r="M12" s="274"/>
      <c r="N12" s="274"/>
      <c r="O12" s="361" t="s">
        <v>1241</v>
      </c>
      <c r="Q12" s="131" t="s">
        <v>1069</v>
      </c>
    </row>
    <row r="13" spans="1:17" x14ac:dyDescent="0.3">
      <c r="D13" s="368" t="s">
        <v>684</v>
      </c>
      <c r="E13" s="158"/>
      <c r="F13" s="158"/>
      <c r="G13" s="370"/>
      <c r="I13" s="367" t="s">
        <v>659</v>
      </c>
      <c r="J13" s="360"/>
      <c r="K13" s="274"/>
      <c r="L13" s="274"/>
      <c r="M13" s="274"/>
      <c r="N13" s="274"/>
      <c r="O13" s="361" t="s">
        <v>1242</v>
      </c>
      <c r="Q13" s="131" t="s">
        <v>1070</v>
      </c>
    </row>
    <row r="14" spans="1:17" x14ac:dyDescent="0.3">
      <c r="D14" s="368" t="s">
        <v>686</v>
      </c>
      <c r="E14" s="158"/>
      <c r="F14" s="158"/>
      <c r="G14" s="370"/>
      <c r="J14" s="360"/>
      <c r="K14" s="274"/>
      <c r="L14" s="274"/>
      <c r="M14" s="274"/>
      <c r="N14" s="274"/>
      <c r="O14" s="361" t="s">
        <v>1243</v>
      </c>
      <c r="Q14" s="131" t="s">
        <v>1071</v>
      </c>
    </row>
    <row r="15" spans="1:17" x14ac:dyDescent="0.3">
      <c r="D15" s="368" t="s">
        <v>687</v>
      </c>
      <c r="E15" s="158"/>
      <c r="F15" s="158"/>
      <c r="G15" s="370"/>
      <c r="J15" s="360"/>
      <c r="K15" s="274"/>
      <c r="L15" s="274"/>
      <c r="M15" s="274"/>
      <c r="N15" s="274"/>
      <c r="O15" s="361" t="s">
        <v>1244</v>
      </c>
      <c r="Q15" s="131" t="s">
        <v>1072</v>
      </c>
    </row>
    <row r="16" spans="1:17" x14ac:dyDescent="0.3">
      <c r="D16" s="368" t="s">
        <v>689</v>
      </c>
      <c r="E16" s="348"/>
      <c r="F16" s="349"/>
      <c r="G16" s="349"/>
      <c r="J16" s="360"/>
      <c r="K16" s="274"/>
      <c r="L16" s="274"/>
      <c r="M16" s="274"/>
      <c r="N16" s="274"/>
      <c r="O16" s="361" t="s">
        <v>1245</v>
      </c>
      <c r="Q16" s="131" t="s">
        <v>1073</v>
      </c>
    </row>
    <row r="17" spans="4:15" x14ac:dyDescent="0.3">
      <c r="D17" s="368" t="s">
        <v>692</v>
      </c>
      <c r="E17" s="350"/>
      <c r="J17" s="360"/>
      <c r="K17" s="274"/>
      <c r="L17" s="274"/>
      <c r="M17" s="274"/>
      <c r="N17" s="274"/>
      <c r="O17" s="361" t="s">
        <v>1246</v>
      </c>
    </row>
    <row r="18" spans="4:15" x14ac:dyDescent="0.3">
      <c r="D18" s="368" t="s">
        <v>694</v>
      </c>
      <c r="E18" s="350"/>
      <c r="J18" s="360"/>
      <c r="K18" s="274"/>
      <c r="L18" s="274"/>
      <c r="M18" s="274"/>
      <c r="N18" s="274"/>
      <c r="O18" s="361" t="s">
        <v>1247</v>
      </c>
    </row>
    <row r="19" spans="4:15" x14ac:dyDescent="0.3">
      <c r="D19" s="368" t="s">
        <v>696</v>
      </c>
      <c r="E19" s="350"/>
      <c r="J19" s="360"/>
      <c r="K19" s="274"/>
      <c r="L19" s="274"/>
      <c r="M19" s="274"/>
      <c r="N19" s="274"/>
      <c r="O19" s="361" t="s">
        <v>1248</v>
      </c>
    </row>
    <row r="20" spans="4:15" x14ac:dyDescent="0.3">
      <c r="D20" s="368" t="s">
        <v>688</v>
      </c>
      <c r="E20" s="350"/>
      <c r="J20" s="360"/>
      <c r="K20" s="274"/>
      <c r="L20" s="274"/>
      <c r="M20" s="274"/>
      <c r="N20" s="274"/>
      <c r="O20" s="361" t="s">
        <v>1249</v>
      </c>
    </row>
    <row r="21" spans="4:15" x14ac:dyDescent="0.3">
      <c r="D21" s="368" t="s">
        <v>691</v>
      </c>
      <c r="E21" s="350"/>
      <c r="J21" s="360"/>
      <c r="K21" s="274"/>
      <c r="L21" s="274"/>
      <c r="M21" s="274"/>
      <c r="N21" s="274"/>
      <c r="O21" s="361"/>
    </row>
    <row r="22" spans="4:15" x14ac:dyDescent="0.3">
      <c r="D22" s="368" t="s">
        <v>690</v>
      </c>
      <c r="E22" s="350"/>
      <c r="J22" s="360"/>
      <c r="K22" s="274"/>
      <c r="L22" s="274"/>
      <c r="M22" s="274"/>
      <c r="N22" s="274"/>
      <c r="O22" s="361"/>
    </row>
    <row r="23" spans="4:15" x14ac:dyDescent="0.3">
      <c r="D23" s="368" t="s">
        <v>693</v>
      </c>
      <c r="E23" s="350"/>
      <c r="J23" s="360"/>
      <c r="K23" s="274"/>
      <c r="L23" s="274"/>
      <c r="M23" s="274"/>
      <c r="N23" s="274"/>
      <c r="O23" s="361"/>
    </row>
    <row r="24" spans="4:15" x14ac:dyDescent="0.3">
      <c r="D24" s="368"/>
      <c r="E24" s="350"/>
      <c r="J24" s="360"/>
      <c r="K24" s="274"/>
      <c r="L24" s="274"/>
      <c r="M24" s="274"/>
      <c r="N24" s="274"/>
      <c r="O24" s="361"/>
    </row>
    <row r="25" spans="4:15" x14ac:dyDescent="0.3">
      <c r="D25" s="369"/>
      <c r="E25" s="350"/>
      <c r="J25" s="360"/>
      <c r="K25" s="274"/>
      <c r="L25" s="274"/>
      <c r="M25" s="274"/>
      <c r="N25" s="274"/>
      <c r="O25" s="361"/>
    </row>
    <row r="26" spans="4:15" x14ac:dyDescent="0.3">
      <c r="J26" s="360"/>
      <c r="K26" s="274"/>
      <c r="L26" s="274"/>
      <c r="M26" s="274"/>
      <c r="N26" s="274"/>
      <c r="O26" s="361"/>
    </row>
    <row r="27" spans="4:15" x14ac:dyDescent="0.3">
      <c r="J27" s="360"/>
      <c r="K27" s="274"/>
      <c r="L27" s="274"/>
      <c r="M27" s="274"/>
      <c r="N27" s="274"/>
      <c r="O27" s="361"/>
    </row>
    <row r="28" spans="4:15" x14ac:dyDescent="0.3">
      <c r="J28" s="360"/>
      <c r="K28" s="274"/>
      <c r="L28" s="274"/>
      <c r="M28" s="274"/>
      <c r="N28" s="274"/>
      <c r="O28" s="361"/>
    </row>
    <row r="29" spans="4:15" x14ac:dyDescent="0.3">
      <c r="J29" s="360"/>
      <c r="K29" s="274"/>
      <c r="L29" s="274"/>
      <c r="M29" s="274"/>
      <c r="N29" s="274"/>
      <c r="O29" s="361"/>
    </row>
    <row r="30" spans="4:15" x14ac:dyDescent="0.3">
      <c r="J30" s="360"/>
      <c r="K30" s="274"/>
      <c r="L30" s="274"/>
      <c r="M30" s="274"/>
      <c r="N30" s="274"/>
      <c r="O30" s="361"/>
    </row>
    <row r="31" spans="4:15" x14ac:dyDescent="0.3">
      <c r="J31" s="360"/>
      <c r="K31" s="274"/>
      <c r="L31" s="274"/>
      <c r="M31" s="274"/>
      <c r="N31" s="274"/>
      <c r="O31" s="361"/>
    </row>
    <row r="32" spans="4:15" x14ac:dyDescent="0.3">
      <c r="J32" s="360"/>
      <c r="K32" s="274"/>
      <c r="L32" s="274"/>
      <c r="M32" s="274"/>
      <c r="N32" s="274"/>
      <c r="O32" s="361"/>
    </row>
    <row r="33" spans="10:15" x14ac:dyDescent="0.3">
      <c r="J33" s="360"/>
      <c r="K33" s="274"/>
      <c r="L33" s="274"/>
      <c r="M33" s="274"/>
      <c r="N33" s="274"/>
      <c r="O33" s="361"/>
    </row>
    <row r="34" spans="10:15" x14ac:dyDescent="0.3">
      <c r="J34" s="360"/>
      <c r="K34" s="274"/>
      <c r="L34" s="274"/>
      <c r="M34" s="274"/>
      <c r="N34" s="274"/>
      <c r="O34" s="361"/>
    </row>
    <row r="35" spans="10:15" x14ac:dyDescent="0.3">
      <c r="J35" s="360"/>
      <c r="K35" s="274"/>
      <c r="L35" s="274"/>
      <c r="M35" s="274"/>
      <c r="N35" s="274"/>
      <c r="O35" s="361"/>
    </row>
    <row r="36" spans="10:15" x14ac:dyDescent="0.3">
      <c r="J36" s="360"/>
      <c r="K36" s="274"/>
      <c r="L36" s="274"/>
      <c r="M36" s="274"/>
      <c r="N36" s="274"/>
      <c r="O36" s="361"/>
    </row>
    <row r="37" spans="10:15" x14ac:dyDescent="0.3">
      <c r="J37" s="360"/>
      <c r="K37" s="274"/>
      <c r="L37" s="274"/>
      <c r="M37" s="274"/>
      <c r="N37" s="274"/>
      <c r="O37" s="361"/>
    </row>
    <row r="38" spans="10:15" x14ac:dyDescent="0.3">
      <c r="J38" s="360"/>
      <c r="K38" s="274"/>
      <c r="L38" s="274"/>
      <c r="M38" s="274"/>
      <c r="N38" s="274"/>
      <c r="O38" s="361"/>
    </row>
    <row r="39" spans="10:15" x14ac:dyDescent="0.3">
      <c r="J39" s="360"/>
      <c r="K39" s="274"/>
      <c r="L39" s="274"/>
      <c r="M39" s="274"/>
      <c r="N39" s="274"/>
      <c r="O39" s="361"/>
    </row>
    <row r="40" spans="10:15" x14ac:dyDescent="0.3">
      <c r="J40" s="360"/>
      <c r="K40" s="274"/>
      <c r="L40" s="274"/>
      <c r="M40" s="274"/>
      <c r="N40" s="274"/>
      <c r="O40" s="361"/>
    </row>
    <row r="41" spans="10:15" x14ac:dyDescent="0.3">
      <c r="J41" s="360"/>
      <c r="K41" s="274"/>
      <c r="L41" s="274"/>
      <c r="M41" s="274"/>
      <c r="N41" s="274"/>
      <c r="O41" s="361"/>
    </row>
    <row r="42" spans="10:15" x14ac:dyDescent="0.3">
      <c r="J42" s="360"/>
      <c r="K42" s="274"/>
      <c r="L42" s="274"/>
      <c r="M42" s="274"/>
      <c r="N42" s="274"/>
      <c r="O42" s="361"/>
    </row>
    <row r="43" spans="10:15" x14ac:dyDescent="0.3">
      <c r="J43" s="360"/>
      <c r="K43" s="274"/>
      <c r="L43" s="274"/>
      <c r="M43" s="274"/>
      <c r="N43" s="274"/>
      <c r="O43" s="361"/>
    </row>
    <row r="44" spans="10:15" x14ac:dyDescent="0.3">
      <c r="J44" s="360"/>
      <c r="K44" s="274"/>
      <c r="L44" s="274"/>
      <c r="M44" s="274"/>
      <c r="N44" s="274"/>
      <c r="O44" s="361"/>
    </row>
    <row r="45" spans="10:15" x14ac:dyDescent="0.3">
      <c r="J45" s="360"/>
      <c r="K45" s="274"/>
      <c r="L45" s="274"/>
      <c r="M45" s="274"/>
      <c r="N45" s="274"/>
      <c r="O45" s="361"/>
    </row>
    <row r="46" spans="10:15" x14ac:dyDescent="0.3">
      <c r="J46" s="360"/>
      <c r="K46" s="274"/>
      <c r="L46" s="274"/>
      <c r="M46" s="274"/>
      <c r="N46" s="274"/>
      <c r="O46" s="361"/>
    </row>
    <row r="47" spans="10:15" x14ac:dyDescent="0.3">
      <c r="J47" s="360"/>
      <c r="K47" s="274"/>
      <c r="L47" s="274"/>
      <c r="M47" s="274"/>
      <c r="N47" s="274"/>
      <c r="O47" s="361"/>
    </row>
    <row r="48" spans="10:15" x14ac:dyDescent="0.3">
      <c r="J48" s="360"/>
      <c r="K48" s="274"/>
      <c r="L48" s="274"/>
      <c r="M48" s="274"/>
      <c r="N48" s="274"/>
      <c r="O48" s="361"/>
    </row>
    <row r="49" spans="10:15" x14ac:dyDescent="0.3">
      <c r="J49" s="360"/>
      <c r="K49" s="274"/>
      <c r="L49" s="274"/>
      <c r="M49" s="274"/>
      <c r="N49" s="274"/>
      <c r="O49" s="361"/>
    </row>
    <row r="50" spans="10:15" x14ac:dyDescent="0.3">
      <c r="J50" s="360"/>
      <c r="K50" s="274"/>
      <c r="L50" s="274"/>
      <c r="M50" s="274"/>
      <c r="N50" s="274"/>
      <c r="O50" s="361"/>
    </row>
    <row r="51" spans="10:15" x14ac:dyDescent="0.3">
      <c r="J51" s="360"/>
      <c r="K51" s="274"/>
      <c r="L51" s="274"/>
      <c r="M51" s="274"/>
      <c r="N51" s="274"/>
      <c r="O51" s="361"/>
    </row>
    <row r="52" spans="10:15" x14ac:dyDescent="0.3">
      <c r="J52" s="360"/>
      <c r="K52" s="274"/>
      <c r="L52" s="274"/>
      <c r="M52" s="274"/>
      <c r="N52" s="274"/>
      <c r="O52" s="361"/>
    </row>
    <row r="53" spans="10:15" x14ac:dyDescent="0.3">
      <c r="J53" s="360"/>
      <c r="K53" s="274"/>
      <c r="L53" s="274"/>
      <c r="M53" s="274"/>
      <c r="N53" s="274"/>
      <c r="O53" s="361"/>
    </row>
    <row r="54" spans="10:15" x14ac:dyDescent="0.3">
      <c r="J54" s="360"/>
      <c r="K54" s="274"/>
      <c r="L54" s="274"/>
      <c r="M54" s="274"/>
      <c r="N54" s="274"/>
      <c r="O54" s="361"/>
    </row>
    <row r="55" spans="10:15" x14ac:dyDescent="0.3">
      <c r="J55" s="360"/>
      <c r="K55" s="274"/>
      <c r="L55" s="274"/>
      <c r="M55" s="274"/>
      <c r="N55" s="274"/>
      <c r="O55" s="361"/>
    </row>
    <row r="56" spans="10:15" x14ac:dyDescent="0.3">
      <c r="J56" s="362"/>
      <c r="K56" s="363"/>
      <c r="L56" s="363"/>
      <c r="M56" s="363"/>
      <c r="N56" s="363"/>
      <c r="O56" s="364"/>
    </row>
  </sheetData>
  <mergeCells count="2">
    <mergeCell ref="I4:N4"/>
    <mergeCell ref="D4:G4"/>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0817D-791A-408E-A88D-CBCA4E7CD1B7}">
  <sheetPr codeName="RevLog">
    <tabColor theme="0" tint="-0.34998626667073579"/>
  </sheetPr>
  <dimension ref="A1:D23"/>
  <sheetViews>
    <sheetView topLeftCell="A9" workbookViewId="0">
      <selection activeCell="D13" sqref="D13"/>
    </sheetView>
  </sheetViews>
  <sheetFormatPr defaultColWidth="9.109375" defaultRowHeight="13.8" x14ac:dyDescent="0.3"/>
  <cols>
    <col min="1" max="1" width="10.109375" style="150" customWidth="1"/>
    <col min="2" max="2" width="12.44140625" style="150" customWidth="1"/>
    <col min="3" max="3" width="13.6640625" style="150" customWidth="1"/>
    <col min="4" max="4" width="171.6640625" style="124" customWidth="1"/>
    <col min="5" max="16384" width="9.109375" style="124"/>
  </cols>
  <sheetData>
    <row r="1" spans="1:4" x14ac:dyDescent="0.3">
      <c r="A1" s="160" t="s">
        <v>640</v>
      </c>
      <c r="B1" s="160" t="s">
        <v>645</v>
      </c>
      <c r="C1" s="160" t="s">
        <v>638</v>
      </c>
      <c r="D1" s="161" t="s">
        <v>639</v>
      </c>
    </row>
    <row r="2" spans="1:4" x14ac:dyDescent="0.3">
      <c r="A2" s="92" t="s">
        <v>641</v>
      </c>
      <c r="B2" s="92" t="s">
        <v>651</v>
      </c>
      <c r="C2" s="357">
        <v>45689</v>
      </c>
      <c r="D2" s="358" t="s">
        <v>644</v>
      </c>
    </row>
    <row r="3" spans="1:4" x14ac:dyDescent="0.3">
      <c r="A3" s="92" t="s">
        <v>642</v>
      </c>
      <c r="B3" s="92" t="s">
        <v>651</v>
      </c>
      <c r="C3" s="357">
        <v>45726</v>
      </c>
      <c r="D3" s="358" t="s">
        <v>643</v>
      </c>
    </row>
    <row r="4" spans="1:4" x14ac:dyDescent="0.3">
      <c r="A4" s="92" t="s">
        <v>650</v>
      </c>
      <c r="B4" s="92" t="s">
        <v>651</v>
      </c>
      <c r="C4" s="357">
        <v>45733</v>
      </c>
      <c r="D4" s="358" t="s">
        <v>653</v>
      </c>
    </row>
    <row r="5" spans="1:4" x14ac:dyDescent="0.3">
      <c r="A5" s="92" t="s">
        <v>652</v>
      </c>
      <c r="B5" s="92" t="s">
        <v>651</v>
      </c>
      <c r="C5" s="357">
        <v>45747</v>
      </c>
      <c r="D5" s="358" t="s">
        <v>654</v>
      </c>
    </row>
    <row r="6" spans="1:4" x14ac:dyDescent="0.3">
      <c r="A6" s="359" t="s">
        <v>656</v>
      </c>
      <c r="B6" s="359" t="s">
        <v>655</v>
      </c>
      <c r="C6" s="357">
        <v>45749</v>
      </c>
      <c r="D6" s="358" t="s">
        <v>657</v>
      </c>
    </row>
    <row r="7" spans="1:4" x14ac:dyDescent="0.3">
      <c r="A7" s="92" t="s">
        <v>660</v>
      </c>
      <c r="B7" s="92" t="s">
        <v>655</v>
      </c>
      <c r="C7" s="357">
        <v>45751</v>
      </c>
      <c r="D7" s="358" t="s">
        <v>661</v>
      </c>
    </row>
    <row r="8" spans="1:4" ht="252" customHeight="1" x14ac:dyDescent="0.3">
      <c r="A8" s="463" t="s">
        <v>1172</v>
      </c>
      <c r="B8" s="461" t="s">
        <v>1010</v>
      </c>
      <c r="C8" s="459">
        <v>45846</v>
      </c>
      <c r="D8" s="457" t="s">
        <v>1192</v>
      </c>
    </row>
    <row r="9" spans="1:4" ht="252" customHeight="1" x14ac:dyDescent="0.3">
      <c r="A9" s="464"/>
      <c r="B9" s="462"/>
      <c r="C9" s="460"/>
      <c r="D9" s="458"/>
    </row>
    <row r="10" spans="1:4" ht="82.8" x14ac:dyDescent="0.3">
      <c r="A10" s="92" t="s">
        <v>1172</v>
      </c>
      <c r="B10" s="92" t="s">
        <v>1200</v>
      </c>
      <c r="C10" s="357">
        <v>45852</v>
      </c>
      <c r="D10" s="392" t="s">
        <v>1209</v>
      </c>
    </row>
    <row r="11" spans="1:4" ht="69" x14ac:dyDescent="0.3">
      <c r="A11" s="92" t="s">
        <v>1172</v>
      </c>
      <c r="B11" s="92" t="s">
        <v>1200</v>
      </c>
      <c r="C11" s="357">
        <v>45867</v>
      </c>
      <c r="D11" s="392" t="s">
        <v>1233</v>
      </c>
    </row>
    <row r="12" spans="1:4" ht="82.8" x14ac:dyDescent="0.3">
      <c r="A12" s="92" t="s">
        <v>1172</v>
      </c>
      <c r="B12" s="92" t="s">
        <v>1200</v>
      </c>
      <c r="C12" s="357">
        <v>45895</v>
      </c>
      <c r="D12" s="392" t="s">
        <v>1252</v>
      </c>
    </row>
    <row r="13" spans="1:4" x14ac:dyDescent="0.3">
      <c r="A13" s="92"/>
      <c r="B13" s="92"/>
      <c r="C13" s="92"/>
      <c r="D13" s="358"/>
    </row>
    <row r="14" spans="1:4" x14ac:dyDescent="0.3">
      <c r="A14" s="92"/>
      <c r="B14" s="92"/>
      <c r="C14" s="92"/>
      <c r="D14" s="358"/>
    </row>
    <row r="15" spans="1:4" x14ac:dyDescent="0.3">
      <c r="A15" s="92"/>
      <c r="B15" s="92"/>
      <c r="C15" s="92"/>
      <c r="D15" s="358"/>
    </row>
    <row r="16" spans="1:4" x14ac:dyDescent="0.3">
      <c r="A16" s="92"/>
      <c r="B16" s="92"/>
      <c r="C16" s="92"/>
      <c r="D16" s="358"/>
    </row>
    <row r="17" spans="1:4" x14ac:dyDescent="0.3">
      <c r="A17" s="92"/>
      <c r="B17" s="92"/>
      <c r="C17" s="92"/>
      <c r="D17" s="358"/>
    </row>
    <row r="18" spans="1:4" x14ac:dyDescent="0.3">
      <c r="A18" s="92"/>
      <c r="B18" s="92"/>
      <c r="C18" s="92"/>
      <c r="D18" s="358"/>
    </row>
    <row r="19" spans="1:4" x14ac:dyDescent="0.3">
      <c r="A19" s="92"/>
      <c r="B19" s="92"/>
      <c r="C19" s="92"/>
      <c r="D19" s="358"/>
    </row>
    <row r="20" spans="1:4" x14ac:dyDescent="0.3">
      <c r="A20" s="92"/>
      <c r="B20" s="92"/>
      <c r="C20" s="92"/>
      <c r="D20" s="358"/>
    </row>
    <row r="21" spans="1:4" x14ac:dyDescent="0.3">
      <c r="A21" s="92"/>
      <c r="B21" s="92"/>
      <c r="C21" s="92"/>
      <c r="D21" s="358"/>
    </row>
    <row r="22" spans="1:4" x14ac:dyDescent="0.3">
      <c r="A22" s="92"/>
      <c r="B22" s="92"/>
      <c r="C22" s="92"/>
      <c r="D22" s="358"/>
    </row>
    <row r="23" spans="1:4" x14ac:dyDescent="0.3">
      <c r="A23" s="92"/>
      <c r="B23" s="92"/>
      <c r="C23" s="92"/>
      <c r="D23" s="358"/>
    </row>
  </sheetData>
  <mergeCells count="4">
    <mergeCell ref="D8:D9"/>
    <mergeCell ref="C8:C9"/>
    <mergeCell ref="B8:B9"/>
    <mergeCell ref="A8:A9"/>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D3E386B52A5104DA59C281C7921CD85" ma:contentTypeVersion="9" ma:contentTypeDescription="Create a new document." ma:contentTypeScope="" ma:versionID="3fa241cabfe2867632f8d16174254d70">
  <xsd:schema xmlns:xsd="http://www.w3.org/2001/XMLSchema" xmlns:xs="http://www.w3.org/2001/XMLSchema" xmlns:p="http://schemas.microsoft.com/office/2006/metadata/properties" xmlns:ns3="e3d16bfb-9ac6-4cc0-81c8-e550da1018e6" targetNamespace="http://schemas.microsoft.com/office/2006/metadata/properties" ma:root="true" ma:fieldsID="4aa6e0f677cf385ac3b0bbf788987d2b" ns3:_="">
    <xsd:import namespace="e3d16bfb-9ac6-4cc0-81c8-e550da1018e6"/>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3d16bfb-9ac6-4cc0-81c8-e550da1018e6"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_activity xmlns="e3d16bfb-9ac6-4cc0-81c8-e550da1018e6" xsi:nil="true"/>
  </documentManagement>
</p:properties>
</file>

<file path=customXml/itemProps1.xml><?xml version="1.0" encoding="utf-8"?>
<ds:datastoreItem xmlns:ds="http://schemas.openxmlformats.org/officeDocument/2006/customXml" ds:itemID="{5BE7E880-35C0-44BA-89FA-D581D9975EED}">
  <ds:schemaRefs>
    <ds:schemaRef ds:uri="http://schemas.microsoft.com/sharepoint/v3/contenttype/forms"/>
  </ds:schemaRefs>
</ds:datastoreItem>
</file>

<file path=customXml/itemProps2.xml><?xml version="1.0" encoding="utf-8"?>
<ds:datastoreItem xmlns:ds="http://schemas.openxmlformats.org/officeDocument/2006/customXml" ds:itemID="{15C06442-C439-4BF4-9244-A108F36E19A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3d16bfb-9ac6-4cc0-81c8-e550da1018e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6D59F4D-276C-4E65-A618-90E8020BBB97}">
  <ds:schemaRefs>
    <ds:schemaRef ds:uri="http://schemas.microsoft.com/DataMashup"/>
  </ds:schemaRefs>
</ds:datastoreItem>
</file>

<file path=customXml/itemProps4.xml><?xml version="1.0" encoding="utf-8"?>
<ds:datastoreItem xmlns:ds="http://schemas.openxmlformats.org/officeDocument/2006/customXml" ds:itemID="{28E56AB5-9E9E-4C0F-BE98-8CFBACC17022}">
  <ds:schemaRef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elements/1.1/"/>
    <ds:schemaRef ds:uri="e3d16bfb-9ac6-4cc0-81c8-e550da1018e6"/>
    <ds:schemaRef ds:uri="http://purl.org/dc/dcmitype/"/>
    <ds:schemaRef ds:uri="http://schemas.microsoft.com/office/infopath/2007/PartnerControl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133</vt:i4>
      </vt:variant>
    </vt:vector>
  </HeadingPairs>
  <TitlesOfParts>
    <vt:vector size="146" baseType="lpstr">
      <vt:lpstr>Dashboard</vt:lpstr>
      <vt:lpstr>Soil Zones</vt:lpstr>
      <vt:lpstr>TOPLs</vt:lpstr>
      <vt:lpstr>AG</vt:lpstr>
      <vt:lpstr>AM</vt:lpstr>
      <vt:lpstr>Soil Axial</vt:lpstr>
      <vt:lpstr>Fixity Results</vt:lpstr>
      <vt:lpstr>Batch Results</vt:lpstr>
      <vt:lpstr>Pile Menu</vt:lpstr>
      <vt:lpstr>Pile Section Data-Moment-Fillet</vt:lpstr>
      <vt:lpstr>Shape Database</vt:lpstr>
      <vt:lpstr>Settings</vt:lpstr>
      <vt:lpstr>RevLog</vt:lpstr>
      <vt:lpstr>AG.tensile</vt:lpstr>
      <vt:lpstr>AG.yield</vt:lpstr>
      <vt:lpstr>AISC.wShapes</vt:lpstr>
      <vt:lpstr>AM.tensile</vt:lpstr>
      <vt:lpstr>AM.yield</vt:lpstr>
      <vt:lpstr>Batch.Data</vt:lpstr>
      <vt:lpstr>Batch.ImportedTF</vt:lpstr>
      <vt:lpstr>Corr.ATM</vt:lpstr>
      <vt:lpstr>Corr.Soil</vt:lpstr>
      <vt:lpstr>CorrMem.Area.AG</vt:lpstr>
      <vt:lpstr>CorrMem.Area.BG</vt:lpstr>
      <vt:lpstr>CorrMem.Depth.AG</vt:lpstr>
      <vt:lpstr>CorrMem.Depth.BG</vt:lpstr>
      <vt:lpstr>CorrMem.Flange_t.AG</vt:lpstr>
      <vt:lpstr>CorrMem.Flange_t.BG</vt:lpstr>
      <vt:lpstr>CorrMem.Ix.AG</vt:lpstr>
      <vt:lpstr>CorrMem.Ix.BG</vt:lpstr>
      <vt:lpstr>CorrMem.Iy.AG</vt:lpstr>
      <vt:lpstr>CorrMem.Iy.BG</vt:lpstr>
      <vt:lpstr>CorrMem.Web_t.AG</vt:lpstr>
      <vt:lpstr>CorrMem.Web_t.BG</vt:lpstr>
      <vt:lpstr>CorrMem.Width.AG</vt:lpstr>
      <vt:lpstr>CorrMem.Width.BG</vt:lpstr>
      <vt:lpstr>COTT</vt:lpstr>
      <vt:lpstr>defaultShapes</vt:lpstr>
      <vt:lpstr>firstScourD</vt:lpstr>
      <vt:lpstr>firstScourZn</vt:lpstr>
      <vt:lpstr>firstSoilZn</vt:lpstr>
      <vt:lpstr>firstSoilZone</vt:lpstr>
      <vt:lpstr>Fixity.Results</vt:lpstr>
      <vt:lpstr>Layer.Bot</vt:lpstr>
      <vt:lpstr>Layer.Cohesion</vt:lpstr>
      <vt:lpstr>Layer.E60</vt:lpstr>
      <vt:lpstr>Layer.FrAngle</vt:lpstr>
      <vt:lpstr>Layer.k</vt:lpstr>
      <vt:lpstr>Layer.Material</vt:lpstr>
      <vt:lpstr>Layer.Top</vt:lpstr>
      <vt:lpstr>Layer.uWt</vt:lpstr>
      <vt:lpstr>Load.AGM</vt:lpstr>
      <vt:lpstr>Load.AGM.Weak</vt:lpstr>
      <vt:lpstr>Load.AGMweak</vt:lpstr>
      <vt:lpstr>Load.AGS</vt:lpstr>
      <vt:lpstr>Load.AGS.Weak</vt:lpstr>
      <vt:lpstr>Load.AGSweak</vt:lpstr>
      <vt:lpstr>Load.AMM</vt:lpstr>
      <vt:lpstr>Load.AMM.Weak</vt:lpstr>
      <vt:lpstr>Lpile.Deflection</vt:lpstr>
      <vt:lpstr>Lpile.Deflection.Weak</vt:lpstr>
      <vt:lpstr>Lpile.Depth</vt:lpstr>
      <vt:lpstr>LPile.Depth.Weak</vt:lpstr>
      <vt:lpstr>LPILE.Folder</vt:lpstr>
      <vt:lpstr>Lpile.Moment</vt:lpstr>
      <vt:lpstr>LPile.Moment.Weak</vt:lpstr>
      <vt:lpstr>Lpile.Name</vt:lpstr>
      <vt:lpstr>lpile.output</vt:lpstr>
      <vt:lpstr>lpile.output.weak</vt:lpstr>
      <vt:lpstr>lpile.output2</vt:lpstr>
      <vt:lpstr>lpile.output2.weak</vt:lpstr>
      <vt:lpstr>Lpile.Shear</vt:lpstr>
      <vt:lpstr>Lpile.Shear.Weak</vt:lpstr>
      <vt:lpstr>LPile.Slope</vt:lpstr>
      <vt:lpstr>Lpile.Slope.Weak</vt:lpstr>
      <vt:lpstr>LPile.Weak</vt:lpstr>
      <vt:lpstr>Menu.Full</vt:lpstr>
      <vt:lpstr>Pile.Embed</vt:lpstr>
      <vt:lpstr>Pile.Fu</vt:lpstr>
      <vt:lpstr>Pile.Fy</vt:lpstr>
      <vt:lpstr>Pile.Galv</vt:lpstr>
      <vt:lpstr>Pile.Length</vt:lpstr>
      <vt:lpstr>Pile.Life</vt:lpstr>
      <vt:lpstr>Pile.Reveal</vt:lpstr>
      <vt:lpstr>Pile.Shape</vt:lpstr>
      <vt:lpstr>Pile.Type</vt:lpstr>
      <vt:lpstr>AG!Print_Area</vt:lpstr>
      <vt:lpstr>AM!Print_Area</vt:lpstr>
      <vt:lpstr>Dashboard!Print_Area</vt:lpstr>
      <vt:lpstr>'Soil Axial'!Print_Area</vt:lpstr>
      <vt:lpstr>Project.Name</vt:lpstr>
      <vt:lpstr>py.depth_below_pile_head</vt:lpstr>
      <vt:lpstr>py.p_mult</vt:lpstr>
      <vt:lpstr>py.y_mult</vt:lpstr>
      <vt:lpstr>py_layer_count</vt:lpstr>
      <vt:lpstr>Scour.Zone</vt:lpstr>
      <vt:lpstr>scourZonesCt</vt:lpstr>
      <vt:lpstr>Settings.axis</vt:lpstr>
      <vt:lpstr>Settings.BatchOptions</vt:lpstr>
      <vt:lpstr>Settings.BatchReady</vt:lpstr>
      <vt:lpstr>Settings.FixityDepth</vt:lpstr>
      <vt:lpstr>Settings.Galv</vt:lpstr>
      <vt:lpstr>Settings.GalvList</vt:lpstr>
      <vt:lpstr>Settings.GeoList</vt:lpstr>
      <vt:lpstr>Settings.GradeDefl</vt:lpstr>
      <vt:lpstr>Settings.HeadDefl</vt:lpstr>
      <vt:lpstr>Settings.intEmbed</vt:lpstr>
      <vt:lpstr>Settings.maxEmbed</vt:lpstr>
      <vt:lpstr>Settings.minEmbed</vt:lpstr>
      <vt:lpstr>Settings.Reveal</vt:lpstr>
      <vt:lpstr>Settings.ScourList</vt:lpstr>
      <vt:lpstr>Settings.Shapes</vt:lpstr>
      <vt:lpstr>Settings.ShapesList</vt:lpstr>
      <vt:lpstr>Settings.Steel</vt:lpstr>
      <vt:lpstr>Settings.SteelList</vt:lpstr>
      <vt:lpstr>Settings.TypesList</vt:lpstr>
      <vt:lpstr>Settings.Waitlist</vt:lpstr>
      <vt:lpstr>Shape.Database</vt:lpstr>
      <vt:lpstr>Shapes.Table</vt:lpstr>
      <vt:lpstr>Soil.AxialResult</vt:lpstr>
      <vt:lpstr>Soil.Groundwater</vt:lpstr>
      <vt:lpstr>Soil.Ignore</vt:lpstr>
      <vt:lpstr>Soil.Scour</vt:lpstr>
      <vt:lpstr>Soil.Zone</vt:lpstr>
      <vt:lpstr>soilZonesCt</vt:lpstr>
      <vt:lpstr>Steel.AGresult</vt:lpstr>
      <vt:lpstr>Steel.AMresult</vt:lpstr>
      <vt:lpstr>TOPL.Axial</vt:lpstr>
      <vt:lpstr>TOPL.data</vt:lpstr>
      <vt:lpstr>TOPL.filepath</vt:lpstr>
      <vt:lpstr>TOPL.import.TF</vt:lpstr>
      <vt:lpstr>TOPL.M_external</vt:lpstr>
      <vt:lpstr>TOPL.M_external_weak</vt:lpstr>
      <vt:lpstr>TOPL.Moment</vt:lpstr>
      <vt:lpstr>TOPL.Moment.Weak</vt:lpstr>
      <vt:lpstr>TOPL.selected.sMu</vt:lpstr>
      <vt:lpstr>TOPL.selected.sPu</vt:lpstr>
      <vt:lpstr>TOPL.selected.sTu</vt:lpstr>
      <vt:lpstr>TOPL.selected.sVu</vt:lpstr>
      <vt:lpstr>TOPL.selected.wD</vt:lpstr>
      <vt:lpstr>TOPL.selected.wDE</vt:lpstr>
      <vt:lpstr>TOPL.selected.wE</vt:lpstr>
      <vt:lpstr>TOPL.Shear</vt:lpstr>
      <vt:lpstr>TOPL.Shear.Weak</vt:lpstr>
      <vt:lpstr>TT.Offset</vt:lpstr>
      <vt:lpstr>uWater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Ferrara</dc:creator>
  <cp:keywords/>
  <dc:description/>
  <cp:lastModifiedBy>Sruthi Ramya</cp:lastModifiedBy>
  <cp:revision/>
  <cp:lastPrinted>2025-09-05T14:54:43Z</cp:lastPrinted>
  <dcterms:created xsi:type="dcterms:W3CDTF">2022-04-07T02:01:24Z</dcterms:created>
  <dcterms:modified xsi:type="dcterms:W3CDTF">2025-09-05T19:10:08Z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0x0101005D3E386B52A5104DA59C281C7921CD85</vt:lpwstr>
  </property>
  <property fmtid="{D5CDD505-2E9C-101B-9397-08002B2CF9AE}" pid="3" name="MediaServiceImageTags">
    <vt:lpwstr/>
  </property>
  <property fmtid="{D5CDD505-2E9C-101B-9397-08002B2CF9AE}" pid="4" name="Order">
    <vt:r8>101981700</vt:r8>
  </property>
  <property fmtid="{D5CDD505-2E9C-101B-9397-08002B2CF9AE}" pid="5" name="xd_Signature">
    <vt:bool>false</vt:bool>
  </property>
  <property fmtid="{D5CDD505-2E9C-101B-9397-08002B2CF9AE}" pid="6" name="xd_ProgID">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ies>
</file>